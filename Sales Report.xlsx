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Ex5.xml" ContentType="application/vnd.ms-office.chartex+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ml.chartshapes+xml"/>
  <Override PartName="/xl/charts/chart17.xml" ContentType="application/vnd.openxmlformats-officedocument.drawingml.chart+xml"/>
  <Override PartName="/xl/charts/style22.xml" ContentType="application/vnd.ms-office.chartstyle+xml"/>
  <Override PartName="/xl/charts/colors22.xml" ContentType="application/vnd.ms-office.chartcolorstyle+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6.xml" ContentType="application/vnd.openxmlformats-officedocument.drawingml.chartshapes+xml"/>
  <Override PartName="/xl/charts/chart19.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Desktop\DAP38\Excel\"/>
    </mc:Choice>
  </mc:AlternateContent>
  <xr:revisionPtr revIDLastSave="0" documentId="13_ncr:1_{B909589D-5173-48D7-A5CB-0382256F4281}" xr6:coauthVersionLast="47" xr6:coauthVersionMax="47" xr10:uidLastSave="{00000000-0000-0000-0000-000000000000}"/>
  <bookViews>
    <workbookView xWindow="-110" yWindow="-110" windowWidth="19420" windowHeight="10420" firstSheet="3" activeTab="4" xr2:uid="{00000000-000D-0000-FFFF-FFFF00000000}"/>
  </bookViews>
  <sheets>
    <sheet name="Pivot Practice Questions" sheetId="2" state="hidden" r:id="rId1"/>
    <sheet name="Pivots" sheetId="3" state="hidden" r:id="rId2"/>
    <sheet name="Sheet2" sheetId="5" state="hidden" r:id="rId3"/>
    <sheet name="Home" sheetId="4" r:id="rId4"/>
    <sheet name="Inspect" sheetId="6" r:id="rId5"/>
    <sheet name="Order Data" sheetId="1" r:id="rId6"/>
  </sheets>
  <definedNames>
    <definedName name="_xlchart.v1.2" hidden="1">Pivots!$D$457:$D$470</definedName>
    <definedName name="_xlchart.v1.3" hidden="1">Pivots!$E$457:$E$470</definedName>
    <definedName name="_xlchart.v1.4" hidden="1">Pivots!$L$215:$L$226</definedName>
    <definedName name="_xlchart.v1.5" hidden="1">Pivots!$M$215:$M$226</definedName>
    <definedName name="_xlchart.v1.6" hidden="1">Pivots!$H$40:$H$45</definedName>
    <definedName name="_xlchart.v1.7" hidden="1">Pivots!$I$40:$I$45</definedName>
    <definedName name="_xlchart.v2.0" hidden="1">Pivots!$D$504:$D$508</definedName>
    <definedName name="_xlchart.v2.1" hidden="1">Pivots!$E$504:$E$508</definedName>
    <definedName name="_xlchart.v5.10" hidden="1">Pivots!$E$455</definedName>
    <definedName name="_xlchart.v5.11" hidden="1">Pivots!$E$456:$E$469</definedName>
    <definedName name="_xlchart.v5.12" hidden="1">Pivots!$D$455</definedName>
    <definedName name="_xlchart.v5.13" hidden="1">Pivots!$D$456:$D$469</definedName>
    <definedName name="_xlchart.v5.14" hidden="1">Pivots!$E$455</definedName>
    <definedName name="_xlchart.v5.15" hidden="1">Pivots!$E$456:$E$469</definedName>
    <definedName name="_xlchart.v5.16" hidden="1">Pivots!$D$455</definedName>
    <definedName name="_xlchart.v5.17" hidden="1">Pivots!$D$456:$D$469</definedName>
    <definedName name="_xlchart.v5.18" hidden="1">Pivots!$E$455</definedName>
    <definedName name="_xlchart.v5.19" hidden="1">Pivots!$E$456:$E$469</definedName>
    <definedName name="_xlchart.v5.20" hidden="1">Pivots!$D$455</definedName>
    <definedName name="_xlchart.v5.21" hidden="1">Pivots!$D$456:$D$469</definedName>
    <definedName name="_xlchart.v5.22" hidden="1">Pivots!$E$455</definedName>
    <definedName name="_xlchart.v5.23" hidden="1">Pivots!$E$456:$E$469</definedName>
    <definedName name="_xlchart.v5.24" hidden="1">Pivots!$D$455</definedName>
    <definedName name="_xlchart.v5.25" hidden="1">Pivots!$D$456:$D$469</definedName>
    <definedName name="_xlchart.v5.26" hidden="1">Pivots!$E$455</definedName>
    <definedName name="_xlchart.v5.27" hidden="1">Pivots!$E$456:$E$469</definedName>
    <definedName name="_xlchart.v5.28" hidden="1">Pivots!$D$455</definedName>
    <definedName name="_xlchart.v5.29" hidden="1">Pivots!$D$456:$D$469</definedName>
    <definedName name="_xlchart.v5.30" hidden="1">Pivots!$E$455</definedName>
    <definedName name="_xlchart.v5.31" hidden="1">Pivots!$E$456:$E$469</definedName>
    <definedName name="_xlchart.v5.32" hidden="1">Pivots!$D$455</definedName>
    <definedName name="_xlchart.v5.33" hidden="1">Pivots!$D$457:$D$470</definedName>
    <definedName name="_xlchart.v5.34" hidden="1">Pivots!$E$455</definedName>
    <definedName name="_xlchart.v5.35" hidden="1">Pivots!$E$457:$E$470</definedName>
    <definedName name="_xlchart.v5.8" hidden="1">Pivots!$D$455</definedName>
    <definedName name="_xlchart.v5.9" hidden="1">Pivots!$D$456:$D$469</definedName>
    <definedName name="NativeTimeline_Order_Date">#N/A</definedName>
    <definedName name="Slicer_Payment_Method">#N/A</definedName>
    <definedName name="Slicer_Quarters__Order_Date">#N/A</definedName>
    <definedName name="Slicer_Region">#N/A</definedName>
    <definedName name="Slicer_Region1">#N/A</definedName>
    <definedName name="Slicer_Years__Order_Date">#N/A</definedName>
  </definedNames>
  <calcPr calcId="191029"/>
  <pivotCaches>
    <pivotCache cacheId="161" r:id="rId7"/>
    <pivotCache cacheId="21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2" i="5" l="1"/>
  <c r="H82" i="5"/>
  <c r="H83" i="5"/>
  <c r="H84" i="5"/>
  <c r="H85" i="5"/>
  <c r="H86" i="5"/>
  <c r="H87" i="5"/>
  <c r="G83" i="5"/>
  <c r="G84" i="5"/>
  <c r="G85" i="5"/>
  <c r="G86" i="5"/>
  <c r="G87" i="5"/>
  <c r="E457" i="3"/>
  <c r="E458" i="3"/>
  <c r="E459" i="3"/>
  <c r="E460" i="3"/>
  <c r="E461" i="3"/>
  <c r="E462" i="3"/>
  <c r="E463" i="3"/>
  <c r="E464" i="3"/>
  <c r="E465" i="3"/>
  <c r="E466" i="3"/>
  <c r="E467" i="3"/>
  <c r="E468" i="3"/>
  <c r="E469" i="3"/>
  <c r="E470" i="3"/>
  <c r="E471" i="3"/>
  <c r="E472" i="3"/>
  <c r="D458" i="3"/>
  <c r="D459" i="3"/>
  <c r="D460" i="3"/>
  <c r="D461" i="3"/>
  <c r="D462" i="3"/>
  <c r="D463" i="3"/>
  <c r="D464" i="3"/>
  <c r="D465" i="3"/>
  <c r="D466" i="3"/>
  <c r="D467" i="3"/>
  <c r="D468" i="3"/>
  <c r="D469" i="3"/>
  <c r="D470" i="3"/>
  <c r="D471" i="3"/>
  <c r="D472" i="3"/>
  <c r="D457" i="3"/>
  <c r="J19" i="3"/>
  <c r="I19" i="3"/>
  <c r="E19" i="3"/>
  <c r="F19" i="3"/>
  <c r="G19" i="3"/>
  <c r="H19" i="3"/>
  <c r="D19" i="3"/>
  <c r="E508" i="3"/>
  <c r="E507" i="3"/>
  <c r="E506" i="3"/>
  <c r="E505" i="3"/>
  <c r="E504" i="3"/>
  <c r="D272" i="3"/>
  <c r="D273" i="3"/>
  <c r="D274" i="3"/>
  <c r="D275" i="3"/>
  <c r="D276" i="3"/>
  <c r="D271" i="3"/>
  <c r="F257" i="3"/>
  <c r="F258" i="3"/>
  <c r="F259" i="3"/>
  <c r="F260" i="3"/>
  <c r="F261" i="3"/>
  <c r="F262" i="3"/>
  <c r="F256" i="3"/>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 r="G224" i="3"/>
  <c r="G223" i="3"/>
  <c r="E140" i="3"/>
  <c r="E141" i="3"/>
  <c r="E142" i="3"/>
  <c r="E143" i="3"/>
  <c r="E139" i="3"/>
</calcChain>
</file>

<file path=xl/sharedStrings.xml><?xml version="1.0" encoding="utf-8"?>
<sst xmlns="http://schemas.openxmlformats.org/spreadsheetml/2006/main" count="11253" uniqueCount="1790">
  <si>
    <t>Order ID</t>
  </si>
  <si>
    <t>Order Date</t>
  </si>
  <si>
    <t>Customer Name</t>
  </si>
  <si>
    <t>Customer Segment</t>
  </si>
  <si>
    <t>Region</t>
  </si>
  <si>
    <t>State</t>
  </si>
  <si>
    <t>Category</t>
  </si>
  <si>
    <t>Sub-Category</t>
  </si>
  <si>
    <t>Product Name</t>
  </si>
  <si>
    <t>Quantity</t>
  </si>
  <si>
    <t>Unit Price</t>
  </si>
  <si>
    <t>Sales</t>
  </si>
  <si>
    <t>Discount %</t>
  </si>
  <si>
    <t>Profit</t>
  </si>
  <si>
    <t>Shipping Cost</t>
  </si>
  <si>
    <t>Payment Method</t>
  </si>
  <si>
    <t>Order Priority</t>
  </si>
  <si>
    <t>ORD-10153</t>
  </si>
  <si>
    <t>Simran Sharma</t>
  </si>
  <si>
    <t>Corporate</t>
  </si>
  <si>
    <t>East</t>
  </si>
  <si>
    <t>Bihar</t>
  </si>
  <si>
    <t>Electronics</t>
  </si>
  <si>
    <t>Cameras</t>
  </si>
  <si>
    <t>ActionCam 4K</t>
  </si>
  <si>
    <t>Debit Card</t>
  </si>
  <si>
    <t>Low</t>
  </si>
  <si>
    <t>ORD-10104</t>
  </si>
  <si>
    <t>Ishaan Nair</t>
  </si>
  <si>
    <t>Small Business</t>
  </si>
  <si>
    <t>West</t>
  </si>
  <si>
    <t>Rajasthan</t>
  </si>
  <si>
    <t>Home &amp; Kitchen</t>
  </si>
  <si>
    <t>Cookware</t>
  </si>
  <si>
    <t>Steel Kadai</t>
  </si>
  <si>
    <t>Credit Card</t>
  </si>
  <si>
    <t>Critical</t>
  </si>
  <si>
    <t>ORD-10121</t>
  </si>
  <si>
    <t>Ayaan Reddy</t>
  </si>
  <si>
    <t>Consumer</t>
  </si>
  <si>
    <t>South</t>
  </si>
  <si>
    <t>Kerala</t>
  </si>
  <si>
    <t>Books</t>
  </si>
  <si>
    <t>Academic</t>
  </si>
  <si>
    <t>Calculus Made Easy</t>
  </si>
  <si>
    <t>Cash on Delivery</t>
  </si>
  <si>
    <t>ORD-10178</t>
  </si>
  <si>
    <t>Kabir Kapoor</t>
  </si>
  <si>
    <t>Maharashtra</t>
  </si>
  <si>
    <t>Sports &amp; Fitness</t>
  </si>
  <si>
    <t>Outdoor Gear</t>
  </si>
  <si>
    <t>Hiking Backpack</t>
  </si>
  <si>
    <t>ORD-10648</t>
  </si>
  <si>
    <t>Raj Mishra</t>
  </si>
  <si>
    <t>West Bengal</t>
  </si>
  <si>
    <t>Mobiles</t>
  </si>
  <si>
    <t>iSmart X2</t>
  </si>
  <si>
    <t>High</t>
  </si>
  <si>
    <t>ORD-10310</t>
  </si>
  <si>
    <t>Dhruv Joshi</t>
  </si>
  <si>
    <t>North</t>
  </si>
  <si>
    <t>Delhi</t>
  </si>
  <si>
    <t>Apparel</t>
  </si>
  <si>
    <t>Sports T-Shirt</t>
  </si>
  <si>
    <t>UPI</t>
  </si>
  <si>
    <t>Medium</t>
  </si>
  <si>
    <t>ORD-10043</t>
  </si>
  <si>
    <t>Meera Mehta</t>
  </si>
  <si>
    <t>Punjab</t>
  </si>
  <si>
    <t>Non-Stick Pan Set</t>
  </si>
  <si>
    <t>ORD-10807</t>
  </si>
  <si>
    <t>Simran Gupta</t>
  </si>
  <si>
    <t>Haryana</t>
  </si>
  <si>
    <t>Appliances</t>
  </si>
  <si>
    <t>Air Fryer</t>
  </si>
  <si>
    <t>ORD-10610</t>
  </si>
  <si>
    <t>Anika Chopra</t>
  </si>
  <si>
    <t>Telangana</t>
  </si>
  <si>
    <t>PixelPro DSLR</t>
  </si>
  <si>
    <t>ORD-10698</t>
  </si>
  <si>
    <t>Raj Sharma</t>
  </si>
  <si>
    <t>Fiction</t>
  </si>
  <si>
    <t>Mystery of Ashgrove</t>
  </si>
  <si>
    <t>Net Banking</t>
  </si>
  <si>
    <t>ORD-10850</t>
  </si>
  <si>
    <t>Ishaan Joshi</t>
  </si>
  <si>
    <t>Furniture</t>
  </si>
  <si>
    <t>Study Table</t>
  </si>
  <si>
    <t>ORD-10607</t>
  </si>
  <si>
    <t>Sai Patel</t>
  </si>
  <si>
    <t>Karnataka</t>
  </si>
  <si>
    <t>Footwear</t>
  </si>
  <si>
    <t>Running Shoes</t>
  </si>
  <si>
    <t>ORD-10066</t>
  </si>
  <si>
    <t>Pooja Iyer</t>
  </si>
  <si>
    <t>Trekking Pole</t>
  </si>
  <si>
    <t>ORD-10134</t>
  </si>
  <si>
    <t>Vihaan Kapoor</t>
  </si>
  <si>
    <t>Gym Equipment</t>
  </si>
  <si>
    <t>Yoga Mat Pro</t>
  </si>
  <si>
    <t>ORD-10044</t>
  </si>
  <si>
    <t>Priya Mishra</t>
  </si>
  <si>
    <t>ORD-10412</t>
  </si>
  <si>
    <t>Ananya Desai</t>
  </si>
  <si>
    <t>Uttar Pradesh</t>
  </si>
  <si>
    <t>Accessories</t>
  </si>
  <si>
    <t>Phone Case Pro</t>
  </si>
  <si>
    <t>ORD-10110</t>
  </si>
  <si>
    <t>Dhruv Iyer</t>
  </si>
  <si>
    <t>Tamil Nadu</t>
  </si>
  <si>
    <t>Headphones</t>
  </si>
  <si>
    <t>EchoBuds</t>
  </si>
  <si>
    <t>ORD-10879</t>
  </si>
  <si>
    <t>Aadhya Iyer</t>
  </si>
  <si>
    <t>Electric Kettle</t>
  </si>
  <si>
    <t>ORD-10660</t>
  </si>
  <si>
    <t>Navya Bose</t>
  </si>
  <si>
    <t>Beauty &amp; Personal Care</t>
  </si>
  <si>
    <t>Haircare</t>
  </si>
  <si>
    <t>Argan Oil Shampoo</t>
  </si>
  <si>
    <t>ORD-10291</t>
  </si>
  <si>
    <t>Neha Patel</t>
  </si>
  <si>
    <t>Track Pants</t>
  </si>
  <si>
    <t>ORD-10897</t>
  </si>
  <si>
    <t>Aadhya Patel</t>
  </si>
  <si>
    <t>Fragrances</t>
  </si>
  <si>
    <t>Woody Cologne</t>
  </si>
  <si>
    <t>ORD-10414</t>
  </si>
  <si>
    <t>Dhruv Malhotra</t>
  </si>
  <si>
    <t>Odisha</t>
  </si>
  <si>
    <t>Makeup</t>
  </si>
  <si>
    <t>Compact Powder</t>
  </si>
  <si>
    <t>ORD-10382</t>
  </si>
  <si>
    <t>Aditya Das</t>
  </si>
  <si>
    <t>Clothing</t>
  </si>
  <si>
    <t>Men's Wear</t>
  </si>
  <si>
    <t>Casual Blazer</t>
  </si>
  <si>
    <t>ORD-10413</t>
  </si>
  <si>
    <t>Neha Iyer</t>
  </si>
  <si>
    <t>Women's Wear</t>
  </si>
  <si>
    <t>Floral Dress</t>
  </si>
  <si>
    <t>ORD-10771</t>
  </si>
  <si>
    <t>Vihaan Khan</t>
  </si>
  <si>
    <t>Decor</t>
  </si>
  <si>
    <t>Table Lamp</t>
  </si>
  <si>
    <t>ORD-10016</t>
  </si>
  <si>
    <t>Arjun Rao</t>
  </si>
  <si>
    <t>Ethnic Kurti</t>
  </si>
  <si>
    <t>ORD-10169</t>
  </si>
  <si>
    <t>Arjun Singh</t>
  </si>
  <si>
    <t>OnePlus Edge</t>
  </si>
  <si>
    <t>ORD-10962</t>
  </si>
  <si>
    <t>Aditya Gupta</t>
  </si>
  <si>
    <t>Skincare</t>
  </si>
  <si>
    <t>Aloe Moisturizer</t>
  </si>
  <si>
    <t>ORD-10892</t>
  </si>
  <si>
    <t>Rohan Das</t>
  </si>
  <si>
    <t>FastCharge Cable</t>
  </si>
  <si>
    <t>ORD-10220</t>
  </si>
  <si>
    <t>Myra Verma</t>
  </si>
  <si>
    <t>ORD-10207</t>
  </si>
  <si>
    <t>Priya Iyer</t>
  </si>
  <si>
    <t>ORD-10408</t>
  </si>
  <si>
    <t>Simran Bose</t>
  </si>
  <si>
    <t>Non-Fiction</t>
  </si>
  <si>
    <t>Mind Over Matter</t>
  </si>
  <si>
    <t>ORD-10417</t>
  </si>
  <si>
    <t>Arjun Gupta</t>
  </si>
  <si>
    <t>Sandals</t>
  </si>
  <si>
    <t>ORD-10419</t>
  </si>
  <si>
    <t>ORD-10061</t>
  </si>
  <si>
    <t>Aarav Agarwal</t>
  </si>
  <si>
    <t>Comics</t>
  </si>
  <si>
    <t>SuperHero Chronicles</t>
  </si>
  <si>
    <t>ORD-10883</t>
  </si>
  <si>
    <t>Diya Verma</t>
  </si>
  <si>
    <t>SnapLite Mini</t>
  </si>
  <si>
    <t>ORD-10331</t>
  </si>
  <si>
    <t>Pooja Das</t>
  </si>
  <si>
    <t>ORD-10700</t>
  </si>
  <si>
    <t>Simran Nair</t>
  </si>
  <si>
    <t>ORD-10551</t>
  </si>
  <si>
    <t>Meera Malhotra</t>
  </si>
  <si>
    <t>ORD-10845</t>
  </si>
  <si>
    <t>Navya Nair</t>
  </si>
  <si>
    <t>Classic Shirt</t>
  </si>
  <si>
    <t>ORD-10262</t>
  </si>
  <si>
    <t>Aadhya Verma</t>
  </si>
  <si>
    <t>Casual Sneakers</t>
  </si>
  <si>
    <t>ORD-10447</t>
  </si>
  <si>
    <t>Sai Nair</t>
  </si>
  <si>
    <t>ORD-10564</t>
  </si>
  <si>
    <t>Krishna Patel</t>
  </si>
  <si>
    <t>Camping Tent</t>
  </si>
  <si>
    <t>ORD-10519</t>
  </si>
  <si>
    <t>Saanvi Malhotra</t>
  </si>
  <si>
    <t>Floral Mist</t>
  </si>
  <si>
    <t>ORD-10295</t>
  </si>
  <si>
    <t>Vivaan Chopra</t>
  </si>
  <si>
    <t>The Growth Mindset</t>
  </si>
  <si>
    <t>ORD-10603</t>
  </si>
  <si>
    <t>Ananya Gupta</t>
  </si>
  <si>
    <t>ORD-10445</t>
  </si>
  <si>
    <t>Reyansh Reddy</t>
  </si>
  <si>
    <t>ORD-10212</t>
  </si>
  <si>
    <t>Vivaan Singh</t>
  </si>
  <si>
    <t>Formal Loafers</t>
  </si>
  <si>
    <t>ORD-10959</t>
  </si>
  <si>
    <t>Statistics Handbook</t>
  </si>
  <si>
    <t>ORD-10450</t>
  </si>
  <si>
    <t>Pooja Bose</t>
  </si>
  <si>
    <t>Wooden Chair</t>
  </si>
  <si>
    <t>ORD-10948</t>
  </si>
  <si>
    <t>Karan Das</t>
  </si>
  <si>
    <t>Microwave Oven</t>
  </si>
  <si>
    <t>ORD-10350</t>
  </si>
  <si>
    <t>Reyansh Khan</t>
  </si>
  <si>
    <t>Musk Perfume</t>
  </si>
  <si>
    <t>ORD-10054</t>
  </si>
  <si>
    <t>Kabir Gupta</t>
  </si>
  <si>
    <t>Denim Jacket</t>
  </si>
  <si>
    <t>ORD-10418</t>
  </si>
  <si>
    <t>Ayaan Nair</t>
  </si>
  <si>
    <t>Graphic Tales</t>
  </si>
  <si>
    <t>ORD-10102</t>
  </si>
  <si>
    <t>Aditya Mishra</t>
  </si>
  <si>
    <t>Gujarat</t>
  </si>
  <si>
    <t>Sofa Set</t>
  </si>
  <si>
    <t>ORD-10250</t>
  </si>
  <si>
    <t>Pooja Singh</t>
  </si>
  <si>
    <t>Mixer Grinder</t>
  </si>
  <si>
    <t>ORD-10149</t>
  </si>
  <si>
    <t>Kabir Joshi</t>
  </si>
  <si>
    <t>Bookshelf Unit</t>
  </si>
  <si>
    <t>ORD-10019</t>
  </si>
  <si>
    <t>Anika Gupta</t>
  </si>
  <si>
    <t>ORD-10094</t>
  </si>
  <si>
    <t>Pooja Chopra</t>
  </si>
  <si>
    <t>ClickShot X1</t>
  </si>
  <si>
    <t>ORD-10206</t>
  </si>
  <si>
    <t>Rohan Iyer</t>
  </si>
  <si>
    <t>ORD-10218</t>
  </si>
  <si>
    <t>ORD-10131</t>
  </si>
  <si>
    <t>Reyansh Nair</t>
  </si>
  <si>
    <t>Kids Wear</t>
  </si>
  <si>
    <t>Winter Jacket Jr</t>
  </si>
  <si>
    <t>ORD-10684</t>
  </si>
  <si>
    <t>Rohan Verma</t>
  </si>
  <si>
    <t>Whispering Pines</t>
  </si>
  <si>
    <t>ORD-10080</t>
  </si>
  <si>
    <t>Riya Patel</t>
  </si>
  <si>
    <t>PowerBank 20K</t>
  </si>
  <si>
    <t>ORD-10453</t>
  </si>
  <si>
    <t>Dhruv Rao</t>
  </si>
  <si>
    <t>ORD-10885</t>
  </si>
  <si>
    <t>Aadhya Khan</t>
  </si>
  <si>
    <t>ORD-10257</t>
  </si>
  <si>
    <t>Aditya Chopra</t>
  </si>
  <si>
    <t>Treadmill Compact</t>
  </si>
  <si>
    <t>ORD-10686</t>
  </si>
  <si>
    <t>ORD-10995</t>
  </si>
  <si>
    <t>Kiara Rao</t>
  </si>
  <si>
    <t>ORD-10985</t>
  </si>
  <si>
    <t>Karan Khan</t>
  </si>
  <si>
    <t>ORD-10063</t>
  </si>
  <si>
    <t>Meera Joshi</t>
  </si>
  <si>
    <t>ORD-10015</t>
  </si>
  <si>
    <t>Aadhya Rao</t>
  </si>
  <si>
    <t>ORD-10130</t>
  </si>
  <si>
    <t>Ananya Singh</t>
  </si>
  <si>
    <t>Cartoon T-Shirt</t>
  </si>
  <si>
    <t>ORD-10957</t>
  </si>
  <si>
    <t>Reyansh Mishra</t>
  </si>
  <si>
    <t>ORD-10065</t>
  </si>
  <si>
    <t>Saanvi Iyer</t>
  </si>
  <si>
    <t>ORD-10243</t>
  </si>
  <si>
    <t>Sai Bose</t>
  </si>
  <si>
    <t>ORD-10822</t>
  </si>
  <si>
    <t>Rohan Patel</t>
  </si>
  <si>
    <t>Hair Mask Deep Repair</t>
  </si>
  <si>
    <t>ORD-10106</t>
  </si>
  <si>
    <t>Kiara Agarwal</t>
  </si>
  <si>
    <t>ORD-10452</t>
  </si>
  <si>
    <t>Vivaan Verma</t>
  </si>
  <si>
    <t>Face Wash Gel</t>
  </si>
  <si>
    <t>ORD-10626</t>
  </si>
  <si>
    <t>Riya Desai</t>
  </si>
  <si>
    <t>Slim Fit Jeans</t>
  </si>
  <si>
    <t>ORD-10988</t>
  </si>
  <si>
    <t>Myra Das</t>
  </si>
  <si>
    <t>ORD-10202</t>
  </si>
  <si>
    <t>Reyansh Iyer</t>
  </si>
  <si>
    <t>ORD-10662</t>
  </si>
  <si>
    <t>Anika Malhotra</t>
  </si>
  <si>
    <t>ORD-10311</t>
  </si>
  <si>
    <t>Saanvi Singh</t>
  </si>
  <si>
    <t>Sunscreen SPF50</t>
  </si>
  <si>
    <t>ORD-10273</t>
  </si>
  <si>
    <t>Pooja Verma</t>
  </si>
  <si>
    <t>Adjustable Dumbbells</t>
  </si>
  <si>
    <t>ORD-10238</t>
  </si>
  <si>
    <t>Diya Desai</t>
  </si>
  <si>
    <t>Comic Universe</t>
  </si>
  <si>
    <t>ORD-10089</t>
  </si>
  <si>
    <t>Meera Chopra</t>
  </si>
  <si>
    <t>ORD-10744</t>
  </si>
  <si>
    <t>Myra Gupta</t>
  </si>
  <si>
    <t>ORD-10819</t>
  </si>
  <si>
    <t>ORD-10767</t>
  </si>
  <si>
    <t>Vihaan Nair</t>
  </si>
  <si>
    <t>Matte Lipstick</t>
  </si>
  <si>
    <t>ORD-10676</t>
  </si>
  <si>
    <t>Reyansh Gupta</t>
  </si>
  <si>
    <t>ORD-10366</t>
  </si>
  <si>
    <t>Priya Das</t>
  </si>
  <si>
    <t>ORD-10487</t>
  </si>
  <si>
    <t>Ananya Patel</t>
  </si>
  <si>
    <t>SoundWave Pro</t>
  </si>
  <si>
    <t>ORD-10939</t>
  </si>
  <si>
    <t>ORD-10914</t>
  </si>
  <si>
    <t>Pooja Desai</t>
  </si>
  <si>
    <t>Ceramic Vase</t>
  </si>
  <si>
    <t>ORD-10814</t>
  </si>
  <si>
    <t>Pixel Nano</t>
  </si>
  <si>
    <t>ORD-10724</t>
  </si>
  <si>
    <t>Aditya Rao</t>
  </si>
  <si>
    <t>Eyeliner Pro</t>
  </si>
  <si>
    <t>ORD-10620</t>
  </si>
  <si>
    <t>Ayaan Gupta</t>
  </si>
  <si>
    <t>Modern Economics</t>
  </si>
  <si>
    <t>ORD-10431</t>
  </si>
  <si>
    <t>Sai Gupta</t>
  </si>
  <si>
    <t>ORD-10181</t>
  </si>
  <si>
    <t>Krishna Kapoor</t>
  </si>
  <si>
    <t>School Uniform Set</t>
  </si>
  <si>
    <t>ORD-10651</t>
  </si>
  <si>
    <t>Myra Mehta</t>
  </si>
  <si>
    <t>ORD-10496</t>
  </si>
  <si>
    <t>Riya Kapoor</t>
  </si>
  <si>
    <t>ORD-10136</t>
  </si>
  <si>
    <t>Anika Joshi</t>
  </si>
  <si>
    <t>Compression Shorts</t>
  </si>
  <si>
    <t>ORD-10426</t>
  </si>
  <si>
    <t>Aarav Mehta</t>
  </si>
  <si>
    <t>ORD-10011</t>
  </si>
  <si>
    <t>Karan Mishra</t>
  </si>
  <si>
    <t>ORD-10481</t>
  </si>
  <si>
    <t>ORD-10270</t>
  </si>
  <si>
    <t>Myra Patel</t>
  </si>
  <si>
    <t>ORD-10981</t>
  </si>
  <si>
    <t>ORD-10639</t>
  </si>
  <si>
    <t>Vihaan Patel</t>
  </si>
  <si>
    <t>ORD-10935</t>
  </si>
  <si>
    <t>Pooja Mehta</t>
  </si>
  <si>
    <t>ORD-10082</t>
  </si>
  <si>
    <t>Myra Bose</t>
  </si>
  <si>
    <t>Vitamin C Serum</t>
  </si>
  <si>
    <t>ORD-10880</t>
  </si>
  <si>
    <t>Rohan Kapoor</t>
  </si>
  <si>
    <t>BassBoost 300</t>
  </si>
  <si>
    <t>ORD-10602</t>
  </si>
  <si>
    <t>Simran Mishra</t>
  </si>
  <si>
    <t>ORD-10835</t>
  </si>
  <si>
    <t>ORD-10540</t>
  </si>
  <si>
    <t>Krishna Rao</t>
  </si>
  <si>
    <t>ORD-10738</t>
  </si>
  <si>
    <t>ORD-10122</t>
  </si>
  <si>
    <t>ORD-10070</t>
  </si>
  <si>
    <t>Dhruv Khan</t>
  </si>
  <si>
    <t>ORD-10706</t>
  </si>
  <si>
    <t>Myra Rao</t>
  </si>
  <si>
    <t>ORD-10267</t>
  </si>
  <si>
    <t>Aarav Singh</t>
  </si>
  <si>
    <t>ORD-10583</t>
  </si>
  <si>
    <t>ORD-10003</t>
  </si>
  <si>
    <t>Priya Verma</t>
  </si>
  <si>
    <t>ORD-10463</t>
  </si>
  <si>
    <t>Sai Iyer</t>
  </si>
  <si>
    <t>ORD-10327</t>
  </si>
  <si>
    <t>Saanvi Mishra</t>
  </si>
  <si>
    <t>ORD-10588</t>
  </si>
  <si>
    <t>Diya Patel</t>
  </si>
  <si>
    <t>Cotton Kurta</t>
  </si>
  <si>
    <t>ORD-10865</t>
  </si>
  <si>
    <t>Ananya Bose</t>
  </si>
  <si>
    <t>Wall Art Frame</t>
  </si>
  <si>
    <t>ORD-10893</t>
  </si>
  <si>
    <t>Arjun Agarwal</t>
  </si>
  <si>
    <t>ORD-10506</t>
  </si>
  <si>
    <t>ORD-10805</t>
  </si>
  <si>
    <t>Anika Khan</t>
  </si>
  <si>
    <t>Foundation Stick</t>
  </si>
  <si>
    <t>ORD-10646</t>
  </si>
  <si>
    <t>Ayaan Khan</t>
  </si>
  <si>
    <t>ORD-10916</t>
  </si>
  <si>
    <t>Ananya Joshi</t>
  </si>
  <si>
    <t>ORD-10288</t>
  </si>
  <si>
    <t>ORD-10641</t>
  </si>
  <si>
    <t>Pooja Kapoor</t>
  </si>
  <si>
    <t>Nova 5G</t>
  </si>
  <si>
    <t>ORD-10787</t>
  </si>
  <si>
    <t>Aarav Nair</t>
  </si>
  <si>
    <t>ORD-10763</t>
  </si>
  <si>
    <t>Myra Joshi</t>
  </si>
  <si>
    <t>ORD-10972</t>
  </si>
  <si>
    <t>ORD-10284</t>
  </si>
  <si>
    <t>Navya Rao</t>
  </si>
  <si>
    <t>ORD-10277</t>
  </si>
  <si>
    <t>Kabir Singh</t>
  </si>
  <si>
    <t>ORD-10928</t>
  </si>
  <si>
    <t>Riya Chopra</t>
  </si>
  <si>
    <t>Denim Overalls</t>
  </si>
  <si>
    <t>ORD-10511</t>
  </si>
  <si>
    <t>Rohan Nair</t>
  </si>
  <si>
    <t>ORD-10396</t>
  </si>
  <si>
    <t>Kiara Reddy</t>
  </si>
  <si>
    <t>Galaxy Note Lite</t>
  </si>
  <si>
    <t>ORD-10196</t>
  </si>
  <si>
    <t>ORD-10961</t>
  </si>
  <si>
    <t>Aarav Reddy</t>
  </si>
  <si>
    <t>ORD-10733</t>
  </si>
  <si>
    <t>ORD-10958</t>
  </si>
  <si>
    <t>ORD-10313</t>
  </si>
  <si>
    <t>ORD-10552</t>
  </si>
  <si>
    <t>Sports Jacket</t>
  </si>
  <si>
    <t>ORD-10683</t>
  </si>
  <si>
    <t>Aadhya Sharma</t>
  </si>
  <si>
    <t>ORD-10856</t>
  </si>
  <si>
    <t>Anika Bose</t>
  </si>
  <si>
    <t>ORD-10831</t>
  </si>
  <si>
    <t>Karan Verma</t>
  </si>
  <si>
    <t>Beyond the Horizon</t>
  </si>
  <si>
    <t>ORD-10459</t>
  </si>
  <si>
    <t>Karan Bose</t>
  </si>
  <si>
    <t>ORD-10386</t>
  </si>
  <si>
    <t>Kiara Nair</t>
  </si>
  <si>
    <t>ORD-10170</t>
  </si>
  <si>
    <t>Ishaan Gupta</t>
  </si>
  <si>
    <t>Hair Growth Serum</t>
  </si>
  <si>
    <t>ORD-10268</t>
  </si>
  <si>
    <t>Ira Verma</t>
  </si>
  <si>
    <t>ORD-10464</t>
  </si>
  <si>
    <t>Arjun Malhotra</t>
  </si>
  <si>
    <t>ORD-10468</t>
  </si>
  <si>
    <t>Ira Agarwal</t>
  </si>
  <si>
    <t>ORD-10160</t>
  </si>
  <si>
    <t>Sai Desai</t>
  </si>
  <si>
    <t>ORD-10830</t>
  </si>
  <si>
    <t>Krishna Reddy</t>
  </si>
  <si>
    <t>Pressure Cooker</t>
  </si>
  <si>
    <t>ORD-10172</t>
  </si>
  <si>
    <t>Karan Desai</t>
  </si>
  <si>
    <t>ORD-10697</t>
  </si>
  <si>
    <t>ORD-10717</t>
  </si>
  <si>
    <t>Citrus Eau de Toilette</t>
  </si>
  <si>
    <t>ORD-10968</t>
  </si>
  <si>
    <t>Sai Sharma</t>
  </si>
  <si>
    <t>ORD-10922</t>
  </si>
  <si>
    <t>ORD-10129</t>
  </si>
  <si>
    <t>Dhruv Verma</t>
  </si>
  <si>
    <t>ORD-10537</t>
  </si>
  <si>
    <t>ORD-10339</t>
  </si>
  <si>
    <t>Aditya Nair</t>
  </si>
  <si>
    <t>ORD-10441</t>
  </si>
  <si>
    <t>Vihaan Mishra</t>
  </si>
  <si>
    <t>ORD-10998</t>
  </si>
  <si>
    <t>ORD-10092</t>
  </si>
  <si>
    <t>Ayaan Kapoor</t>
  </si>
  <si>
    <t>ORD-10955</t>
  </si>
  <si>
    <t>Navya Agarwal</t>
  </si>
  <si>
    <t>Cookware Combo</t>
  </si>
  <si>
    <t>ORD-10120</t>
  </si>
  <si>
    <t>ORD-10318</t>
  </si>
  <si>
    <t>Diya Mishra</t>
  </si>
  <si>
    <t>ORD-10142</t>
  </si>
  <si>
    <t>Vihaan Agarwal</t>
  </si>
  <si>
    <t>ORD-10884</t>
  </si>
  <si>
    <t>Ishaan Verma</t>
  </si>
  <si>
    <t>ORD-10973</t>
  </si>
  <si>
    <t>Sai Rao</t>
  </si>
  <si>
    <t>SilentPods</t>
  </si>
  <si>
    <t>ORD-10960</t>
  </si>
  <si>
    <t>Ananya Agarwal</t>
  </si>
  <si>
    <t>ORD-10397</t>
  </si>
  <si>
    <t>Krishna Gupta</t>
  </si>
  <si>
    <t>Water Bottle Steel</t>
  </si>
  <si>
    <t>ORD-10296</t>
  </si>
  <si>
    <t>Vivaan Mehta</t>
  </si>
  <si>
    <t>ORD-10341</t>
  </si>
  <si>
    <t>Neha Kapoor</t>
  </si>
  <si>
    <t>ORD-10072</t>
  </si>
  <si>
    <t>Kabir Iyer</t>
  </si>
  <si>
    <t>ORD-10480</t>
  </si>
  <si>
    <t>Vihaan Verma</t>
  </si>
  <si>
    <t>ORD-10806</t>
  </si>
  <si>
    <t>Diya Iyer</t>
  </si>
  <si>
    <t>ORD-10518</t>
  </si>
  <si>
    <t>Myra Malhotra</t>
  </si>
  <si>
    <t>ORD-10334</t>
  </si>
  <si>
    <t>Diya Nair</t>
  </si>
  <si>
    <t>ORD-10353</t>
  </si>
  <si>
    <t>Aarav Verma</t>
  </si>
  <si>
    <t>ORD-10193</t>
  </si>
  <si>
    <t>Aarav Das</t>
  </si>
  <si>
    <t>ORD-10279</t>
  </si>
  <si>
    <t>Kiara Mishra</t>
  </si>
  <si>
    <t>ORD-10858</t>
  </si>
  <si>
    <t>ORD-10389</t>
  </si>
  <si>
    <t>ORD-10869</t>
  </si>
  <si>
    <t>Diya Mehta</t>
  </si>
  <si>
    <t>ORD-10987</t>
  </si>
  <si>
    <t>Ishaan Desai</t>
  </si>
  <si>
    <t>ORD-10443</t>
  </si>
  <si>
    <t>Meera Gupta</t>
  </si>
  <si>
    <t>ORD-10776</t>
  </si>
  <si>
    <t>Aditya Khan</t>
  </si>
  <si>
    <t>LED Fairy Lights</t>
  </si>
  <si>
    <t>ORD-10183</t>
  </si>
  <si>
    <t>Priya Kapoor</t>
  </si>
  <si>
    <t>ORD-10197</t>
  </si>
  <si>
    <t>Navya Khan</t>
  </si>
  <si>
    <t>ORD-10230</t>
  </si>
  <si>
    <t>ORD-10789</t>
  </si>
  <si>
    <t>Myra Agarwal</t>
  </si>
  <si>
    <t>ORD-10820</t>
  </si>
  <si>
    <t>ORD-10899</t>
  </si>
  <si>
    <t>Meera Patel</t>
  </si>
  <si>
    <t>ORD-10696</t>
  </si>
  <si>
    <t>ORD-10857</t>
  </si>
  <si>
    <t>Simran Joshi</t>
  </si>
  <si>
    <t>ORD-10794</t>
  </si>
  <si>
    <t>ORD-10797</t>
  </si>
  <si>
    <t>Navya Mishra</t>
  </si>
  <si>
    <t>ORD-10891</t>
  </si>
  <si>
    <t>Ananya Chopra</t>
  </si>
  <si>
    <t>ORD-10764</t>
  </si>
  <si>
    <t>Krishna Malhotra</t>
  </si>
  <si>
    <t>ORD-10317</t>
  </si>
  <si>
    <t>Karan Agarwal</t>
  </si>
  <si>
    <t>ORD-10190</t>
  </si>
  <si>
    <t>Kabir Das</t>
  </si>
  <si>
    <t>ORD-10557</t>
  </si>
  <si>
    <t>StudioMax</t>
  </si>
  <si>
    <t>ORD-10838</t>
  </si>
  <si>
    <t>Ira Desai</t>
  </si>
  <si>
    <t>ORD-10037</t>
  </si>
  <si>
    <t>ORD-10631</t>
  </si>
  <si>
    <t>ORD-10921</t>
  </si>
  <si>
    <t>ORD-10390</t>
  </si>
  <si>
    <t>Ira Khan</t>
  </si>
  <si>
    <t>ORD-10388</t>
  </si>
  <si>
    <t>Rohan Malhotra</t>
  </si>
  <si>
    <t>ORD-10556</t>
  </si>
  <si>
    <t>Conditioner Pro</t>
  </si>
  <si>
    <t>ORD-10792</t>
  </si>
  <si>
    <t>Ananya Reddy</t>
  </si>
  <si>
    <t>ORD-10810</t>
  </si>
  <si>
    <t>Aadhya Mishra</t>
  </si>
  <si>
    <t>ORD-10342</t>
  </si>
  <si>
    <t>ORD-10864</t>
  </si>
  <si>
    <t>Reyansh Joshi</t>
  </si>
  <si>
    <t>ORD-10107</t>
  </si>
  <si>
    <t>ORD-10918</t>
  </si>
  <si>
    <t>Kiara Mehta</t>
  </si>
  <si>
    <t>ORD-10719</t>
  </si>
  <si>
    <t>Karan Gupta</t>
  </si>
  <si>
    <t>ORD-10599</t>
  </si>
  <si>
    <t>ORD-10910</t>
  </si>
  <si>
    <t>Krishna Nair</t>
  </si>
  <si>
    <t>ORD-10477</t>
  </si>
  <si>
    <t>ORD-10671</t>
  </si>
  <si>
    <t>Priya Sharma</t>
  </si>
  <si>
    <t>ORD-10289</t>
  </si>
  <si>
    <t>ORD-10045</t>
  </si>
  <si>
    <t>Rohan Bose</t>
  </si>
  <si>
    <t>ORD-10355</t>
  </si>
  <si>
    <t>Raj Iyer</t>
  </si>
  <si>
    <t>ORD-10793</t>
  </si>
  <si>
    <t>Raj Nair</t>
  </si>
  <si>
    <t>ORD-10416</t>
  </si>
  <si>
    <t>Myra Iyer</t>
  </si>
  <si>
    <t>ORD-10685</t>
  </si>
  <si>
    <t>Kabir Chopra</t>
  </si>
  <si>
    <t>ORD-10515</t>
  </si>
  <si>
    <t>Simran Das</t>
  </si>
  <si>
    <t>ORD-10383</t>
  </si>
  <si>
    <t>Vivaan Rao</t>
  </si>
  <si>
    <t>Silk Saree</t>
  </si>
  <si>
    <t>ORD-10244</t>
  </si>
  <si>
    <t>Neha Mishra</t>
  </si>
  <si>
    <t>ORD-10545</t>
  </si>
  <si>
    <t>Karan Iyer</t>
  </si>
  <si>
    <t>ORD-10022</t>
  </si>
  <si>
    <t>Kabir Desai</t>
  </si>
  <si>
    <t>ORD-10242</t>
  </si>
  <si>
    <t>Sai Mehta</t>
  </si>
  <si>
    <t>ORD-10575</t>
  </si>
  <si>
    <t>Kiara Sharma</t>
  </si>
  <si>
    <t>ORD-10394</t>
  </si>
  <si>
    <t>Anika Rao</t>
  </si>
  <si>
    <t>ORD-10103</t>
  </si>
  <si>
    <t>Simran Iyer</t>
  </si>
  <si>
    <t>ORD-10191</t>
  </si>
  <si>
    <t>ORD-10777</t>
  </si>
  <si>
    <t>Saanvi Reddy</t>
  </si>
  <si>
    <t>ORD-10075</t>
  </si>
  <si>
    <t>Diya Khan</t>
  </si>
  <si>
    <t>ORD-10894</t>
  </si>
  <si>
    <t>Ira Reddy</t>
  </si>
  <si>
    <t>ORD-10201</t>
  </si>
  <si>
    <t>Priya Chopra</t>
  </si>
  <si>
    <t>ORD-10818</t>
  </si>
  <si>
    <t>Saanvi Gupta</t>
  </si>
  <si>
    <t>ORD-10475</t>
  </si>
  <si>
    <t>Ishaan Mehta</t>
  </si>
  <si>
    <t>ORD-10882</t>
  </si>
  <si>
    <t>Arjun Sharma</t>
  </si>
  <si>
    <t>ORD-10544</t>
  </si>
  <si>
    <t>Sai Joshi</t>
  </si>
  <si>
    <t>ORD-10168</t>
  </si>
  <si>
    <t>Navya Desai</t>
  </si>
  <si>
    <t>The Silent Valley</t>
  </si>
  <si>
    <t>ORD-10303</t>
  </si>
  <si>
    <t>Myra Chopra</t>
  </si>
  <si>
    <t>Laptops</t>
  </si>
  <si>
    <t>WorkStation Pro</t>
  </si>
  <si>
    <t>ORD-10159</t>
  </si>
  <si>
    <t>ORD-10752</t>
  </si>
  <si>
    <t>Dhruv Agarwal</t>
  </si>
  <si>
    <t>Screen Guard</t>
  </si>
  <si>
    <t>ORD-10097</t>
  </si>
  <si>
    <t>Ira Iyer</t>
  </si>
  <si>
    <t>ORD-10860</t>
  </si>
  <si>
    <t>ORD-10815</t>
  </si>
  <si>
    <t>Ira Singh</t>
  </si>
  <si>
    <t>ORD-10974</t>
  </si>
  <si>
    <t>Navya Verma</t>
  </si>
  <si>
    <t>ORD-10868</t>
  </si>
  <si>
    <t>ORD-10108</t>
  </si>
  <si>
    <t>Kiara Joshi</t>
  </si>
  <si>
    <t>GameForce X</t>
  </si>
  <si>
    <t>ORD-10576</t>
  </si>
  <si>
    <t>ORD-10758</t>
  </si>
  <si>
    <t>Riya Bose</t>
  </si>
  <si>
    <t>ORD-10205</t>
  </si>
  <si>
    <t>Ananya Malhotra</t>
  </si>
  <si>
    <t>ORD-10837</t>
  </si>
  <si>
    <t>Raj Singh</t>
  </si>
  <si>
    <t>ORD-10870</t>
  </si>
  <si>
    <t>Vivaan Reddy</t>
  </si>
  <si>
    <t>ORD-10775</t>
  </si>
  <si>
    <t>Vivaan Patel</t>
  </si>
  <si>
    <t>ORD-10991</t>
  </si>
  <si>
    <t>ORD-10283</t>
  </si>
  <si>
    <t>Dhruv Chopra</t>
  </si>
  <si>
    <t>ORD-10387</t>
  </si>
  <si>
    <t>Aadhya Chopra</t>
  </si>
  <si>
    <t>ORD-10934</t>
  </si>
  <si>
    <t>Raj Chopra</t>
  </si>
  <si>
    <t>ORD-10799</t>
  </si>
  <si>
    <t>ORD-10999</t>
  </si>
  <si>
    <t>ORD-10623</t>
  </si>
  <si>
    <t>ORD-10297</t>
  </si>
  <si>
    <t>Simran Reddy</t>
  </si>
  <si>
    <t>ORD-10826</t>
  </si>
  <si>
    <t>Ananya Kapoor</t>
  </si>
  <si>
    <t>ORD-10232</t>
  </si>
  <si>
    <t>ORD-10722</t>
  </si>
  <si>
    <t>ORD-10801</t>
  </si>
  <si>
    <t>Vivaan Kapoor</t>
  </si>
  <si>
    <t>ORD-10115</t>
  </si>
  <si>
    <t>Priya Patel</t>
  </si>
  <si>
    <t>ORD-10077</t>
  </si>
  <si>
    <t>ORD-10873</t>
  </si>
  <si>
    <t>Anika Nair</t>
  </si>
  <si>
    <t>ORD-10951</t>
  </si>
  <si>
    <t>ORD-10567</t>
  </si>
  <si>
    <t>ORD-10155</t>
  </si>
  <si>
    <t>ORD-10650</t>
  </si>
  <si>
    <t>Simran Singh</t>
  </si>
  <si>
    <t>ORD-10875</t>
  </si>
  <si>
    <t>Aditya Singh</t>
  </si>
  <si>
    <t>ORD-10251</t>
  </si>
  <si>
    <t>Raj Das</t>
  </si>
  <si>
    <t>ORD-10528</t>
  </si>
  <si>
    <t>ORD-10336</t>
  </si>
  <si>
    <t>Ishaan Khan</t>
  </si>
  <si>
    <t>ORD-10813</t>
  </si>
  <si>
    <t>ORD-10627</t>
  </si>
  <si>
    <t>ORD-10786</t>
  </si>
  <si>
    <t>ORD-10945</t>
  </si>
  <si>
    <t>ORD-10033</t>
  </si>
  <si>
    <t>ORD-10779</t>
  </si>
  <si>
    <t>ORD-10013</t>
  </si>
  <si>
    <t>ORD-10634</t>
  </si>
  <si>
    <t>Karan Rao</t>
  </si>
  <si>
    <t>ORD-10804</t>
  </si>
  <si>
    <t>ORD-10616</t>
  </si>
  <si>
    <t>Kiara Malhotra</t>
  </si>
  <si>
    <t>ORD-10140</t>
  </si>
  <si>
    <t>ORD-10584</t>
  </si>
  <si>
    <t>ORD-10996</t>
  </si>
  <si>
    <t>Kiara Kapoor</t>
  </si>
  <si>
    <t>ORD-10780</t>
  </si>
  <si>
    <t>ORD-10306</t>
  </si>
  <si>
    <t>Karan Sharma</t>
  </si>
  <si>
    <t>ORD-10778</t>
  </si>
  <si>
    <t>Navya Patel</t>
  </si>
  <si>
    <t>ORD-10803</t>
  </si>
  <si>
    <t>Arjun Bose</t>
  </si>
  <si>
    <t>ORD-10469</t>
  </si>
  <si>
    <t>ORD-10049</t>
  </si>
  <si>
    <t>Dhruv Bose</t>
  </si>
  <si>
    <t>ORD-10052</t>
  </si>
  <si>
    <t>Sai Verma</t>
  </si>
  <si>
    <t>ORD-10085</t>
  </si>
  <si>
    <t>ORD-10532</t>
  </si>
  <si>
    <t>ORD-10843</t>
  </si>
  <si>
    <t>Ayaan Rao</t>
  </si>
  <si>
    <t>ORD-10407</t>
  </si>
  <si>
    <t>Sai Agarwal</t>
  </si>
  <si>
    <t>ORD-10628</t>
  </si>
  <si>
    <t>ORD-10471</t>
  </si>
  <si>
    <t>Aadhya Nair</t>
  </si>
  <si>
    <t>ORD-10088</t>
  </si>
  <si>
    <t>Riya Singh</t>
  </si>
  <si>
    <t>ORD-10635</t>
  </si>
  <si>
    <t>Neha Malhotra</t>
  </si>
  <si>
    <t>ORD-10536</t>
  </si>
  <si>
    <t>Vihaan Sharma</t>
  </si>
  <si>
    <t>ORD-10204</t>
  </si>
  <si>
    <t>Aarav Sharma</t>
  </si>
  <si>
    <t>ORD-10720</t>
  </si>
  <si>
    <t>Diya Agarwal</t>
  </si>
  <si>
    <t>ORD-10630</t>
  </si>
  <si>
    <t>ORD-10827</t>
  </si>
  <si>
    <t>ORD-10117</t>
  </si>
  <si>
    <t>ORD-10674</t>
  </si>
  <si>
    <t>ORD-10941</t>
  </si>
  <si>
    <t>ORD-10661</t>
  </si>
  <si>
    <t>ORD-10828</t>
  </si>
  <si>
    <t>ORD-10458</t>
  </si>
  <si>
    <t>Diya Bose</t>
  </si>
  <si>
    <t>ORD-10539</t>
  </si>
  <si>
    <t>Anika Mishra</t>
  </si>
  <si>
    <t>ORD-10709</t>
  </si>
  <si>
    <t>Ayaan Patel</t>
  </si>
  <si>
    <t>ORD-10184</t>
  </si>
  <si>
    <t>Neha Singh</t>
  </si>
  <si>
    <t>ORD-10485</t>
  </si>
  <si>
    <t>Ira Mehta</t>
  </si>
  <si>
    <t>Physics Fundamentals</t>
  </si>
  <si>
    <t>ORD-10825</t>
  </si>
  <si>
    <t>Saanvi Chopra</t>
  </si>
  <si>
    <t>ORD-10911</t>
  </si>
  <si>
    <t>Raj Gupta</t>
  </si>
  <si>
    <t>ORD-10374</t>
  </si>
  <si>
    <t>Dhruv Sharma</t>
  </si>
  <si>
    <t>ORD-10550</t>
  </si>
  <si>
    <t>ORD-10398</t>
  </si>
  <si>
    <t>Meera Das</t>
  </si>
  <si>
    <t>ORD-10863</t>
  </si>
  <si>
    <t>Simran Chopra</t>
  </si>
  <si>
    <t>Resistance Bands Set</t>
  </si>
  <si>
    <t>ORD-10712</t>
  </si>
  <si>
    <t>Vihaan Iyer</t>
  </si>
  <si>
    <t>ORD-10472</t>
  </si>
  <si>
    <t>ORD-10165</t>
  </si>
  <si>
    <t>Arjun Patel</t>
  </si>
  <si>
    <t>ORD-10444</t>
  </si>
  <si>
    <t>Aadhya Singh</t>
  </si>
  <si>
    <t>ORD-10664</t>
  </si>
  <si>
    <t>ORD-10369</t>
  </si>
  <si>
    <t>Aadhya Mehta</t>
  </si>
  <si>
    <t>ORD-10568</t>
  </si>
  <si>
    <t>ORD-10636</t>
  </si>
  <si>
    <t>Neha Rao</t>
  </si>
  <si>
    <t>ORD-10912</t>
  </si>
  <si>
    <t>Myra Reddy</t>
  </si>
  <si>
    <t>ORD-10500</t>
  </si>
  <si>
    <t>Meera Desai</t>
  </si>
  <si>
    <t>ORD-10940</t>
  </si>
  <si>
    <t>Ishaan Agarwal</t>
  </si>
  <si>
    <t>ORD-10171</t>
  </si>
  <si>
    <t>ORD-10821</t>
  </si>
  <si>
    <t>ORD-10833</t>
  </si>
  <si>
    <t>Myra Desai</t>
  </si>
  <si>
    <t>ORD-10516</t>
  </si>
  <si>
    <t>Ira Patel</t>
  </si>
  <si>
    <t>ORD-10449</t>
  </si>
  <si>
    <t>Sai Kapoor</t>
  </si>
  <si>
    <t>ORD-10036</t>
  </si>
  <si>
    <t>Krishna Bose</t>
  </si>
  <si>
    <t>ORD-10978</t>
  </si>
  <si>
    <t>ORD-10907</t>
  </si>
  <si>
    <t>ORD-10298</t>
  </si>
  <si>
    <t>Vivaan Gupta</t>
  </si>
  <si>
    <t>ORD-10432</t>
  </si>
  <si>
    <t>Ira Kapoor</t>
  </si>
  <si>
    <t>ORD-10692</t>
  </si>
  <si>
    <t>ORD-10672</t>
  </si>
  <si>
    <t>Meera Sharma</t>
  </si>
  <si>
    <t>ORD-10161</t>
  </si>
  <si>
    <t>ORD-10781</t>
  </si>
  <si>
    <t>Vihaan Mehta</t>
  </si>
  <si>
    <t>ORD-10896</t>
  </si>
  <si>
    <t>ORD-10014</t>
  </si>
  <si>
    <t>Navya Iyer</t>
  </si>
  <si>
    <t>ORD-10889</t>
  </si>
  <si>
    <t>Reyansh Sharma</t>
  </si>
  <si>
    <t>ORD-10493</t>
  </si>
  <si>
    <t>Neha Mehta</t>
  </si>
  <si>
    <t>ORD-10507</t>
  </si>
  <si>
    <t>ORD-10100</t>
  </si>
  <si>
    <t>Vivaan Bose</t>
  </si>
  <si>
    <t>ORD-10173</t>
  </si>
  <si>
    <t>ORD-10403</t>
  </si>
  <si>
    <t>Reyansh Verma</t>
  </si>
  <si>
    <t>ORD-10430</t>
  </si>
  <si>
    <t>Kabir Mishra</t>
  </si>
  <si>
    <t>ORD-10984</t>
  </si>
  <si>
    <t>ORD-10898</t>
  </si>
  <si>
    <t>Diya Sharma</t>
  </si>
  <si>
    <t>ORD-10304</t>
  </si>
  <si>
    <t>Riya Mishra</t>
  </si>
  <si>
    <t>ORD-10701</t>
  </si>
  <si>
    <t>Vihaan Joshi</t>
  </si>
  <si>
    <t>ORD-10543</t>
  </si>
  <si>
    <t>Ira Das</t>
  </si>
  <si>
    <t>ORD-10320</t>
  </si>
  <si>
    <t>ORD-10756</t>
  </si>
  <si>
    <t>ORD-10929</t>
  </si>
  <si>
    <t>Aarav Desai</t>
  </si>
  <si>
    <t>ORD-10064</t>
  </si>
  <si>
    <t>ORD-10533</t>
  </si>
  <si>
    <t>Priya Nair</t>
  </si>
  <si>
    <t>ORD-10721</t>
  </si>
  <si>
    <t>ORD-10640</t>
  </si>
  <si>
    <t>ORD-10937</t>
  </si>
  <si>
    <t>Vivaan Desai</t>
  </si>
  <si>
    <t>ORD-10263</t>
  </si>
  <si>
    <t>ORD-10470</t>
  </si>
  <si>
    <t>ORD-10455</t>
  </si>
  <si>
    <t>Ishaan Rao</t>
  </si>
  <si>
    <t>ORD-10596</t>
  </si>
  <si>
    <t>ORD-10315</t>
  </si>
  <si>
    <t>ORD-10384</t>
  </si>
  <si>
    <t>ORD-10643</t>
  </si>
  <si>
    <t>Saanvi Agarwal</t>
  </si>
  <si>
    <t>ORD-10979</t>
  </si>
  <si>
    <t>ORD-10241</t>
  </si>
  <si>
    <t>ORD-10514</t>
  </si>
  <si>
    <t>Dhruv Nair</t>
  </si>
  <si>
    <t>History Untold</t>
  </si>
  <si>
    <t>ORD-10363</t>
  </si>
  <si>
    <t>ORD-10615</t>
  </si>
  <si>
    <t>ORD-10704</t>
  </si>
  <si>
    <t>Krishna Das</t>
  </si>
  <si>
    <t>ORD-10215</t>
  </si>
  <si>
    <t>Sai Khan</t>
  </si>
  <si>
    <t>ORD-10337</t>
  </si>
  <si>
    <t>ORD-10307</t>
  </si>
  <si>
    <t>Diya Kapoor</t>
  </si>
  <si>
    <t>ORD-10433</t>
  </si>
  <si>
    <t>ORD-10658</t>
  </si>
  <si>
    <t>Saanvi Das</t>
  </si>
  <si>
    <t>ORD-10983</t>
  </si>
  <si>
    <t>Dhruv Patel</t>
  </si>
  <si>
    <t>ORD-10649</t>
  </si>
  <si>
    <t>ORD-10736</t>
  </si>
  <si>
    <t>ORD-10905</t>
  </si>
  <si>
    <t>ORD-10677</t>
  </si>
  <si>
    <t>ORD-10654</t>
  </si>
  <si>
    <t>ORD-10249</t>
  </si>
  <si>
    <t>ORD-10855</t>
  </si>
  <si>
    <t>ORD-10909</t>
  </si>
  <si>
    <t>Rohan Reddy</t>
  </si>
  <si>
    <t>ORD-10926</t>
  </si>
  <si>
    <t>Neha Gupta</t>
  </si>
  <si>
    <t>ORD-10735</t>
  </si>
  <si>
    <t>Rohan Mehta</t>
  </si>
  <si>
    <t>ORD-10188</t>
  </si>
  <si>
    <t>ORD-10156</t>
  </si>
  <si>
    <t>Arjun Khan</t>
  </si>
  <si>
    <t>ORD-10030</t>
  </si>
  <si>
    <t>Ira Chopra</t>
  </si>
  <si>
    <t>ORD-10669</t>
  </si>
  <si>
    <t>Kabir Agarwal</t>
  </si>
  <si>
    <t>ORD-10221</t>
  </si>
  <si>
    <t>Anika Iyer</t>
  </si>
  <si>
    <t>ORD-10502</t>
  </si>
  <si>
    <t>ORD-10158</t>
  </si>
  <si>
    <t>ORD-10347</t>
  </si>
  <si>
    <t>ORD-10278</t>
  </si>
  <si>
    <t>Pooja Nair</t>
  </si>
  <si>
    <t>ORD-10563</t>
  </si>
  <si>
    <t>Navya Reddy</t>
  </si>
  <si>
    <t>ORD-10668</t>
  </si>
  <si>
    <t>Myra Mishra</t>
  </si>
  <si>
    <t>ORD-10621</t>
  </si>
  <si>
    <t>ORD-10731</t>
  </si>
  <si>
    <t>ORD-10056</t>
  </si>
  <si>
    <t>Priya Mehta</t>
  </si>
  <si>
    <t>ORD-10332</t>
  </si>
  <si>
    <t>Vivaan Joshi</t>
  </si>
  <si>
    <t>ORD-10492</t>
  </si>
  <si>
    <t>Dhruv Kapoor</t>
  </si>
  <si>
    <t>ORD-10175</t>
  </si>
  <si>
    <t>Navya Kapoor</t>
  </si>
  <si>
    <t>ORD-10322</t>
  </si>
  <si>
    <t>Saanvi Sharma</t>
  </si>
  <si>
    <t>ORD-10491</t>
  </si>
  <si>
    <t>Aadhya Reddy</t>
  </si>
  <si>
    <t>ORD-10038</t>
  </si>
  <si>
    <t>Ishaan Kapoor</t>
  </si>
  <si>
    <t>ORD-10917</t>
  </si>
  <si>
    <t>ORD-10675</t>
  </si>
  <si>
    <t>ORD-10330</t>
  </si>
  <si>
    <t>Reyansh Singh</t>
  </si>
  <si>
    <t>ORD-10482</t>
  </si>
  <si>
    <t>ORD-10328</t>
  </si>
  <si>
    <t>ORD-10194</t>
  </si>
  <si>
    <t>Priya Singh</t>
  </si>
  <si>
    <t>ORD-10248</t>
  </si>
  <si>
    <t>Riya Reddy</t>
  </si>
  <si>
    <t>ORD-10925</t>
  </si>
  <si>
    <t>Ishaan Mishra</t>
  </si>
  <si>
    <t>ORD-10245</t>
  </si>
  <si>
    <t>ORD-10548</t>
  </si>
  <si>
    <t>ORD-10395</t>
  </si>
  <si>
    <t>ORD-10997</t>
  </si>
  <si>
    <t>ORD-10936</t>
  </si>
  <si>
    <t>ProBook 14</t>
  </si>
  <si>
    <t>ORD-11000</t>
  </si>
  <si>
    <t>ORD-10688</t>
  </si>
  <si>
    <t>Aditya Desai</t>
  </si>
  <si>
    <t>ORD-10324</t>
  </si>
  <si>
    <t>Vivaan Agarwal</t>
  </si>
  <si>
    <t>ORD-10247</t>
  </si>
  <si>
    <t>Saanvi Desai</t>
  </si>
  <si>
    <t>ORD-10510</t>
  </si>
  <si>
    <t>Pooja Gupta</t>
  </si>
  <si>
    <t>ORD-10301</t>
  </si>
  <si>
    <t>ORD-10486</t>
  </si>
  <si>
    <t>ORD-10932</t>
  </si>
  <si>
    <t>ORD-10963</t>
  </si>
  <si>
    <t>ORD-10333</t>
  </si>
  <si>
    <t>Ananya Sharma</t>
  </si>
  <si>
    <t>ORD-10695</t>
  </si>
  <si>
    <t>Rohan Khan</t>
  </si>
  <si>
    <t>ORD-10729</t>
  </si>
  <si>
    <t>Anika Patel</t>
  </si>
  <si>
    <t>ORD-10226</t>
  </si>
  <si>
    <t>ORD-10260</t>
  </si>
  <si>
    <t>ORD-10128</t>
  </si>
  <si>
    <t>Vivaan Mishra</t>
  </si>
  <si>
    <t>ORD-10127</t>
  </si>
  <si>
    <t>ORD-10725</t>
  </si>
  <si>
    <t>Sai Mishra</t>
  </si>
  <si>
    <t>ORD-10655</t>
  </si>
  <si>
    <t>Vihaan Malhotra</t>
  </si>
  <si>
    <t>ORD-10748</t>
  </si>
  <si>
    <t>ORD-10903</t>
  </si>
  <si>
    <t>ORD-10535</t>
  </si>
  <si>
    <t>ORD-10208</t>
  </si>
  <si>
    <t>ORD-10186</t>
  </si>
  <si>
    <t>ORD-10915</t>
  </si>
  <si>
    <t>ORD-10503</t>
  </si>
  <si>
    <t>Aarav Khan</t>
  </si>
  <si>
    <t>ORD-10017</t>
  </si>
  <si>
    <t>ORD-10375</t>
  </si>
  <si>
    <t>Saanvi Khan</t>
  </si>
  <si>
    <t>ORD-10039</t>
  </si>
  <si>
    <t>ORD-10042</t>
  </si>
  <si>
    <t>Ayaan Iyer</t>
  </si>
  <si>
    <t>ORD-10028</t>
  </si>
  <si>
    <t>ORD-10359</t>
  </si>
  <si>
    <t>Vivaan Malhotra</t>
  </si>
  <si>
    <t>ORD-10067</t>
  </si>
  <si>
    <t>ORD-10148</t>
  </si>
  <si>
    <t>Ayaan Bose</t>
  </si>
  <si>
    <t>ORD-10137</t>
  </si>
  <si>
    <t>Riya Das</t>
  </si>
  <si>
    <t>ORD-10513</t>
  </si>
  <si>
    <t>ORD-10294</t>
  </si>
  <si>
    <t>ORD-10942</t>
  </si>
  <si>
    <t>ORD-10990</t>
  </si>
  <si>
    <t>ORD-10558</t>
  </si>
  <si>
    <t>ORD-10614</t>
  </si>
  <si>
    <t>ORD-10074</t>
  </si>
  <si>
    <t>Kiara Gupta</t>
  </si>
  <si>
    <t>ORD-10111</t>
  </si>
  <si>
    <t>Ishaan Reddy</t>
  </si>
  <si>
    <t>ORD-10604</t>
  </si>
  <si>
    <t>ORD-10497</t>
  </si>
  <si>
    <t>Rohan Gupta</t>
  </si>
  <si>
    <t>ORD-10952</t>
  </si>
  <si>
    <t>ORD-10216</t>
  </si>
  <si>
    <t>ORD-10258</t>
  </si>
  <si>
    <t>ORD-10754</t>
  </si>
  <si>
    <t>Meera Bose</t>
  </si>
  <si>
    <t>ORD-10687</t>
  </si>
  <si>
    <t>Karan Reddy</t>
  </si>
  <si>
    <t>ORD-10751</t>
  </si>
  <si>
    <t>ORD-10409</t>
  </si>
  <si>
    <t>ORD-10812</t>
  </si>
  <si>
    <t>ORD-10971</t>
  </si>
  <si>
    <t>Aditya Joshi</t>
  </si>
  <si>
    <t>ORD-10673</t>
  </si>
  <si>
    <t>ORD-10931</t>
  </si>
  <si>
    <t>Pooja Patel</t>
  </si>
  <si>
    <t>ORD-10144</t>
  </si>
  <si>
    <t>Rohan Mishra</t>
  </si>
  <si>
    <t>ORD-10965</t>
  </si>
  <si>
    <t>Manga Vol. 1</t>
  </si>
  <si>
    <t>ORD-10531</t>
  </si>
  <si>
    <t>ORD-10924</t>
  </si>
  <si>
    <t>Vihaan Rao</t>
  </si>
  <si>
    <t>ORD-10287</t>
  </si>
  <si>
    <t>ORD-10442</t>
  </si>
  <si>
    <t>Sai Malhotra</t>
  </si>
  <si>
    <t>ORD-10228</t>
  </si>
  <si>
    <t>ORD-10116</t>
  </si>
  <si>
    <t>ORD-10785</t>
  </si>
  <si>
    <t>Kabir Reddy</t>
  </si>
  <si>
    <t>ORD-10483</t>
  </si>
  <si>
    <t>Dhruv Mishra</t>
  </si>
  <si>
    <t>ORD-10526</t>
  </si>
  <si>
    <t>ORD-10338</t>
  </si>
  <si>
    <t>Neha Bose</t>
  </si>
  <si>
    <t>ORD-10157</t>
  </si>
  <si>
    <t>ORD-10784</t>
  </si>
  <si>
    <t>Pooja Agarwal</t>
  </si>
  <si>
    <t>ORD-10029</t>
  </si>
  <si>
    <t>Ira Joshi</t>
  </si>
  <si>
    <t>ORD-10146</t>
  </si>
  <si>
    <t>ORD-10591</t>
  </si>
  <si>
    <t>Ishaan Bose</t>
  </si>
  <si>
    <t>ORD-10454</t>
  </si>
  <si>
    <t>Kiara Iyer</t>
  </si>
  <si>
    <t>ORD-10018</t>
  </si>
  <si>
    <t>Reyansh Mehta</t>
  </si>
  <si>
    <t>ORD-10520</t>
  </si>
  <si>
    <t>ORD-10560</t>
  </si>
  <si>
    <t>ORD-10370</t>
  </si>
  <si>
    <t>ORD-10302</t>
  </si>
  <si>
    <t>ORD-10354</t>
  </si>
  <si>
    <t>ORD-10946</t>
  </si>
  <si>
    <t>Reyansh Malhotra</t>
  </si>
  <si>
    <t>ORD-10954</t>
  </si>
  <si>
    <t>Rohan Joshi</t>
  </si>
  <si>
    <t>ORD-10802</t>
  </si>
  <si>
    <t>Meera Verma</t>
  </si>
  <si>
    <t>ORD-10852</t>
  </si>
  <si>
    <t>ORD-10699</t>
  </si>
  <si>
    <t>ORD-10035</t>
  </si>
  <si>
    <t>ORD-10118</t>
  </si>
  <si>
    <t>Kabir Mehta</t>
  </si>
  <si>
    <t>ORD-10059</t>
  </si>
  <si>
    <t>ORD-10200</t>
  </si>
  <si>
    <t>Raj Bose</t>
  </si>
  <si>
    <t>ORD-10004</t>
  </si>
  <si>
    <t>ORD-10800</t>
  </si>
  <si>
    <t>ORD-10271</t>
  </si>
  <si>
    <t>Dhruv Das</t>
  </si>
  <si>
    <t>ORD-10009</t>
  </si>
  <si>
    <t>Neha Khan</t>
  </si>
  <si>
    <t>ORD-10124</t>
  </si>
  <si>
    <t>ORD-10705</t>
  </si>
  <si>
    <t>Kiara Das</t>
  </si>
  <si>
    <t>ORD-10234</t>
  </si>
  <si>
    <t>Ananya Iyer</t>
  </si>
  <si>
    <t>ORD-10609</t>
  </si>
  <si>
    <t>ORD-10795</t>
  </si>
  <si>
    <t>ORD-10373</t>
  </si>
  <si>
    <t>Aarav Chopra</t>
  </si>
  <si>
    <t>ORD-10817</t>
  </si>
  <si>
    <t>Meera Mishra</t>
  </si>
  <si>
    <t>ORD-10947</t>
  </si>
  <si>
    <t>Kabir Nair</t>
  </si>
  <si>
    <t>ORD-10571</t>
  </si>
  <si>
    <t>ORD-10280</t>
  </si>
  <si>
    <t>ORD-10749</t>
  </si>
  <si>
    <t>ORD-10151</t>
  </si>
  <si>
    <t>ORD-10867</t>
  </si>
  <si>
    <t>ORD-10023</t>
  </si>
  <si>
    <t>ORD-10600</t>
  </si>
  <si>
    <t>Meera Singh</t>
  </si>
  <si>
    <t>ORD-10143</t>
  </si>
  <si>
    <t>ORD-10467</t>
  </si>
  <si>
    <t>Riya Joshi</t>
  </si>
  <si>
    <t>ORD-10367</t>
  </si>
  <si>
    <t>ORD-10790</t>
  </si>
  <si>
    <t>Aditya Verma</t>
  </si>
  <si>
    <t>ORD-10632</t>
  </si>
  <si>
    <t>Anika Das</t>
  </si>
  <si>
    <t>ORD-10755</t>
  </si>
  <si>
    <t>Raj Mehta</t>
  </si>
  <si>
    <t>ORD-10476</t>
  </si>
  <si>
    <t>Kabir Malhotra</t>
  </si>
  <si>
    <t>ORD-10739</t>
  </si>
  <si>
    <t>ORD-10125</t>
  </si>
  <si>
    <t>ORD-10399</t>
  </si>
  <si>
    <t>ORD-10666</t>
  </si>
  <si>
    <t>ORD-10769</t>
  </si>
  <si>
    <t>ORD-10135</t>
  </si>
  <si>
    <t>ORD-10494</t>
  </si>
  <si>
    <t>Diya Rao</t>
  </si>
  <si>
    <t>ORD-10177</t>
  </si>
  <si>
    <t>Aarav Gupta</t>
  </si>
  <si>
    <t>ORD-10566</t>
  </si>
  <si>
    <t>ORD-10166</t>
  </si>
  <si>
    <t>ORD-10716</t>
  </si>
  <si>
    <t>Reyansh Agarwal</t>
  </si>
  <si>
    <t>ORD-10259</t>
  </si>
  <si>
    <t>ORD-10708</t>
  </si>
  <si>
    <t>Navya Das</t>
  </si>
  <si>
    <t>ORD-10400</t>
  </si>
  <si>
    <t>Rohan Desai</t>
  </si>
  <si>
    <t>ORD-10890</t>
  </si>
  <si>
    <t>Aditya Agarwal</t>
  </si>
  <si>
    <t>ORD-10849</t>
  </si>
  <si>
    <t>Raj Desai</t>
  </si>
  <si>
    <t>ORD-10101</t>
  </si>
  <si>
    <t>ORD-10233</t>
  </si>
  <si>
    <t>Ananya Nair</t>
  </si>
  <si>
    <t>ORD-10534</t>
  </si>
  <si>
    <t>ORD-10713</t>
  </si>
  <si>
    <t>Dhruv Singh</t>
  </si>
  <si>
    <t>ORD-10326</t>
  </si>
  <si>
    <t>Meera Kapoor</t>
  </si>
  <si>
    <t>ORD-10335</t>
  </si>
  <si>
    <t>Raj Khan</t>
  </si>
  <si>
    <t>ORD-10509</t>
  </si>
  <si>
    <t>ORD-10385</t>
  </si>
  <si>
    <t>Anika Desai</t>
  </si>
  <si>
    <t>ORD-10046</t>
  </si>
  <si>
    <t>ORD-10378</t>
  </si>
  <si>
    <t>ORD-10949</t>
  </si>
  <si>
    <t>Myra Nair</t>
  </si>
  <si>
    <t>ORD-10900</t>
  </si>
  <si>
    <t>Priya Agarwal</t>
  </si>
  <si>
    <t>ORD-10440</t>
  </si>
  <si>
    <t>ORD-10314</t>
  </si>
  <si>
    <t>Meera Nair</t>
  </si>
  <si>
    <t>ORD-10523</t>
  </si>
  <si>
    <t>ORD-10966</t>
  </si>
  <si>
    <t>Aditya Iyer</t>
  </si>
  <si>
    <t>ORD-10611</t>
  </si>
  <si>
    <t>Ira Nair</t>
  </si>
  <si>
    <t>ORD-10573</t>
  </si>
  <si>
    <t>ORD-10930</t>
  </si>
  <si>
    <t>ORD-10235</t>
  </si>
  <si>
    <t>ORD-10992</t>
  </si>
  <si>
    <t>ORD-10601</t>
  </si>
  <si>
    <t>ORD-10391</t>
  </si>
  <si>
    <t>ORD-10001</t>
  </si>
  <si>
    <t>ORD-10415</t>
  </si>
  <si>
    <t>ORD-10747</t>
  </si>
  <si>
    <t>ORD-10484</t>
  </si>
  <si>
    <t>ORD-10841</t>
  </si>
  <si>
    <t>ORD-10980</t>
  </si>
  <si>
    <t>Saanvi Rao</t>
  </si>
  <si>
    <t>ORD-10343</t>
  </si>
  <si>
    <t>Arjun Desai</t>
  </si>
  <si>
    <t>ORD-10774</t>
  </si>
  <si>
    <t>ORD-10239</t>
  </si>
  <si>
    <t>Ananya Khan</t>
  </si>
  <si>
    <t>ORD-10521</t>
  </si>
  <si>
    <t>ORD-10644</t>
  </si>
  <si>
    <t>Pooja Joshi</t>
  </si>
  <si>
    <t>ORD-10702</t>
  </si>
  <si>
    <t>ORD-10090</t>
  </si>
  <si>
    <t>ORD-10824</t>
  </si>
  <si>
    <t>Aditya Malhotra</t>
  </si>
  <si>
    <t>ORD-10851</t>
  </si>
  <si>
    <t>ORD-10164</t>
  </si>
  <si>
    <t>ORD-10679</t>
  </si>
  <si>
    <t>ORD-10718</t>
  </si>
  <si>
    <t>Ananya Rao</t>
  </si>
  <si>
    <t>ORD-10411</t>
  </si>
  <si>
    <t>ORD-10617</t>
  </si>
  <si>
    <t>ORD-10561</t>
  </si>
  <si>
    <t>Karan Chopra</t>
  </si>
  <si>
    <t>ORD-10622</t>
  </si>
  <si>
    <t>Saanvi Joshi</t>
  </si>
  <si>
    <t>ORD-10653</t>
  </si>
  <si>
    <t>ORD-10577</t>
  </si>
  <si>
    <t>ORD-10091</t>
  </si>
  <si>
    <t>ORD-10581</t>
  </si>
  <si>
    <t>Ananya Mehta</t>
  </si>
  <si>
    <t>ORD-10565</t>
  </si>
  <si>
    <t>ORD-10348</t>
  </si>
  <si>
    <t>Sai Reddy</t>
  </si>
  <si>
    <t>ORD-10269</t>
  </si>
  <si>
    <t>ORD-10360</t>
  </si>
  <si>
    <t>Anika Verma</t>
  </si>
  <si>
    <t>ORD-10264</t>
  </si>
  <si>
    <t>ORD-10005</t>
  </si>
  <si>
    <t>Kabir Khan</t>
  </si>
  <si>
    <t>ORD-10757</t>
  </si>
  <si>
    <t>ORD-10176</t>
  </si>
  <si>
    <t>ORD-10908</t>
  </si>
  <si>
    <t>Krishna Agarwal</t>
  </si>
  <si>
    <t>ORD-10406</t>
  </si>
  <si>
    <t>ORD-10405</t>
  </si>
  <si>
    <t>Arjun Nair</t>
  </si>
  <si>
    <t>ORD-10002</t>
  </si>
  <si>
    <t>ORD-10185</t>
  </si>
  <si>
    <t>Krishna Singh</t>
  </si>
  <si>
    <t>ORD-10093</t>
  </si>
  <si>
    <t>Arjun Kapoor</t>
  </si>
  <si>
    <t>ORD-10051</t>
  </si>
  <si>
    <t>Krishna Verma</t>
  </si>
  <si>
    <t>ORD-10062</t>
  </si>
  <si>
    <t>UltraSlim 15</t>
  </si>
  <si>
    <t>ORD-10811</t>
  </si>
  <si>
    <t>Ayaan Desai</t>
  </si>
  <si>
    <t>ORD-10041</t>
  </si>
  <si>
    <t>Myra Sharma</t>
  </si>
  <si>
    <t>Data Science Basics</t>
  </si>
  <si>
    <t>ORD-10069</t>
  </si>
  <si>
    <t>ORD-10652</t>
  </si>
  <si>
    <t>ORD-10119</t>
  </si>
  <si>
    <t>Aditya Kapoor</t>
  </si>
  <si>
    <t>ORD-10425</t>
  </si>
  <si>
    <t>Riya Malhotra</t>
  </si>
  <si>
    <t>ORD-10356</t>
  </si>
  <si>
    <t>ORD-10189</t>
  </si>
  <si>
    <t>Aarav Patel</t>
  </si>
  <si>
    <t>ORD-10489</t>
  </si>
  <si>
    <t>ORD-10012</t>
  </si>
  <si>
    <t>Reyansh Desai</t>
  </si>
  <si>
    <t>ORD-10300</t>
  </si>
  <si>
    <t>ORD-10219</t>
  </si>
  <si>
    <t>ORD-10737</t>
  </si>
  <si>
    <t>ORD-10816</t>
  </si>
  <si>
    <t>Karan Mehta</t>
  </si>
  <si>
    <t>ORD-10969</t>
  </si>
  <si>
    <t>ORD-10424</t>
  </si>
  <si>
    <t>ORD-10266</t>
  </si>
  <si>
    <t>ORD-10874</t>
  </si>
  <si>
    <t>Priya Malhotra</t>
  </si>
  <si>
    <t>ORD-10379</t>
  </si>
  <si>
    <t>ORD-10473</t>
  </si>
  <si>
    <t>ORD-10261</t>
  </si>
  <si>
    <t>Krishna Mishra</t>
  </si>
  <si>
    <t>ORD-10222</t>
  </si>
  <si>
    <t>ORD-10529</t>
  </si>
  <si>
    <t>ORD-10008</t>
  </si>
  <si>
    <t>ORD-10970</t>
  </si>
  <si>
    <t>Ayaan Mishra</t>
  </si>
  <si>
    <t>ORD-10585</t>
  </si>
  <si>
    <t>Rohan Sharma</t>
  </si>
  <si>
    <t>ORD-10071</t>
  </si>
  <si>
    <t>Simran Kapoor</t>
  </si>
  <si>
    <t>ORD-10663</t>
  </si>
  <si>
    <t>ORD-10598</t>
  </si>
  <si>
    <t>ORD-10229</t>
  </si>
  <si>
    <t>ORD-10788</t>
  </si>
  <si>
    <t>ORD-10364</t>
  </si>
  <si>
    <t>Ira Sharma</t>
  </si>
  <si>
    <t>ORD-10964</t>
  </si>
  <si>
    <t>ORD-10376</t>
  </si>
  <si>
    <t>ORD-10871</t>
  </si>
  <si>
    <t>ORD-10490</t>
  </si>
  <si>
    <t>ORD-10618</t>
  </si>
  <si>
    <t>ORD-10808</t>
  </si>
  <si>
    <t>ORD-10393</t>
  </si>
  <si>
    <t>ORD-10217</t>
  </si>
  <si>
    <t>ORD-10579</t>
  </si>
  <si>
    <t>ORD-10836</t>
  </si>
  <si>
    <t>ORD-10689</t>
  </si>
  <si>
    <t>Karan Malhotra</t>
  </si>
  <si>
    <t>ORD-10163</t>
  </si>
  <si>
    <t>ORD-10105</t>
  </si>
  <si>
    <t>ORD-10060</t>
  </si>
  <si>
    <t>ORD-10010</t>
  </si>
  <si>
    <t>ORD-10346</t>
  </si>
  <si>
    <t>ORD-10047</t>
  </si>
  <si>
    <t>ORD-10913</t>
  </si>
  <si>
    <t>Riya Agarwal</t>
  </si>
  <si>
    <t>ORD-10109</t>
  </si>
  <si>
    <t>ORD-10743</t>
  </si>
  <si>
    <t>ORD-10358</t>
  </si>
  <si>
    <t>ORD-10076</t>
  </si>
  <si>
    <t>ORD-10098</t>
  </si>
  <si>
    <t>ORD-10901</t>
  </si>
  <si>
    <t>ORD-10167</t>
  </si>
  <si>
    <t>ORD-10272</t>
  </si>
  <si>
    <t>Rohan Singh</t>
  </si>
  <si>
    <t>ORD-10586</t>
  </si>
  <si>
    <t>Aadhya Das</t>
  </si>
  <si>
    <t>ORD-10741</t>
  </si>
  <si>
    <t>Aarav Rao</t>
  </si>
  <si>
    <t>ORD-10595</t>
  </si>
  <si>
    <t>ORD-10402</t>
  </si>
  <si>
    <t>Anika Sharma</t>
  </si>
  <si>
    <t>ORD-10349</t>
  </si>
  <si>
    <t>ORD-10986</t>
  </si>
  <si>
    <t>ORD-10255</t>
  </si>
  <si>
    <t>Pooja Sharma</t>
  </si>
  <si>
    <t>ORD-10590</t>
  </si>
  <si>
    <t>ORD-10368</t>
  </si>
  <si>
    <t>ORD-10759</t>
  </si>
  <si>
    <t>Neha Das</t>
  </si>
  <si>
    <t>ORD-10223</t>
  </si>
  <si>
    <t>Vihaan Desai</t>
  </si>
  <si>
    <t>ORD-10224</t>
  </si>
  <si>
    <t>ORD-10842</t>
  </si>
  <si>
    <t>Simran Agarwal</t>
  </si>
  <si>
    <t>ORD-10021</t>
  </si>
  <si>
    <t>ORD-10199</t>
  </si>
  <si>
    <t>ORD-10555</t>
  </si>
  <si>
    <t>ORD-10989</t>
  </si>
  <si>
    <t>ORD-10753</t>
  </si>
  <si>
    <t>ORD-10796</t>
  </si>
  <si>
    <t>ORD-10642</t>
  </si>
  <si>
    <t>Kabir Patel</t>
  </si>
  <si>
    <t>ORD-10504</t>
  </si>
  <si>
    <t>ORD-10943</t>
  </si>
  <si>
    <t>ORD-10633</t>
  </si>
  <si>
    <t>ORD-10457</t>
  </si>
  <si>
    <t>ORD-10967</t>
  </si>
  <si>
    <t>Raj Malhotra</t>
  </si>
  <si>
    <t>ORD-10730</t>
  </si>
  <si>
    <t>ORD-10254</t>
  </si>
  <si>
    <t>Aarav Kapoor</t>
  </si>
  <si>
    <t>ORD-10114</t>
  </si>
  <si>
    <t>ORD-10456</t>
  </si>
  <si>
    <t>ORD-10895</t>
  </si>
  <si>
    <t>Aadhya Agarwal</t>
  </si>
  <si>
    <t>ORD-10613</t>
  </si>
  <si>
    <t>ORD-10569</t>
  </si>
  <si>
    <t>ORD-10187</t>
  </si>
  <si>
    <t>Kiara Bose</t>
  </si>
  <si>
    <t>ORD-10734</t>
  </si>
  <si>
    <t>Diya Malhotra</t>
  </si>
  <si>
    <t>ORD-10647</t>
  </si>
  <si>
    <t>ORD-10024</t>
  </si>
  <si>
    <t>ORD-10057</t>
  </si>
  <si>
    <t>ORD-10240</t>
  </si>
  <si>
    <t>Ira Rao</t>
  </si>
  <si>
    <t>ORD-10766</t>
  </si>
  <si>
    <t>Saanvi Kapoor</t>
  </si>
  <si>
    <t>ORD-10498</t>
  </si>
  <si>
    <t>ORD-10608</t>
  </si>
  <si>
    <t>ORD-10740</t>
  </si>
  <si>
    <t>ORD-10026</t>
  </si>
  <si>
    <t>ORD-10381</t>
  </si>
  <si>
    <t>ORD-10321</t>
  </si>
  <si>
    <t>ORD-10549</t>
  </si>
  <si>
    <t>Aarav Bose</t>
  </si>
  <si>
    <t>ORD-10853</t>
  </si>
  <si>
    <t>Riya Mehta</t>
  </si>
  <si>
    <t>ORD-10162</t>
  </si>
  <si>
    <t>ORD-10524</t>
  </si>
  <si>
    <t>ORD-10446</t>
  </si>
  <si>
    <t>ORD-10629</t>
  </si>
  <si>
    <t>ORD-10953</t>
  </si>
  <si>
    <t>ORD-10436</t>
  </si>
  <si>
    <t>ORD-10887</t>
  </si>
  <si>
    <t>ORD-10542</t>
  </si>
  <si>
    <t>Simran Malhotra</t>
  </si>
  <si>
    <t>ORD-10859</t>
  </si>
  <si>
    <t>ORD-10410</t>
  </si>
  <si>
    <t>ORD-10237</t>
  </si>
  <si>
    <t>ORD-10772</t>
  </si>
  <si>
    <t>ORD-10096</t>
  </si>
  <si>
    <t>Anika Reddy</t>
  </si>
  <si>
    <t>ORD-10281</t>
  </si>
  <si>
    <t>ORD-10319</t>
  </si>
  <si>
    <t>ORD-10256</t>
  </si>
  <si>
    <t>ORD-10982</t>
  </si>
  <si>
    <t>Simran Rao</t>
  </si>
  <si>
    <t>ORD-10847</t>
  </si>
  <si>
    <t>ORD-10665</t>
  </si>
  <si>
    <t>ORD-10659</t>
  </si>
  <si>
    <t>ORD-10619</t>
  </si>
  <si>
    <t>ORD-10380</t>
  </si>
  <si>
    <t>ORD-10083</t>
  </si>
  <si>
    <t>Myra Kapoor</t>
  </si>
  <si>
    <t>ORD-10427</t>
  </si>
  <si>
    <t>Krishna Khan</t>
  </si>
  <si>
    <t>ORD-10195</t>
  </si>
  <si>
    <t>ORD-10809</t>
  </si>
  <si>
    <t>Raj Agarwal</t>
  </si>
  <si>
    <t>ORD-10150</t>
  </si>
  <si>
    <t>ORD-10081</t>
  </si>
  <si>
    <t>ORD-10055</t>
  </si>
  <si>
    <t>ORD-10377</t>
  </si>
  <si>
    <t>ORD-10861</t>
  </si>
  <si>
    <t>ORD-10678</t>
  </si>
  <si>
    <t>ORD-10478</t>
  </si>
  <si>
    <t>ORD-10854</t>
  </si>
  <si>
    <t>ORD-10460</t>
  </si>
  <si>
    <t>ORD-10145</t>
  </si>
  <si>
    <t>ORD-10711</t>
  </si>
  <si>
    <t>Neha Nair</t>
  </si>
  <si>
    <t>ORD-10681</t>
  </si>
  <si>
    <t>ORD-10434</t>
  </si>
  <si>
    <t>ORD-10572</t>
  </si>
  <si>
    <t>ORD-10428</t>
  </si>
  <si>
    <t>Navya Sharma</t>
  </si>
  <si>
    <t>ORD-10027</t>
  </si>
  <si>
    <t>Reyansh Bose</t>
  </si>
  <si>
    <t>ORD-10309</t>
  </si>
  <si>
    <t>Diya Singh</t>
  </si>
  <si>
    <t>ORD-10862</t>
  </si>
  <si>
    <t>ORD-10746</t>
  </si>
  <si>
    <t>Pooja Malhotra</t>
  </si>
  <si>
    <t>ORD-10214</t>
  </si>
  <si>
    <t>Priya Rao</t>
  </si>
  <si>
    <t>ORD-10710</t>
  </si>
  <si>
    <t>ORD-10834</t>
  </si>
  <si>
    <t>ORD-10084</t>
  </si>
  <si>
    <t>ORD-10525</t>
  </si>
  <si>
    <t>ORD-10637</t>
  </si>
  <si>
    <t>ORD-10723</t>
  </si>
  <si>
    <t>ORD-10329</t>
  </si>
  <si>
    <t>ORD-10512</t>
  </si>
  <si>
    <t>ORD-10305</t>
  </si>
  <si>
    <t>ORD-10141</t>
  </si>
  <si>
    <t>ORD-10488</t>
  </si>
  <si>
    <t>ORD-10435</t>
  </si>
  <si>
    <t>ORD-10562</t>
  </si>
  <si>
    <t>ORD-10308</t>
  </si>
  <si>
    <t>ORD-10095</t>
  </si>
  <si>
    <t>ORD-10246</t>
  </si>
  <si>
    <t>Arjun Verma</t>
  </si>
  <si>
    <t>ORD-10286</t>
  </si>
  <si>
    <t>Dhruv Desai</t>
  </si>
  <si>
    <t>ORD-10299</t>
  </si>
  <si>
    <t>ORD-10783</t>
  </si>
  <si>
    <t>ORD-10906</t>
  </si>
  <si>
    <t>ORD-10040</t>
  </si>
  <si>
    <t>Rohan Rao</t>
  </si>
  <si>
    <t>ORD-10474</t>
  </si>
  <si>
    <t>Diya Joshi</t>
  </si>
  <si>
    <t>ORD-10050</t>
  </si>
  <si>
    <t>ORD-10182</t>
  </si>
  <si>
    <t>ORD-10352</t>
  </si>
  <si>
    <t>ORD-10877</t>
  </si>
  <si>
    <t>Navya Gupta</t>
  </si>
  <si>
    <t>ORD-10192</t>
  </si>
  <si>
    <t>ORD-10770</t>
  </si>
  <si>
    <t>Ishaan Chopra</t>
  </si>
  <si>
    <t>ORD-10798</t>
  </si>
  <si>
    <t>ORD-10323</t>
  </si>
  <si>
    <t>ORD-10938</t>
  </si>
  <si>
    <t>ORD-10732</t>
  </si>
  <si>
    <t>ORD-10209</t>
  </si>
  <si>
    <t>ORD-10265</t>
  </si>
  <si>
    <t>Kabir Sharma</t>
  </si>
  <si>
    <t>ORD-10530</t>
  </si>
  <si>
    <t>ORD-10994</t>
  </si>
  <si>
    <t>Arjun Mehta</t>
  </si>
  <si>
    <t>ORD-10466</t>
  </si>
  <si>
    <t>ORD-10554</t>
  </si>
  <si>
    <t>ORD-10351</t>
  </si>
  <si>
    <t>ORD-10499</t>
  </si>
  <si>
    <t>Aadhya Kapoor</t>
  </si>
  <si>
    <t>ORD-10112</t>
  </si>
  <si>
    <t>ORD-10099</t>
  </si>
  <si>
    <t>ORD-10461</t>
  </si>
  <si>
    <t>ORD-10582</t>
  </si>
  <si>
    <t>Ananya Verma</t>
  </si>
  <si>
    <t>ORD-10782</t>
  </si>
  <si>
    <t>ORD-10638</t>
  </si>
  <si>
    <t>ORD-10587</t>
  </si>
  <si>
    <t>ORD-10680</t>
  </si>
  <si>
    <t>Arjun Iyer</t>
  </si>
  <si>
    <t>ORD-10742</t>
  </si>
  <si>
    <t>Ayaan Singh</t>
  </si>
  <si>
    <t>ORD-10645</t>
  </si>
  <si>
    <t>ORD-10761</t>
  </si>
  <si>
    <t>ORD-10392</t>
  </si>
  <si>
    <t>ORD-10927</t>
  </si>
  <si>
    <t>ORD-10578</t>
  </si>
  <si>
    <t>ORD-10920</t>
  </si>
  <si>
    <t>ORD-10846</t>
  </si>
  <si>
    <t>ORD-10371</t>
  </si>
  <si>
    <t>ORD-10372</t>
  </si>
  <si>
    <t>ORD-10361</t>
  </si>
  <si>
    <t>Riya Nair</t>
  </si>
  <si>
    <t>ORD-10025</t>
  </si>
  <si>
    <t>ORD-10848</t>
  </si>
  <si>
    <t>ORD-10451</t>
  </si>
  <si>
    <t>ORD-10345</t>
  </si>
  <si>
    <t>ORD-10904</t>
  </si>
  <si>
    <t>Priya Bose</t>
  </si>
  <si>
    <t>ORD-10508</t>
  </si>
  <si>
    <t>Krishna Desai</t>
  </si>
  <si>
    <t>ORD-10517</t>
  </si>
  <si>
    <t>ORD-10580</t>
  </si>
  <si>
    <t>ORD-10479</t>
  </si>
  <si>
    <t>ORD-10656</t>
  </si>
  <si>
    <t>ORD-10053</t>
  </si>
  <si>
    <t>ORD-10505</t>
  </si>
  <si>
    <t>ORD-10726</t>
  </si>
  <si>
    <t>ORD-10773</t>
  </si>
  <si>
    <t>ORD-10657</t>
  </si>
  <si>
    <t>ORD-10282</t>
  </si>
  <si>
    <t>Vivaan Nair</t>
  </si>
  <si>
    <t>ORD-10344</t>
  </si>
  <si>
    <t>ORD-10179</t>
  </si>
  <si>
    <t>Ayaan Das</t>
  </si>
  <si>
    <t>ORD-10762</t>
  </si>
  <si>
    <t>ORD-10404</t>
  </si>
  <si>
    <t>Anika Mehta</t>
  </si>
  <si>
    <t>ORD-10707</t>
  </si>
  <si>
    <t>ORD-10956</t>
  </si>
  <si>
    <t>ORD-10058</t>
  </si>
  <si>
    <t>ORD-10881</t>
  </si>
  <si>
    <t>Ira Bose</t>
  </si>
  <si>
    <t>ORD-10087</t>
  </si>
  <si>
    <t>ORD-10538</t>
  </si>
  <si>
    <t>ORD-10422</t>
  </si>
  <si>
    <t>ORD-10594</t>
  </si>
  <si>
    <t>ORD-10703</t>
  </si>
  <si>
    <t>ORD-10236</t>
  </si>
  <si>
    <t>ORD-10760</t>
  </si>
  <si>
    <t>ORD-10465</t>
  </si>
  <si>
    <t>ORD-10180</t>
  </si>
  <si>
    <t>ORD-10139</t>
  </si>
  <si>
    <t>Kiara Desai</t>
  </si>
  <si>
    <t>ORD-10923</t>
  </si>
  <si>
    <t>ORD-10527</t>
  </si>
  <si>
    <t>ORD-10133</t>
  </si>
  <si>
    <t>ORD-10612</t>
  </si>
  <si>
    <t>ORD-10522</t>
  </si>
  <si>
    <t>ORD-10495</t>
  </si>
  <si>
    <t>Navya Chopra</t>
  </si>
  <si>
    <t>ORD-10316</t>
  </si>
  <si>
    <t>ORD-10068</t>
  </si>
  <si>
    <t>ORD-10462</t>
  </si>
  <si>
    <t>ORD-10357</t>
  </si>
  <si>
    <t>ORD-10421</t>
  </si>
  <si>
    <t>Aadhya Malhotra</t>
  </si>
  <si>
    <t>ORD-10944</t>
  </si>
  <si>
    <t>Neha Joshi</t>
  </si>
  <si>
    <t>ORD-10902</t>
  </si>
  <si>
    <t>ORD-10439</t>
  </si>
  <si>
    <t>ORD-10198</t>
  </si>
  <si>
    <t>ORD-10154</t>
  </si>
  <si>
    <t>ORD-10123</t>
  </si>
  <si>
    <t>ORD-10714</t>
  </si>
  <si>
    <t>Saanvi Nair</t>
  </si>
  <si>
    <t>ORD-10624</t>
  </si>
  <si>
    <t>ORD-10589</t>
  </si>
  <si>
    <t>ORD-10213</t>
  </si>
  <si>
    <t>Sai Das</t>
  </si>
  <si>
    <t>ORD-10888</t>
  </si>
  <si>
    <t>ORD-10276</t>
  </si>
  <si>
    <t>Kiara Verma</t>
  </si>
  <si>
    <t>ORD-10745</t>
  </si>
  <si>
    <t>ORD-10365</t>
  </si>
  <si>
    <t>ORD-10715</t>
  </si>
  <si>
    <t>ORD-10791</t>
  </si>
  <si>
    <t>ORD-10448</t>
  </si>
  <si>
    <t>ORD-10919</t>
  </si>
  <si>
    <t>ORD-10694</t>
  </si>
  <si>
    <t>ORD-10048</t>
  </si>
  <si>
    <t>ORD-10252</t>
  </si>
  <si>
    <t>Reyansh Patel</t>
  </si>
  <si>
    <t>ORD-10553</t>
  </si>
  <si>
    <t>ORD-10340</t>
  </si>
  <si>
    <t>ORD-10174</t>
  </si>
  <si>
    <t>ORD-10031</t>
  </si>
  <si>
    <t>ORD-10559</t>
  </si>
  <si>
    <t>Vihaan Reddy</t>
  </si>
  <si>
    <t>ORD-10210</t>
  </si>
  <si>
    <t>ORD-10872</t>
  </si>
  <si>
    <t>ORD-10541</t>
  </si>
  <si>
    <t>ORD-10401</t>
  </si>
  <si>
    <t>ORD-10606</t>
  </si>
  <si>
    <t>Reyansh Das</t>
  </si>
  <si>
    <t>ORD-10690</t>
  </si>
  <si>
    <t>Riya Verma</t>
  </si>
  <si>
    <t>ORD-10274</t>
  </si>
  <si>
    <t>ORD-10285</t>
  </si>
  <si>
    <t>ORD-10592</t>
  </si>
  <si>
    <t>ORD-10007</t>
  </si>
  <si>
    <t>ORD-10547</t>
  </si>
  <si>
    <t>ORD-10605</t>
  </si>
  <si>
    <t>Meera Iyer</t>
  </si>
  <si>
    <t>ORD-10227</t>
  </si>
  <si>
    <t>ORD-10086</t>
  </si>
  <si>
    <t>ORD-10670</t>
  </si>
  <si>
    <t>ORD-10501</t>
  </si>
  <si>
    <t>ORD-10078</t>
  </si>
  <si>
    <t>ORD-10682</t>
  </si>
  <si>
    <t>ORD-10438</t>
  </si>
  <si>
    <t>ORD-10750</t>
  </si>
  <si>
    <t>ORD-10546</t>
  </si>
  <si>
    <t>ORD-10691</t>
  </si>
  <si>
    <t>ORD-10079</t>
  </si>
  <si>
    <t>Vihaan Bose</t>
  </si>
  <si>
    <t>ORD-10574</t>
  </si>
  <si>
    <t>ORD-10977</t>
  </si>
  <si>
    <t>ORD-10950</t>
  </si>
  <si>
    <t>ORD-10886</t>
  </si>
  <si>
    <t>Vivaan Iyer</t>
  </si>
  <si>
    <t>ORD-10032</t>
  </si>
  <si>
    <t>ORD-10727</t>
  </si>
  <si>
    <t>ORD-10312</t>
  </si>
  <si>
    <t>ORD-10275</t>
  </si>
  <si>
    <t>ORD-10829</t>
  </si>
  <si>
    <t>Riya Rao</t>
  </si>
  <si>
    <t>ORD-10593</t>
  </si>
  <si>
    <t>Ayaan Malhotra</t>
  </si>
  <si>
    <t>ORD-10253</t>
  </si>
  <si>
    <t>ORD-10844</t>
  </si>
  <si>
    <t>Kiara Singh</t>
  </si>
  <si>
    <t>ORD-10693</t>
  </si>
  <si>
    <t>ORD-10292</t>
  </si>
  <si>
    <t>ORD-10132</t>
  </si>
  <si>
    <t>ORD-10437</t>
  </si>
  <si>
    <t>ORD-10073</t>
  </si>
  <si>
    <t>ORD-10420</t>
  </si>
  <si>
    <t>ORD-10976</t>
  </si>
  <si>
    <t>ORD-10034</t>
  </si>
  <si>
    <t>ORD-10876</t>
  </si>
  <si>
    <t>ORD-10006</t>
  </si>
  <si>
    <t>Simran Verma</t>
  </si>
  <si>
    <t>ORD-10823</t>
  </si>
  <si>
    <t>Arjun Joshi</t>
  </si>
  <si>
    <t>ORD-10290</t>
  </si>
  <si>
    <t>ORD-10839</t>
  </si>
  <si>
    <t>Simran Desai</t>
  </si>
  <si>
    <t>ORD-10211</t>
  </si>
  <si>
    <t>Aditya Mehta</t>
  </si>
  <si>
    <t>ORD-10362</t>
  </si>
  <si>
    <t>ORD-10878</t>
  </si>
  <si>
    <t>ORD-10423</t>
  </si>
  <si>
    <t>Raj Reddy</t>
  </si>
  <si>
    <t>ORD-10113</t>
  </si>
  <si>
    <t>ORD-10126</t>
  </si>
  <si>
    <t>ORD-10147</t>
  </si>
  <si>
    <t>ORD-10429</t>
  </si>
  <si>
    <t>ORD-10225</t>
  </si>
  <si>
    <t>ORD-10667</t>
  </si>
  <si>
    <t>ORD-10728</t>
  </si>
  <si>
    <t>ORD-10840</t>
  </si>
  <si>
    <t>ORD-10625</t>
  </si>
  <si>
    <t>ORD-10933</t>
  </si>
  <si>
    <t>ORD-10203</t>
  </si>
  <si>
    <t>Saanvi Mehta</t>
  </si>
  <si>
    <t>ORD-10768</t>
  </si>
  <si>
    <t>AirLight 13</t>
  </si>
  <si>
    <t>ORD-10231</t>
  </si>
  <si>
    <t>ORD-10765</t>
  </si>
  <si>
    <t>ORD-10993</t>
  </si>
  <si>
    <t>ORD-10293</t>
  </si>
  <si>
    <t>ORD-10152</t>
  </si>
  <si>
    <t>ORD-10325</t>
  </si>
  <si>
    <t>ORD-10975</t>
  </si>
  <si>
    <t>ORD-10866</t>
  </si>
  <si>
    <t>ORD-10138</t>
  </si>
  <si>
    <t>ORD-10570</t>
  </si>
  <si>
    <t>ORD-10832</t>
  </si>
  <si>
    <t>ORD-10020</t>
  </si>
  <si>
    <t>Reyansh Chopra</t>
  </si>
  <si>
    <t>ORD-10597</t>
  </si>
  <si>
    <t>Pivot Table Practice — E-Commerce Order Data</t>
  </si>
  <si>
    <t>1. Basic Aggregation — SUM / AVERAGE / COUNT</t>
  </si>
  <si>
    <t>Q1</t>
  </si>
  <si>
    <t>Find the total Sales for each Region. (Values: Sales — Sum)</t>
  </si>
  <si>
    <t>Q2</t>
  </si>
  <si>
    <t>Find the average Profit per Category. (Values: Profit — Average)</t>
  </si>
  <si>
    <t>Q3</t>
  </si>
  <si>
    <t>Count the number of orders placed by each Customer Segment. (Values: Order ID — Count)</t>
  </si>
  <si>
    <t>Q4</t>
  </si>
  <si>
    <t>Find the total Quantity sold for each Product Category.</t>
  </si>
  <si>
    <t>Q5</t>
  </si>
  <si>
    <t>What is the average Discount % given, broken down by Payment Method?</t>
  </si>
  <si>
    <t>2. Two-Dimension Cross-Tabs (Rows x Columns)</t>
  </si>
  <si>
    <t>Q6</t>
  </si>
  <si>
    <t>Build a cross-tab of total Sales with Region in Rows and Category in Columns. Which Region-Category combination has the highest sales?</t>
  </si>
  <si>
    <t>Q7</t>
  </si>
  <si>
    <t>Build a cross-tab of Order Count with Customer Segment in Rows and Order Priority in Columns.</t>
  </si>
  <si>
    <t>Q8</t>
  </si>
  <si>
    <t>Cross-tab total Profit with Category in Rows and Customer Segment in Columns. Which segment is least profitable for Electronics?</t>
  </si>
  <si>
    <t>3. Date Grouping (Group By Month / Quarter / Year)</t>
  </si>
  <si>
    <t>Q9</t>
  </si>
  <si>
    <t>Group Order Date by Month and find total Sales per month. Which month had the highest sales? (Right-click a date in the pivot &gt; Group &gt; Months)</t>
  </si>
  <si>
    <t>Q10</t>
  </si>
  <si>
    <t>Group Order Date by Quarter and Year. Compare total Sales across the 4 quarters of 2024 vs 2025.</t>
  </si>
  <si>
    <t>Q11</t>
  </si>
  <si>
    <t>Using monthly grouping, identify any seasonal spike — which months look like a festive/sale season?</t>
  </si>
  <si>
    <t>4. % of Total / % Difference (Show Values As)</t>
  </si>
  <si>
    <t>Q12</t>
  </si>
  <si>
    <t>Show each Category's Sales as a '% of Grand Total'. Which 2 categories together make up more than 50% of sales?</t>
  </si>
  <si>
    <t>Q13</t>
  </si>
  <si>
    <t>Show each Region's Profit as a '% of Column Total' within its own Region grouping — i.e., % contribution of each Category within a Region.</t>
  </si>
  <si>
    <t>Q14</t>
  </si>
  <si>
    <t>Use 'Show Values As &gt; % Difference From' to compare each month's Sales against the previous month. Which month had the biggest jump?</t>
  </si>
  <si>
    <t>5. Calculated Fields</t>
  </si>
  <si>
    <t>Q15</t>
  </si>
  <si>
    <t>Create a Calculated Field: Profit Margin % = Profit / Sales. Which Category has the healthiest average profit margin?</t>
  </si>
  <si>
    <t>Q16</t>
  </si>
  <si>
    <t>Create a Calculated Field: Average Order Value = Sales / Order Count won't work directly as a calc field (it needs Count) — instead, add Order ID as Count and Sales as Sum in the same pivot, then compute AOV manually in a cell outside the pivot. Compare AOV across Customer Segments.</t>
  </si>
  <si>
    <t>Q17</t>
  </si>
  <si>
    <t>Create a Calculated Field: Net Sales = Sales - Shipping Cost. Which Region has the highest Net Sales?</t>
  </si>
  <si>
    <t>6. Top-N / Filtering</t>
  </si>
  <si>
    <t>Q18</t>
  </si>
  <si>
    <t>Use Value Filters &gt; Top 10 to find the top 10 Product Names by total Sales.</t>
  </si>
  <si>
    <t>Q19</t>
  </si>
  <si>
    <t>Filter the pivot to only 'Critical' and 'High' priority orders — which Category dominates urgent orders?</t>
  </si>
  <si>
    <t>Q20</t>
  </si>
  <si>
    <t>Find the bottom 5 States by total Profit — are any of them net loss-making?</t>
  </si>
  <si>
    <t>7. Multiple Value Fields &amp; Layout</t>
  </si>
  <si>
    <t>Q21</t>
  </si>
  <si>
    <t>Build a pivot with Region in Rows, and both Sum of Sales AND Sum of Profit as Values, side by side. Which region has high sales but low profit (possible high-discount region)?</t>
  </si>
  <si>
    <t>Q22</t>
  </si>
  <si>
    <t>Add Category as a sub-row under Region (nested rows). Use '+/-' buttons to explore drill-down.</t>
  </si>
  <si>
    <t>Q23</t>
  </si>
  <si>
    <t>Add Discount % as a Row field (grouped in bins of 5) and see how average Profit changes as discount increases — does profit shrink or turn negative at high discount bins?</t>
  </si>
  <si>
    <t>Q24</t>
  </si>
  <si>
    <t>Insert a Slicer for 'Region' and a Slicer for 'Payment Method'. Use them together to answer: what are UPI sales like in the South region only?</t>
  </si>
  <si>
    <t>Q25</t>
  </si>
  <si>
    <t>Insert a Timeline slicer on Order Date. Filter to Q4 2024 only and observe how the Category mix changes vs. the full-year pivot.</t>
  </si>
  <si>
    <t>8. Slicers &amp; Interactivity</t>
  </si>
  <si>
    <t>Row Labels</t>
  </si>
  <si>
    <t>Grand Total</t>
  </si>
  <si>
    <t>Sum of Sales</t>
  </si>
  <si>
    <t>Column Labels</t>
  </si>
  <si>
    <t>Sum of Profit</t>
  </si>
  <si>
    <t>Average of Profit</t>
  </si>
  <si>
    <t>Count of Order ID</t>
  </si>
  <si>
    <t># Orders</t>
  </si>
  <si>
    <t>Sum of Quantity</t>
  </si>
  <si>
    <t>Avg Discount %</t>
  </si>
  <si>
    <t>2024</t>
  </si>
  <si>
    <t>2025</t>
  </si>
  <si>
    <t>Qtr1</t>
  </si>
  <si>
    <t>Qtr2</t>
  </si>
  <si>
    <t>Qtr3</t>
  </si>
  <si>
    <t>Qtr4</t>
  </si>
  <si>
    <t>Apr</t>
  </si>
  <si>
    <t>May</t>
  </si>
  <si>
    <t>Jun</t>
  </si>
  <si>
    <t>Jan</t>
  </si>
  <si>
    <t>Feb</t>
  </si>
  <si>
    <t>Mar</t>
  </si>
  <si>
    <t>Jul</t>
  </si>
  <si>
    <t>Aug</t>
  </si>
  <si>
    <t>Sep</t>
  </si>
  <si>
    <t>Oct</t>
  </si>
  <si>
    <t>Nov</t>
  </si>
  <si>
    <t>Dec</t>
  </si>
  <si>
    <t>Sum of Sales2</t>
  </si>
  <si>
    <t>Quarter on Quarter Growth</t>
  </si>
  <si>
    <t>Year on Year Growth (YoY) - Quarterwise</t>
  </si>
  <si>
    <t/>
  </si>
  <si>
    <t>% of Grand Total</t>
  </si>
  <si>
    <t>% of Parent Row Total</t>
  </si>
  <si>
    <t>(Next - Previous)*100/ Previous</t>
  </si>
  <si>
    <t>Month on Month Growth</t>
  </si>
  <si>
    <t>PM Data</t>
  </si>
  <si>
    <t>Average of PM Data</t>
  </si>
  <si>
    <t>Profit Margin - Table</t>
  </si>
  <si>
    <t>Average of PM Calc</t>
  </si>
  <si>
    <t>Manual PM</t>
  </si>
  <si>
    <t>Profit Margin - Calc Field</t>
  </si>
  <si>
    <t>Sum of Net Sales</t>
  </si>
  <si>
    <t>(Multiple Items)</t>
  </si>
  <si>
    <t>Count of Order ID2</t>
  </si>
  <si>
    <t>Home and Kitchen</t>
  </si>
  <si>
    <t>Count of Customer Name</t>
  </si>
  <si>
    <t>Years (Order Date)</t>
  </si>
  <si>
    <t>(All)</t>
  </si>
  <si>
    <t>Sports and Fitness</t>
  </si>
  <si>
    <t>Year 2024</t>
  </si>
  <si>
    <t>Q4 2024</t>
  </si>
  <si>
    <t>&gt;=1</t>
  </si>
  <si>
    <t>&gt;=2</t>
  </si>
  <si>
    <t>&gt;=3</t>
  </si>
  <si>
    <t>&gt;=4</t>
  </si>
  <si>
    <t>&gt;=5</t>
  </si>
  <si>
    <t>items bought</t>
  </si>
  <si>
    <t># buyers</t>
  </si>
  <si>
    <t>Average of Sales2</t>
  </si>
  <si>
    <t>Average of Discount %</t>
  </si>
  <si>
    <t>Sum of Shipping Cost</t>
  </si>
  <si>
    <t>Max of Discount %</t>
  </si>
  <si>
    <t>Column1</t>
  </si>
  <si>
    <t>Column2</t>
  </si>
  <si>
    <t>ShippingCost</t>
  </si>
  <si>
    <t>%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</si>
</sst>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0&quot;%&quot;"/>
    <numFmt numFmtId="165" formatCode="yyyy\-mm\-dd"/>
    <numFmt numFmtId="166" formatCode="_(&quot;$&quot;* #,##0_);_(&quot;$&quot;* \(#,##0\);_(&quot;$&quot;* &quot;-&quot;??_);_(@_)"/>
    <numFmt numFmtId="167" formatCode="0.0%"/>
    <numFmt numFmtId="168" formatCode="0.0&quot;%&quot;"/>
    <numFmt numFmtId="169" formatCode="_(* #,##0_);_(* \(#,##0\);_(* &quot;-&quot;??_);_(@_)"/>
    <numFmt numFmtId="176" formatCode="0.0"/>
    <numFmt numFmtId="184" formatCode="_ [$₹-4009]\ * #,##0_ ;_ [$₹-4009]\ * \-#,##0_ ;_ [$₹-4009]\ * &quot;-&quot;??_ ;_ @_ "/>
    <numFmt numFmtId="189" formatCode="\₹\ #.0,\ &quot;K&quot;"/>
  </numFmts>
  <fonts count="11" x14ac:knownFonts="1">
    <font>
      <sz val="11"/>
      <color theme="1"/>
      <name val="Calibri"/>
      <family val="2"/>
      <scheme val="minor"/>
    </font>
    <font>
      <sz val="10"/>
      <name val="Arial"/>
      <family val="2"/>
    </font>
    <font>
      <b/>
      <sz val="14"/>
      <color rgb="FF2E5395"/>
      <name val="Arial"/>
      <family val="2"/>
    </font>
    <font>
      <b/>
      <sz val="12"/>
      <color rgb="FFFFFFFF"/>
      <name val="Arial"/>
      <family val="2"/>
    </font>
    <font>
      <b/>
      <sz val="10"/>
      <name val="Arial"/>
      <family val="2"/>
    </font>
    <font>
      <sz val="11"/>
      <name val="Arial"/>
      <family val="2"/>
    </font>
    <font>
      <b/>
      <sz val="11"/>
      <name val="Arial"/>
      <family val="2"/>
    </font>
    <font>
      <b/>
      <sz val="12"/>
      <color rgb="FFFFFFFF"/>
      <name val="Arial"/>
      <family val="2"/>
    </font>
    <font>
      <sz val="11"/>
      <color theme="1"/>
      <name val="Calibri"/>
      <family val="2"/>
      <scheme val="minor"/>
    </font>
    <font>
      <b/>
      <sz val="11"/>
      <color theme="1"/>
      <name val="Calibri"/>
      <family val="2"/>
      <scheme val="minor"/>
    </font>
    <font>
      <b/>
      <i/>
      <sz val="11"/>
      <color theme="1"/>
      <name val="Calibri"/>
      <family val="2"/>
      <scheme val="minor"/>
    </font>
  </fonts>
  <fills count="11">
    <fill>
      <patternFill patternType="none"/>
    </fill>
    <fill>
      <patternFill patternType="gray125"/>
    </fill>
    <fill>
      <patternFill patternType="solid">
        <fgColor rgb="FF4472C4"/>
        <bgColor rgb="FF4472C4"/>
      </patternFill>
    </fill>
    <fill>
      <patternFill patternType="solid">
        <fgColor theme="0"/>
        <bgColor theme="4" tint="0.59999389629810485"/>
      </patternFill>
    </fill>
    <fill>
      <patternFill patternType="solid">
        <fgColor theme="0"/>
        <bgColor theme="4" tint="0.79998168889431442"/>
      </patternFill>
    </fill>
    <fill>
      <patternFill patternType="solid">
        <fgColor theme="4" tint="0.79998168889431442"/>
        <bgColor rgb="FF2E5395"/>
      </patternFill>
    </fill>
    <fill>
      <patternFill patternType="solid">
        <fgColor rgb="FFFFFF00"/>
        <bgColor indexed="64"/>
      </patternFill>
    </fill>
    <fill>
      <patternFill patternType="solid">
        <fgColor rgb="FF92D050"/>
        <bgColor indexed="64"/>
      </patternFill>
    </fill>
    <fill>
      <patternFill patternType="solid">
        <fgColor theme="2"/>
        <bgColor indexed="64"/>
      </patternFill>
    </fill>
    <fill>
      <patternFill patternType="solid">
        <fgColor theme="4" tint="0.79998168889431442"/>
        <bgColor theme="4" tint="0.79998168889431442"/>
      </patternFill>
    </fill>
    <fill>
      <patternFill patternType="solid">
        <fgColor theme="3"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xf numFmtId="44"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cellStyleXfs>
  <cellXfs count="52">
    <xf numFmtId="0" fontId="0" fillId="0" borderId="0" xfId="0"/>
    <xf numFmtId="0" fontId="4" fillId="0" borderId="0" xfId="0" applyFont="1"/>
    <xf numFmtId="0" fontId="5" fillId="0" borderId="0" xfId="0" applyFont="1" applyAlignment="1">
      <alignment vertical="top" wrapText="1"/>
    </xf>
    <xf numFmtId="0" fontId="1" fillId="3" borderId="1" xfId="0" applyFont="1" applyFill="1" applyBorder="1"/>
    <xf numFmtId="165" fontId="1" fillId="3" borderId="1" xfId="0" applyNumberFormat="1" applyFont="1" applyFill="1" applyBorder="1"/>
    <xf numFmtId="4" fontId="1" fillId="3" borderId="1" xfId="0" applyNumberFormat="1" applyFont="1" applyFill="1" applyBorder="1"/>
    <xf numFmtId="164" fontId="1" fillId="3" borderId="1" xfId="0" applyNumberFormat="1" applyFont="1" applyFill="1" applyBorder="1"/>
    <xf numFmtId="0" fontId="1" fillId="4" borderId="1" xfId="0" applyFont="1" applyFill="1" applyBorder="1"/>
    <xf numFmtId="165" fontId="1" fillId="4" borderId="1" xfId="0" applyNumberFormat="1" applyFont="1" applyFill="1" applyBorder="1"/>
    <xf numFmtId="4" fontId="1" fillId="4" borderId="1" xfId="0" applyNumberFormat="1" applyFont="1" applyFill="1" applyBorder="1"/>
    <xf numFmtId="164" fontId="1" fillId="4" borderId="1" xfId="0" applyNumberFormat="1" applyFont="1" applyFill="1" applyBorder="1"/>
    <xf numFmtId="0" fontId="6" fillId="5" borderId="1" xfId="0" applyFont="1" applyFill="1" applyBorder="1" applyAlignment="1">
      <alignment horizontal="center" vertical="center"/>
    </xf>
    <xf numFmtId="0" fontId="0" fillId="6" borderId="0" xfId="0" applyFill="1"/>
    <xf numFmtId="0" fontId="9" fillId="6" borderId="0" xfId="0" applyFont="1" applyFill="1"/>
    <xf numFmtId="0" fontId="0" fillId="0" borderId="0" xfId="0" pivotButton="1"/>
    <xf numFmtId="0" fontId="0" fillId="0" borderId="0" xfId="0" applyAlignment="1">
      <alignment horizontal="left"/>
    </xf>
    <xf numFmtId="4" fontId="0" fillId="0" borderId="0" xfId="0" applyNumberFormat="1"/>
    <xf numFmtId="166" fontId="0" fillId="0" borderId="0" xfId="0" applyNumberFormat="1"/>
    <xf numFmtId="0" fontId="0" fillId="0" borderId="0" xfId="0" applyAlignment="1">
      <alignment horizontal="left" indent="1"/>
    </xf>
    <xf numFmtId="1" fontId="0" fillId="0" borderId="0" xfId="0" applyNumberFormat="1"/>
    <xf numFmtId="10" fontId="0" fillId="0" borderId="0" xfId="0" applyNumberFormat="1"/>
    <xf numFmtId="9" fontId="0" fillId="0" borderId="0" xfId="0" applyNumberFormat="1"/>
    <xf numFmtId="168" fontId="0" fillId="0" borderId="0" xfId="0" applyNumberFormat="1"/>
    <xf numFmtId="0" fontId="0" fillId="6" borderId="0" xfId="0" applyFill="1" applyAlignment="1">
      <alignment horizontal="left"/>
    </xf>
    <xf numFmtId="9" fontId="0" fillId="6" borderId="0" xfId="0" applyNumberFormat="1" applyFill="1"/>
    <xf numFmtId="0" fontId="0" fillId="7" borderId="0" xfId="0" applyFill="1" applyAlignment="1">
      <alignment horizontal="left"/>
    </xf>
    <xf numFmtId="9" fontId="0" fillId="7" borderId="0" xfId="0" applyNumberFormat="1" applyFill="1"/>
    <xf numFmtId="9" fontId="0" fillId="0" borderId="0" xfId="2" applyFont="1"/>
    <xf numFmtId="10" fontId="0" fillId="0" borderId="0" xfId="2" applyNumberFormat="1" applyFont="1"/>
    <xf numFmtId="0" fontId="10" fillId="8" borderId="0" xfId="0" applyFont="1" applyFill="1"/>
    <xf numFmtId="167" fontId="0" fillId="0" borderId="1" xfId="2" applyNumberFormat="1" applyFont="1" applyBorder="1"/>
    <xf numFmtId="169" fontId="0" fillId="0" borderId="0" xfId="0" applyNumberFormat="1"/>
    <xf numFmtId="166" fontId="0" fillId="0" borderId="0" xfId="1" applyNumberFormat="1" applyFont="1"/>
    <xf numFmtId="0" fontId="9" fillId="0" borderId="0" xfId="0" applyFont="1"/>
    <xf numFmtId="164" fontId="0" fillId="0" borderId="0" xfId="0" applyNumberFormat="1" applyAlignment="1">
      <alignment horizontal="left"/>
    </xf>
    <xf numFmtId="0" fontId="2" fillId="0" borderId="0" xfId="0" applyFont="1"/>
    <xf numFmtId="0" fontId="0" fillId="0" borderId="0" xfId="0"/>
    <xf numFmtId="0" fontId="7" fillId="2" borderId="0" xfId="0" applyFont="1" applyFill="1"/>
    <xf numFmtId="0" fontId="3" fillId="2" borderId="0" xfId="0" applyFont="1" applyFill="1"/>
    <xf numFmtId="0" fontId="9" fillId="9" borderId="2" xfId="0" applyFont="1" applyFill="1" applyBorder="1"/>
    <xf numFmtId="0" fontId="0" fillId="0" borderId="0" xfId="0" applyNumberFormat="1"/>
    <xf numFmtId="0" fontId="0" fillId="10" borderId="0" xfId="0" applyFill="1"/>
    <xf numFmtId="2" fontId="0" fillId="0" borderId="0" xfId="0" applyNumberFormat="1"/>
    <xf numFmtId="176" fontId="0" fillId="0" borderId="0" xfId="0" applyNumberFormat="1"/>
    <xf numFmtId="169" fontId="0" fillId="0" borderId="0" xfId="3" applyNumberFormat="1" applyFont="1"/>
    <xf numFmtId="184" fontId="0" fillId="0" borderId="0" xfId="0" applyNumberFormat="1"/>
    <xf numFmtId="189" fontId="0" fillId="0" borderId="0" xfId="0" applyNumberFormat="1" applyAlignment="1">
      <alignment horizontal="left"/>
    </xf>
    <xf numFmtId="189" fontId="0" fillId="0" borderId="0" xfId="0" applyNumberFormat="1"/>
    <xf numFmtId="0" fontId="9" fillId="0" borderId="2" xfId="0" applyFont="1" applyBorder="1" applyAlignment="1">
      <alignment horizontal="left"/>
    </xf>
    <xf numFmtId="166" fontId="9" fillId="0" borderId="2" xfId="0" applyNumberFormat="1" applyFont="1" applyBorder="1"/>
    <xf numFmtId="0" fontId="9" fillId="9" borderId="3" xfId="0" applyFont="1" applyFill="1" applyBorder="1" applyAlignment="1">
      <alignment horizontal="left"/>
    </xf>
    <xf numFmtId="166" fontId="9" fillId="9" borderId="3" xfId="0" applyNumberFormat="1" applyFont="1" applyFill="1" applyBorder="1"/>
  </cellXfs>
  <cellStyles count="4">
    <cellStyle name="Comma" xfId="3" builtinId="3"/>
    <cellStyle name="Currency" xfId="1" builtinId="4"/>
    <cellStyle name="Normal" xfId="0" builtinId="0"/>
    <cellStyle name="Percent" xfId="2" builtinId="5"/>
  </cellStyles>
  <dxfs count="87">
    <dxf>
      <numFmt numFmtId="166" formatCode="_(&quot;$&quot;* #,##0_);_(&quot;$&quot;* \(#,##0\);_(&quot;$&quot;* &quot;-&quot;??_);_(@_)"/>
    </dxf>
    <dxf>
      <numFmt numFmtId="189" formatCode="\₹\ #.0,\ &quot;K&quot;"/>
    </dxf>
    <dxf>
      <numFmt numFmtId="189" formatCode="\₹\ #.0,\ &quot;K&quot;"/>
    </dxf>
    <dxf>
      <numFmt numFmtId="176" formatCode="0.0"/>
    </dxf>
    <dxf>
      <numFmt numFmtId="166" formatCode="_(&quot;$&quot;* #,##0_);_(&quot;$&quot;* \(#,##0\);_(&quot;$&quot;* &quot;-&quot;??_);_(@_)"/>
    </dxf>
    <dxf>
      <numFmt numFmtId="189" formatCode="\₹\ #.0,\ &quot;K&quot;"/>
      <alignment horizontal="left" vertical="bottom" textRotation="0" wrapText="0" indent="0" justifyLastLine="0" shrinkToFit="0" readingOrder="0"/>
    </dxf>
    <dxf>
      <alignment horizontal="left" vertical="bottom" textRotation="0" wrapText="0" indent="0" justifyLastLine="0" shrinkToFit="0" readingOrder="0"/>
    </dxf>
    <dxf>
      <numFmt numFmtId="166" formatCode="_(&quot;$&quot;* #,##0_);_(&quot;$&quot;* \(#,##0\);_(&quot;$&quot;* &quot;-&quot;??_);_(@_)"/>
    </dxf>
    <dxf>
      <numFmt numFmtId="166" formatCode="_(&quot;$&quot;* #,##0_);_(&quot;$&quot;* \(#,##0\);_(&quot;$&quot;* &quot;-&quot;??_);_(@_)"/>
    </dxf>
    <dxf>
      <numFmt numFmtId="1"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2" formatCode="0.00"/>
    </dxf>
    <dxf>
      <numFmt numFmtId="1" formatCode="0"/>
    </dxf>
    <dxf>
      <numFmt numFmtId="166" formatCode="_(&quot;$&quot;* #,##0_);_(&quot;$&quot;* \(#,##0\);_(&quot;$&quot;* &quot;-&quot;??_);_(@_)"/>
    </dxf>
    <dxf>
      <numFmt numFmtId="2" formatCode="0.00"/>
    </dxf>
    <dxf>
      <numFmt numFmtId="2" formatCode="0.00"/>
    </dxf>
    <dxf>
      <numFmt numFmtId="166" formatCode="_(&quot;$&quot;* #,##0_);_(&quot;$&quot;* \(#,##0\);_(&quot;$&quot;* &quot;-&quot;??_);_(@_)"/>
    </dxf>
    <dxf>
      <numFmt numFmtId="184" formatCode="_ [$₹-4009]\ * #,##0_ ;_ [$₹-4009]\ * \-#,##0_ ;_ [$₹-4009]\ * &quot;-&quot;??_ ;_ @_ "/>
    </dxf>
    <dxf>
      <numFmt numFmtId="184" formatCode="_ [$₹-4009]\ * #,##0_ ;_ [$₹-4009]\ * \-#,##0_ ;_ [$₹-4009]\ * &quot;-&quot;??_ ;_ @_ "/>
    </dxf>
    <dxf>
      <numFmt numFmtId="2" formatCode="0.00"/>
    </dxf>
    <dxf>
      <numFmt numFmtId="169" formatCode="_(* #,##0_);_(* \(#,##0\);_(* &quot;-&quot;??_);_(@_)"/>
    </dxf>
    <dxf>
      <numFmt numFmtId="169" formatCode="_(* #,##0_);_(* \(#,##0\);_(* &quot;-&quot;??_);_(@_)"/>
    </dxf>
    <dxf>
      <numFmt numFmtId="166" formatCode="_(&quot;$&quot;* #,##0_);_(&quot;$&quot;* \(#,##0\);_(&quot;$&quot;* &quot;-&quot;??_);_(@_)"/>
    </dxf>
    <dxf>
      <numFmt numFmtId="13" formatCode="0%"/>
    </dxf>
    <dxf>
      <numFmt numFmtId="14" formatCode="0.00%"/>
    </dxf>
    <dxf>
      <numFmt numFmtId="166" formatCode="_(&quot;$&quot;* #,##0_);_(&quot;$&quot;* \(#,##0\);_(&quot;$&quot;* &quot;-&quot;??_);_(@_)"/>
    </dxf>
    <dxf>
      <numFmt numFmtId="166" formatCode="_(&quot;$&quot;* #,##0_);_(&quot;$&quot;* \(#,##0\);_(&quot;$&quot;* &quot;-&quot;??_);_(@_)"/>
    </dxf>
    <dxf>
      <numFmt numFmtId="166" formatCode="_(&quot;$&quot;* #,##0_);_(&quot;$&quot;* \(#,##0\);_(&quot;$&quot;* &quot;-&quot;??_);_(@_)"/>
    </dxf>
    <dxf>
      <numFmt numFmtId="13" formatCode="0%"/>
    </dxf>
    <dxf>
      <numFmt numFmtId="14" formatCode="0.00%"/>
    </dxf>
    <dxf>
      <numFmt numFmtId="14" formatCode="0.00%"/>
    </dxf>
    <dxf>
      <numFmt numFmtId="166" formatCode="_(&quot;$&quot;* #,##0_);_(&quot;$&quot;* \(#,##0\);_(&quot;$&quot;* &quot;-&quot;??_);_(@_)"/>
    </dxf>
    <dxf>
      <numFmt numFmtId="13" formatCode="0%"/>
    </dxf>
    <dxf>
      <numFmt numFmtId="14" formatCode="0.00%"/>
    </dxf>
    <dxf>
      <numFmt numFmtId="0" formatCode="General"/>
    </dxf>
    <dxf>
      <fill>
        <patternFill>
          <bgColor rgb="FF92D050"/>
        </patternFill>
      </fill>
    </dxf>
    <dxf>
      <fill>
        <patternFill>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3" formatCode="0%"/>
    </dxf>
    <dxf>
      <numFmt numFmtId="14" formatCode="0.00%"/>
    </dxf>
    <dxf>
      <numFmt numFmtId="166" formatCode="_(&quot;$&quot;* #,##0_);_(&quot;$&quot;* \(#,##0\);_(&quot;$&quot;* &quot;-&quot;??_);_(@_)"/>
    </dxf>
    <dxf>
      <numFmt numFmtId="168" formatCode="0.0&quot;%&quot;"/>
    </dxf>
    <dxf>
      <numFmt numFmtId="166" formatCode="_(&quot;$&quot;* #,##0_);_(&quot;$&quot;* \(#,##0\);_(&quot;$&quot;* &quot;-&quot;??_);_(@_)"/>
    </dxf>
    <dxf>
      <numFmt numFmtId="166" formatCode="_(&quot;$&quot;* #,##0_);_(&quot;$&quot;* \(#,##0\);_(&quot;$&quot;* &quot;-&quot;??_);_(@_)"/>
    </dxf>
    <dxf>
      <numFmt numFmtId="14" formatCode="0.0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4" formatCode="0.00%"/>
    </dxf>
    <dxf>
      <numFmt numFmtId="14" formatCode="0.00%"/>
    </dxf>
    <dxf>
      <numFmt numFmtId="166" formatCode="_(&quot;$&quot;* #,##0_);_(&quot;$&quot;* \(#,##0\);_(&quot;$&quot;* &quot;-&quot;??_);_(@_)"/>
    </dxf>
    <dxf>
      <numFmt numFmtId="166" formatCode="_(&quot;$&quot;* #,##0_);_(&quot;$&quot;* \(#,##0\);_(&quot;$&quot;* &quot;-&quot;??_);_(@_)"/>
    </dxf>
    <dxf>
      <numFmt numFmtId="166" formatCode="_(&quot;$&quot;* #,##0_);_(&quot;$&quot;* \(#,##0\);_(&quot;$&quot;* &quot;-&quot;??_);_(@_)"/>
    </dxf>
    <dxf>
      <numFmt numFmtId="14" formatCode="0.00%"/>
    </dxf>
    <dxf>
      <numFmt numFmtId="166" formatCode="_(&quot;$&quot;* #,##0_);_(&quot;$&quot;* \(#,##0\);_(&quot;$&quot;* &quot;-&quot;??_);_(@_)"/>
    </dxf>
    <dxf>
      <numFmt numFmtId="0" formatCode="General"/>
    </dxf>
    <dxf>
      <numFmt numFmtId="166" formatCode="_(&quot;$&quot;* #,##0_);_(&quot;$&quot;* \(#,##0\);_(&quot;$&quot;* &quot;-&quot;??_);_(@_)"/>
    </dxf>
    <dxf>
      <numFmt numFmtId="13" formatCode="0%"/>
    </dxf>
    <dxf>
      <numFmt numFmtId="13" formatCode="0%"/>
    </dxf>
    <dxf>
      <numFmt numFmtId="13" formatCode="0%"/>
    </dxf>
    <dxf>
      <numFmt numFmtId="14" formatCode="0.00%"/>
    </dxf>
    <dxf>
      <numFmt numFmtId="13" formatCode="0%"/>
    </dxf>
    <dxf>
      <numFmt numFmtId="14" formatCode="0.00%"/>
    </dxf>
    <dxf>
      <numFmt numFmtId="166" formatCode="_(&quot;$&quot;* #,##0_);_(&quot;$&quot;* \(#,##0\);_(&quot;$&quot;* &quot;-&quot;??_);_(@_)"/>
    </dxf>
    <dxf>
      <numFmt numFmtId="1" formatCode="0"/>
    </dxf>
    <dxf>
      <numFmt numFmtId="169" formatCode="_(* #,##0_);_(* \(#,##0\);_(* &quot;-&quot;??_);_(@_)"/>
    </dxf>
    <dxf>
      <numFmt numFmtId="166" formatCode="_(&quot;$&quot;* #,##0_);_(&quot;$&quot;* \(#,##0\);_(&quot;$&quot;* &quot;-&quot;??_);_(@_)"/>
    </dxf>
    <dxf>
      <numFmt numFmtId="2" formatCode="0.00"/>
    </dxf>
    <dxf>
      <numFmt numFmtId="13" formatCode="0%"/>
    </dxf>
    <dxf>
      <numFmt numFmtId="166" formatCode="_(&quot;$&quot;* #,##0_);_(&quot;$&quot;* \(#,##0\);_(&quot;$&quot;* &quot;-&quot;??_);_(@_)"/>
    </dxf>
    <dxf>
      <numFmt numFmtId="166" formatCode="_(&quot;$&quot;* #,##0_);_(&quot;$&quot;* \(#,##0\);_(&quot;$&quot;* &quot;-&quot;??_);_(@_)"/>
    </dxf>
    <dxf>
      <numFmt numFmtId="14" formatCode="0.0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4" formatCode="0.00%"/>
    </dxf>
    <dxf>
      <numFmt numFmtId="166" formatCode="_(&quot;$&quot;* #,##0_);_(&quot;$&quot;* \(#,##0\);_(&quot;$&quot;* &quot;-&quot;??_);_(@_)"/>
    </dxf>
    <dxf>
      <numFmt numFmtId="14" formatCode="0.00%"/>
    </dxf>
    <dxf>
      <numFmt numFmtId="166" formatCode="_(&quot;$&quot;* #,##0_);_(&quot;$&quot;* \(#,##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1.xml"/><Relationship Id="rId1" Type="http://schemas.microsoft.com/office/2011/relationships/chartStyle" Target="style21.xml"/></Relationships>
</file>

<file path=xl/charts/_rels/chart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3.xml"/><Relationship Id="rId1" Type="http://schemas.microsoft.com/office/2011/relationships/chartStyle" Target="style23.xml"/></Relationships>
</file>

<file path=xl/charts/_rels/chart1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[ecommerce_pivot_practice.xlsx]Pivots!RegionSales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Sales by</a:t>
            </a:r>
            <a:r>
              <a:rPr lang="en-US" baseline="0"/>
              <a:t> Region</a:t>
            </a:r>
            <a:endParaRPr lang="en-US"/>
          </a:p>
        </c:rich>
      </c:tx>
      <c:layout>
        <c:manualLayout>
          <c:xMode val="edge"/>
          <c:yMode val="edge"/>
          <c:x val="0.23488188976377952"/>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Pivots!$B$4</c:f>
              <c:strCache>
                <c:ptCount val="1"/>
                <c:pt idx="0">
                  <c:v>Total</c:v>
                </c:pt>
              </c:strCache>
            </c:strRef>
          </c:tx>
          <c:dPt>
            <c:idx val="0"/>
            <c:bubble3D val="0"/>
            <c:explosion val="39"/>
            <c:spPr>
              <a:solidFill>
                <a:schemeClr val="accent1"/>
              </a:solidFill>
              <a:ln w="19050">
                <a:solidFill>
                  <a:schemeClr val="lt1"/>
                </a:solidFill>
              </a:ln>
              <a:effectLst/>
            </c:spPr>
            <c:extLst>
              <c:ext xmlns:c16="http://schemas.microsoft.com/office/drawing/2014/chart" uri="{C3380CC4-5D6E-409C-BE32-E72D297353CC}">
                <c16:uniqueId val="{00000003-76DD-473D-8A17-D45B82D86C9F}"/>
              </c:ext>
            </c:extLst>
          </c:dPt>
          <c:dPt>
            <c:idx val="1"/>
            <c:bubble3D val="0"/>
            <c:spPr>
              <a:solidFill>
                <a:schemeClr val="accent2"/>
              </a:solidFill>
              <a:ln w="19050">
                <a:solidFill>
                  <a:schemeClr val="lt1"/>
                </a:solidFill>
              </a:ln>
              <a:effectLst/>
            </c:spPr>
          </c:dPt>
          <c:dPt>
            <c:idx val="2"/>
            <c:bubble3D val="0"/>
            <c:explosion val="10"/>
            <c:spPr>
              <a:solidFill>
                <a:schemeClr val="accent3"/>
              </a:solidFill>
              <a:ln w="19050">
                <a:solidFill>
                  <a:schemeClr val="lt1"/>
                </a:solidFill>
              </a:ln>
              <a:effectLst/>
            </c:spPr>
            <c:extLst>
              <c:ext xmlns:c16="http://schemas.microsoft.com/office/drawing/2014/chart" uri="{C3380CC4-5D6E-409C-BE32-E72D297353CC}">
                <c16:uniqueId val="{00000002-76DD-473D-8A17-D45B82D86C9F}"/>
              </c:ext>
            </c:extLst>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Pivots!$A$5:$A$9</c:f>
              <c:strCache>
                <c:ptCount val="4"/>
                <c:pt idx="0">
                  <c:v>North</c:v>
                </c:pt>
                <c:pt idx="1">
                  <c:v>West</c:v>
                </c:pt>
                <c:pt idx="2">
                  <c:v>East</c:v>
                </c:pt>
                <c:pt idx="3">
                  <c:v>South</c:v>
                </c:pt>
              </c:strCache>
            </c:strRef>
          </c:cat>
          <c:val>
            <c:numRef>
              <c:f>Pivots!$B$5:$B$9</c:f>
              <c:numCache>
                <c:formatCode>_("$"* #,##0_);_("$"* \(#,##0\);_("$"* "-"??_);_(@_)</c:formatCode>
                <c:ptCount val="4"/>
                <c:pt idx="0">
                  <c:v>4521462.0000000019</c:v>
                </c:pt>
                <c:pt idx="1">
                  <c:v>3930181.7099999981</c:v>
                </c:pt>
                <c:pt idx="2">
                  <c:v>3504132.850000002</c:v>
                </c:pt>
                <c:pt idx="3">
                  <c:v>3256957.4799999991</c:v>
                </c:pt>
              </c:numCache>
            </c:numRef>
          </c:val>
          <c:extLst>
            <c:ext xmlns:c16="http://schemas.microsoft.com/office/drawing/2014/chart" uri="{C3380CC4-5D6E-409C-BE32-E72D297353CC}">
              <c16:uniqueId val="{00000000-76DD-473D-8A17-D45B82D86C9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[ecommerce_pivot_practice.xlsx]Pivots!RegionSales</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Sales by</a:t>
            </a:r>
            <a:r>
              <a:rPr lang="en-US" baseline="0"/>
              <a:t> Region</a:t>
            </a:r>
            <a:endParaRPr lang="en-US"/>
          </a:p>
        </c:rich>
      </c:tx>
      <c:layout>
        <c:manualLayout>
          <c:xMode val="edge"/>
          <c:yMode val="edge"/>
          <c:x val="0.23488188976377952"/>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2379986876640421"/>
          <c:y val="0.31251239428404781"/>
          <c:w val="0.39128937007874021"/>
          <c:h val="0.65214895013123364"/>
        </c:manualLayout>
      </c:layout>
      <c:doughnutChart>
        <c:varyColors val="1"/>
        <c:ser>
          <c:idx val="0"/>
          <c:order val="0"/>
          <c:tx>
            <c:strRef>
              <c:f>Pivots!$B$4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A8-40C7-8280-5768D677E6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A8-40C7-8280-5768D677E6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A8-40C7-8280-5768D677E6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A8-40C7-8280-5768D677E6E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Pivots!$A$5:$A$9</c:f>
              <c:strCache>
                <c:ptCount val="4"/>
                <c:pt idx="0">
                  <c:v>North</c:v>
                </c:pt>
                <c:pt idx="1">
                  <c:v>West</c:v>
                </c:pt>
                <c:pt idx="2">
                  <c:v>East</c:v>
                </c:pt>
                <c:pt idx="3">
                  <c:v>South</c:v>
                </c:pt>
              </c:strCache>
            </c:strRef>
          </c:cat>
          <c:val>
            <c:numRef>
              <c:f>Pivots!$B$5:$B$9</c:f>
              <c:numCache>
                <c:formatCode>_("$"* #,##0_);_("$"* \(#,##0\);_("$"* "-"??_);_(@_)</c:formatCode>
                <c:ptCount val="4"/>
                <c:pt idx="0">
                  <c:v>4521462.0000000019</c:v>
                </c:pt>
                <c:pt idx="1">
                  <c:v>3930181.7099999981</c:v>
                </c:pt>
                <c:pt idx="2">
                  <c:v>3504132.850000002</c:v>
                </c:pt>
                <c:pt idx="3">
                  <c:v>3256957.4799999991</c:v>
                </c:pt>
              </c:numCache>
            </c:numRef>
          </c:val>
          <c:extLst>
            <c:ext xmlns:c16="http://schemas.microsoft.com/office/drawing/2014/chart" uri="{C3380CC4-5D6E-409C-BE32-E72D297353CC}">
              <c16:uniqueId val="{00000008-D8A8-40C7-8280-5768D677E6E6}"/>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[ecommerce_pivot_practice.xlsx]Pivots!PivotTable73</c:name>
    <c:fmtId val="27"/>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Pivots!$B$438</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Pivots!$A$439:$A$443</c:f>
              <c:strCache>
                <c:ptCount val="4"/>
                <c:pt idx="0">
                  <c:v>North</c:v>
                </c:pt>
                <c:pt idx="1">
                  <c:v>West</c:v>
                </c:pt>
                <c:pt idx="2">
                  <c:v>East</c:v>
                </c:pt>
                <c:pt idx="3">
                  <c:v>South</c:v>
                </c:pt>
              </c:strCache>
            </c:strRef>
          </c:cat>
          <c:val>
            <c:numRef>
              <c:f>Pivots!$B$439:$B$443</c:f>
              <c:numCache>
                <c:formatCode>_("$"* #,##0_);_("$"* \(#,##0\);_("$"* "-"??_);_(@_)</c:formatCode>
                <c:ptCount val="4"/>
                <c:pt idx="0">
                  <c:v>4521462.0000000019</c:v>
                </c:pt>
                <c:pt idx="1">
                  <c:v>3930181.7099999981</c:v>
                </c:pt>
                <c:pt idx="2">
                  <c:v>3504132.850000002</c:v>
                </c:pt>
                <c:pt idx="3">
                  <c:v>3256957.4799999991</c:v>
                </c:pt>
              </c:numCache>
            </c:numRef>
          </c:val>
          <c:smooth val="0"/>
          <c:extLst>
            <c:ext xmlns:c16="http://schemas.microsoft.com/office/drawing/2014/chart" uri="{C3380CC4-5D6E-409C-BE32-E72D297353CC}">
              <c16:uniqueId val="{00000000-AE74-44DE-A510-32D32A4B75E8}"/>
            </c:ext>
          </c:extLst>
        </c:ser>
        <c:dLbls>
          <c:showLegendKey val="0"/>
          <c:showVal val="0"/>
          <c:showCatName val="0"/>
          <c:showSerName val="0"/>
          <c:showPercent val="0"/>
          <c:showBubbleSize val="0"/>
        </c:dLbls>
        <c:marker val="1"/>
        <c:smooth val="0"/>
        <c:axId val="559718800"/>
        <c:axId val="559719152"/>
      </c:lineChart>
      <c:lineChart>
        <c:grouping val="standard"/>
        <c:varyColors val="0"/>
        <c:ser>
          <c:idx val="1"/>
          <c:order val="1"/>
          <c:tx>
            <c:strRef>
              <c:f>Pivots!$C$438</c:f>
              <c:strCache>
                <c:ptCount val="1"/>
                <c:pt idx="0">
                  <c:v>Sum of Profit</c:v>
                </c:pt>
              </c:strCache>
            </c:strRef>
          </c:tx>
          <c:spPr>
            <a:ln w="28575" cap="rnd">
              <a:solidFill>
                <a:schemeClr val="accent2"/>
              </a:solidFill>
              <a:round/>
            </a:ln>
            <a:effectLst/>
          </c:spPr>
          <c:marker>
            <c:symbol val="none"/>
          </c:marker>
          <c:cat>
            <c:strRef>
              <c:f>Pivots!$A$439:$A$443</c:f>
              <c:strCache>
                <c:ptCount val="4"/>
                <c:pt idx="0">
                  <c:v>North</c:v>
                </c:pt>
                <c:pt idx="1">
                  <c:v>West</c:v>
                </c:pt>
                <c:pt idx="2">
                  <c:v>East</c:v>
                </c:pt>
                <c:pt idx="3">
                  <c:v>South</c:v>
                </c:pt>
              </c:strCache>
            </c:strRef>
          </c:cat>
          <c:val>
            <c:numRef>
              <c:f>Pivots!$C$439:$C$443</c:f>
              <c:numCache>
                <c:formatCode>_("$"* #,##0_);_("$"* \(#,##0\);_("$"* "-"??_);_(@_)</c:formatCode>
                <c:ptCount val="4"/>
                <c:pt idx="0">
                  <c:v>330381.87999999989</c:v>
                </c:pt>
                <c:pt idx="1">
                  <c:v>336343.34000000014</c:v>
                </c:pt>
                <c:pt idx="2">
                  <c:v>355533.17999999964</c:v>
                </c:pt>
                <c:pt idx="3">
                  <c:v>331276.1700000001</c:v>
                </c:pt>
              </c:numCache>
            </c:numRef>
          </c:val>
          <c:smooth val="0"/>
          <c:extLst>
            <c:ext xmlns:c16="http://schemas.microsoft.com/office/drawing/2014/chart" uri="{C3380CC4-5D6E-409C-BE32-E72D297353CC}">
              <c16:uniqueId val="{00000001-AE74-44DE-A510-32D32A4B75E8}"/>
            </c:ext>
          </c:extLst>
        </c:ser>
        <c:dLbls>
          <c:showLegendKey val="0"/>
          <c:showVal val="0"/>
          <c:showCatName val="0"/>
          <c:showSerName val="0"/>
          <c:showPercent val="0"/>
          <c:showBubbleSize val="0"/>
        </c:dLbls>
        <c:marker val="1"/>
        <c:smooth val="0"/>
        <c:axId val="594027864"/>
        <c:axId val="594029272"/>
      </c:lineChart>
      <c:catAx>
        <c:axId val="55971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19152"/>
        <c:crosses val="autoZero"/>
        <c:auto val="1"/>
        <c:lblAlgn val="ctr"/>
        <c:lblOffset val="100"/>
        <c:noMultiLvlLbl val="0"/>
      </c:catAx>
      <c:valAx>
        <c:axId val="5597191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18800"/>
        <c:crosses val="autoZero"/>
        <c:crossBetween val="between"/>
      </c:valAx>
      <c:valAx>
        <c:axId val="594029272"/>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027864"/>
        <c:crosses val="max"/>
        <c:crossBetween val="between"/>
      </c:valAx>
      <c:catAx>
        <c:axId val="594027864"/>
        <c:scaling>
          <c:orientation val="minMax"/>
        </c:scaling>
        <c:delete val="1"/>
        <c:axPos val="b"/>
        <c:numFmt formatCode="General" sourceLinked="1"/>
        <c:majorTickMark val="out"/>
        <c:minorTickMark val="none"/>
        <c:tickLblPos val="nextTo"/>
        <c:crossAx val="59402927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[ecommerce_pivot_practice.xlsx]Pivots!PivotTable27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Pivots!$B$39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Pivots!$A$40:$A$46</c:f>
              <c:strCache>
                <c:ptCount val="6"/>
                <c:pt idx="0">
                  <c:v>Beauty &amp; Personal Care</c:v>
                </c:pt>
                <c:pt idx="1">
                  <c:v>Clothing</c:v>
                </c:pt>
                <c:pt idx="2">
                  <c:v>Sports &amp; Fitness</c:v>
                </c:pt>
                <c:pt idx="3">
                  <c:v>Electronics</c:v>
                </c:pt>
                <c:pt idx="4">
                  <c:v>Home &amp; Kitchen</c:v>
                </c:pt>
                <c:pt idx="5">
                  <c:v>Books</c:v>
                </c:pt>
              </c:strCache>
            </c:strRef>
          </c:cat>
          <c:val>
            <c:numRef>
              <c:f>Pivots!$B$40:$B$46</c:f>
              <c:numCache>
                <c:formatCode>General</c:formatCode>
                <c:ptCount val="6"/>
                <c:pt idx="0">
                  <c:v>355</c:v>
                </c:pt>
                <c:pt idx="1">
                  <c:v>346</c:v>
                </c:pt>
                <c:pt idx="2">
                  <c:v>336</c:v>
                </c:pt>
                <c:pt idx="3">
                  <c:v>333</c:v>
                </c:pt>
                <c:pt idx="4">
                  <c:v>331</c:v>
                </c:pt>
                <c:pt idx="5">
                  <c:v>327</c:v>
                </c:pt>
              </c:numCache>
            </c:numRef>
          </c:val>
          <c:extLst>
            <c:ext xmlns:c16="http://schemas.microsoft.com/office/drawing/2014/chart" uri="{C3380CC4-5D6E-409C-BE32-E72D297353CC}">
              <c16:uniqueId val="{00000000-03A3-45DF-B00C-A3FAF9A110B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[ecommerce_pivot_practice.xlsx]Pivots!PivotTable75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Pivots!$B$478:$B$479</c:f>
              <c:strCache>
                <c:ptCount val="1"/>
                <c:pt idx="0">
                  <c:v>2024</c:v>
                </c:pt>
              </c:strCache>
            </c:strRef>
          </c:tx>
          <c:spPr>
            <a:solidFill>
              <a:schemeClr val="accent1"/>
            </a:solidFill>
            <a:ln>
              <a:noFill/>
            </a:ln>
            <a:effectLst/>
          </c:spPr>
          <c:invertIfNegative val="0"/>
          <c:cat>
            <c:strRef>
              <c:f>Pivots!$A$480:$A$484</c:f>
              <c:strCache>
                <c:ptCount val="4"/>
                <c:pt idx="0">
                  <c:v>Qtr1</c:v>
                </c:pt>
                <c:pt idx="1">
                  <c:v>Qtr2</c:v>
                </c:pt>
                <c:pt idx="2">
                  <c:v>Qtr3</c:v>
                </c:pt>
                <c:pt idx="3">
                  <c:v>Qtr4</c:v>
                </c:pt>
              </c:strCache>
            </c:strRef>
          </c:cat>
          <c:val>
            <c:numRef>
              <c:f>Pivots!$B$480:$B$484</c:f>
              <c:numCache>
                <c:formatCode>#,##0.00</c:formatCode>
                <c:ptCount val="4"/>
                <c:pt idx="0">
                  <c:v>2079648.8799999994</c:v>
                </c:pt>
                <c:pt idx="1">
                  <c:v>1408213.9899999995</c:v>
                </c:pt>
                <c:pt idx="2">
                  <c:v>1241289.3199999998</c:v>
                </c:pt>
                <c:pt idx="3">
                  <c:v>2632876.6699999981</c:v>
                </c:pt>
              </c:numCache>
            </c:numRef>
          </c:val>
          <c:extLst>
            <c:ext xmlns:c16="http://schemas.microsoft.com/office/drawing/2014/chart" uri="{C3380CC4-5D6E-409C-BE32-E72D297353CC}">
              <c16:uniqueId val="{00000000-BBD1-4AB3-BEF3-BF3C2DC4CFC7}"/>
            </c:ext>
          </c:extLst>
        </c:ser>
        <c:ser>
          <c:idx val="1"/>
          <c:order val="1"/>
          <c:tx>
            <c:strRef>
              <c:f>Pivots!$C$478:$C$479</c:f>
              <c:strCache>
                <c:ptCount val="1"/>
                <c:pt idx="0">
                  <c:v>2025</c:v>
                </c:pt>
              </c:strCache>
            </c:strRef>
          </c:tx>
          <c:spPr>
            <a:solidFill>
              <a:schemeClr val="accent2"/>
            </a:solidFill>
            <a:ln>
              <a:noFill/>
            </a:ln>
            <a:effectLst/>
          </c:spPr>
          <c:invertIfNegative val="0"/>
          <c:cat>
            <c:strRef>
              <c:f>Pivots!$A$480:$A$484</c:f>
              <c:strCache>
                <c:ptCount val="4"/>
                <c:pt idx="0">
                  <c:v>Qtr1</c:v>
                </c:pt>
                <c:pt idx="1">
                  <c:v>Qtr2</c:v>
                </c:pt>
                <c:pt idx="2">
                  <c:v>Qtr3</c:v>
                </c:pt>
                <c:pt idx="3">
                  <c:v>Qtr4</c:v>
                </c:pt>
              </c:strCache>
            </c:strRef>
          </c:cat>
          <c:val>
            <c:numRef>
              <c:f>Pivots!$C$480:$C$484</c:f>
              <c:numCache>
                <c:formatCode>#,##0.00</c:formatCode>
                <c:ptCount val="4"/>
                <c:pt idx="0">
                  <c:v>2520612.7599999993</c:v>
                </c:pt>
                <c:pt idx="1">
                  <c:v>1116877.8999999997</c:v>
                </c:pt>
                <c:pt idx="2">
                  <c:v>980234.34999999963</c:v>
                </c:pt>
                <c:pt idx="3">
                  <c:v>3232980.1699999995</c:v>
                </c:pt>
              </c:numCache>
            </c:numRef>
          </c:val>
          <c:extLst>
            <c:ext xmlns:c16="http://schemas.microsoft.com/office/drawing/2014/chart" uri="{C3380CC4-5D6E-409C-BE32-E72D297353CC}">
              <c16:uniqueId val="{00000002-BBD1-4AB3-BEF3-BF3C2DC4CFC7}"/>
            </c:ext>
          </c:extLst>
        </c:ser>
        <c:dLbls>
          <c:showLegendKey val="0"/>
          <c:showVal val="0"/>
          <c:showCatName val="0"/>
          <c:showSerName val="0"/>
          <c:showPercent val="0"/>
          <c:showBubbleSize val="0"/>
        </c:dLbls>
        <c:gapWidth val="150"/>
        <c:axId val="814524968"/>
        <c:axId val="814525672"/>
      </c:barChart>
      <c:catAx>
        <c:axId val="814524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25672"/>
        <c:crosses val="autoZero"/>
        <c:auto val="1"/>
        <c:lblAlgn val="ctr"/>
        <c:lblOffset val="100"/>
        <c:noMultiLvlLbl val="0"/>
      </c:catAx>
      <c:valAx>
        <c:axId val="814525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24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a:rPr>
              <a:t>Month on Month Growth - 2024</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Pivots!$L$215:$L$226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Pivots!$M$215:$M$226</c:f>
              <c:numCache>
                <c:formatCode>0.00%</c:formatCode>
                <c:ptCount val="12"/>
                <c:pt idx="1">
                  <c:v>-0.61561061455871013</c:v>
                </c:pt>
                <c:pt idx="2">
                  <c:v>0.99123444542600248</c:v>
                </c:pt>
                <c:pt idx="3">
                  <c:v>-0.28481337510742682</c:v>
                </c:pt>
                <c:pt idx="4">
                  <c:v>5.3942980245135719E-2</c:v>
                </c:pt>
                <c:pt idx="5">
                  <c:v>-0.42564994626092606</c:v>
                </c:pt>
                <c:pt idx="6">
                  <c:v>0.50422874581320531</c:v>
                </c:pt>
                <c:pt idx="7">
                  <c:v>-0.10322750677868417</c:v>
                </c:pt>
                <c:pt idx="8">
                  <c:v>-0.24447683965566108</c:v>
                </c:pt>
                <c:pt idx="9">
                  <c:v>3.1744192588412457</c:v>
                </c:pt>
                <c:pt idx="10">
                  <c:v>-0.47909797900343171</c:v>
                </c:pt>
                <c:pt idx="11">
                  <c:v>-0.21349171585028137</c:v>
                </c:pt>
              </c:numCache>
            </c:numRef>
          </c:val>
          <c:extLst>
            <c:ext xmlns:c16="http://schemas.microsoft.com/office/drawing/2014/chart" uri="{C3380CC4-5D6E-409C-BE32-E72D297353CC}">
              <c16:uniqueId val="{00000000-48DE-495F-9BA4-8416476AE43F}"/>
            </c:ext>
          </c:extLst>
        </c:ser>
        <c:dLbls>
          <c:showLegendKey val="0"/>
          <c:showVal val="1"/>
          <c:showCatName val="0"/>
          <c:showSerName val="0"/>
          <c:showPercent val="0"/>
          <c:showBubbleSize val="0"/>
        </c:dLbls>
        <c:gapWidth val="50"/>
        <c:axId val="1181129960"/>
        <c:axId val="1181129256"/>
      </c:barChart>
      <c:catAx>
        <c:axId val="1181129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181129256"/>
        <c:crosses val="autoZero"/>
        <c:auto val="1"/>
        <c:lblAlgn val="ctr"/>
        <c:lblOffset val="100"/>
        <c:noMultiLvlLbl val="0"/>
      </c:catAx>
      <c:valAx>
        <c:axId val="1181129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181129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[ecommerce_pivot_practice.xlsx]Sheet2!SaleProfitRC</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Profit Trends Across Region and Catgories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Sheet2!$B$98</c:f>
              <c:strCache>
                <c:ptCount val="1"/>
                <c:pt idx="0">
                  <c:v>Sum of Sales</c:v>
                </c:pt>
              </c:strCache>
            </c:strRef>
          </c:tx>
          <c:spPr>
            <a:solidFill>
              <a:schemeClr val="accent1"/>
            </a:solidFill>
            <a:ln>
              <a:noFill/>
            </a:ln>
            <a:effectLst/>
          </c:spPr>
          <c:invertIfNegative val="0"/>
          <c:cat>
            <c:multiLvlStrRef>
              <c:f>Sheet2!$A$99:$A$113</c:f>
              <c:multiLvlStrCache>
                <c:ptCount val="12"/>
                <c:lvl>
                  <c:pt idx="0">
                    <c:v>Beauty &amp; Personal Care</c:v>
                  </c:pt>
                  <c:pt idx="1">
                    <c:v>Books</c:v>
                  </c:pt>
                  <c:pt idx="2">
                    <c:v>Clothing</c:v>
                  </c:pt>
                  <c:pt idx="3">
                    <c:v>Electronics</c:v>
                  </c:pt>
                  <c:pt idx="4">
                    <c:v>Home &amp; Kitchen</c:v>
                  </c:pt>
                  <c:pt idx="5">
                    <c:v>Sports &amp; Fitness</c:v>
                  </c:pt>
                  <c:pt idx="6">
                    <c:v>Beauty &amp; Personal Care</c:v>
                  </c:pt>
                  <c:pt idx="7">
                    <c:v>Books</c:v>
                  </c:pt>
                  <c:pt idx="8">
                    <c:v>Clothing</c:v>
                  </c:pt>
                  <c:pt idx="9">
                    <c:v>Electronics</c:v>
                  </c:pt>
                  <c:pt idx="10">
                    <c:v>Home &amp; Kitchen</c:v>
                  </c:pt>
                  <c:pt idx="11">
                    <c:v>Sports &amp; Fitness</c:v>
                  </c:pt>
                </c:lvl>
                <c:lvl>
                  <c:pt idx="0">
                    <c:v>North</c:v>
                  </c:pt>
                  <c:pt idx="6">
                    <c:v>West</c:v>
                  </c:pt>
                </c:lvl>
              </c:multiLvlStrCache>
            </c:multiLvlStrRef>
          </c:cat>
          <c:val>
            <c:numRef>
              <c:f>Sheet2!$B$99:$B$113</c:f>
              <c:numCache>
                <c:formatCode>_("$"* #,##0_);_("$"* \(#,##0\);_("$"* "-"??_);_(@_)</c:formatCode>
                <c:ptCount val="12"/>
                <c:pt idx="0">
                  <c:v>104662.61000000002</c:v>
                </c:pt>
                <c:pt idx="1">
                  <c:v>51471.799999999996</c:v>
                </c:pt>
                <c:pt idx="2">
                  <c:v>173666.54</c:v>
                </c:pt>
                <c:pt idx="3">
                  <c:v>3103732.96</c:v>
                </c:pt>
                <c:pt idx="4">
                  <c:v>499396.62000000023</c:v>
                </c:pt>
                <c:pt idx="5">
                  <c:v>588531.47</c:v>
                </c:pt>
                <c:pt idx="6">
                  <c:v>69206.59</c:v>
                </c:pt>
                <c:pt idx="7">
                  <c:v>27982.100000000002</c:v>
                </c:pt>
                <c:pt idx="8">
                  <c:v>204884.91000000003</c:v>
                </c:pt>
                <c:pt idx="9">
                  <c:v>2496566.61</c:v>
                </c:pt>
                <c:pt idx="10">
                  <c:v>519766.74999999994</c:v>
                </c:pt>
                <c:pt idx="11">
                  <c:v>611774.75</c:v>
                </c:pt>
              </c:numCache>
            </c:numRef>
          </c:val>
          <c:extLst>
            <c:ext xmlns:c16="http://schemas.microsoft.com/office/drawing/2014/chart" uri="{C3380CC4-5D6E-409C-BE32-E72D297353CC}">
              <c16:uniqueId val="{00000000-06DC-493D-B712-A659DDF3ED53}"/>
            </c:ext>
          </c:extLst>
        </c:ser>
        <c:dLbls>
          <c:showLegendKey val="0"/>
          <c:showVal val="0"/>
          <c:showCatName val="0"/>
          <c:showSerName val="0"/>
          <c:showPercent val="0"/>
          <c:showBubbleSize val="0"/>
        </c:dLbls>
        <c:gapWidth val="219"/>
        <c:axId val="67941007"/>
        <c:axId val="67941359"/>
      </c:barChart>
      <c:lineChart>
        <c:grouping val="standard"/>
        <c:varyColors val="0"/>
        <c:ser>
          <c:idx val="1"/>
          <c:order val="1"/>
          <c:tx>
            <c:strRef>
              <c:f>Sheet2!$C$98</c:f>
              <c:strCache>
                <c:ptCount val="1"/>
                <c:pt idx="0">
                  <c:v>Sum of Profit</c:v>
                </c:pt>
              </c:strCache>
            </c:strRef>
          </c:tx>
          <c:spPr>
            <a:ln w="28575" cap="rnd">
              <a:solidFill>
                <a:schemeClr val="accent2"/>
              </a:solidFill>
              <a:round/>
            </a:ln>
            <a:effectLst/>
          </c:spPr>
          <c:marker>
            <c:symbol val="none"/>
          </c:marker>
          <c:cat>
            <c:multiLvlStrRef>
              <c:f>Sheet2!$A$99:$A$113</c:f>
              <c:multiLvlStrCache>
                <c:ptCount val="12"/>
                <c:lvl>
                  <c:pt idx="0">
                    <c:v>Beauty &amp; Personal Care</c:v>
                  </c:pt>
                  <c:pt idx="1">
                    <c:v>Books</c:v>
                  </c:pt>
                  <c:pt idx="2">
                    <c:v>Clothing</c:v>
                  </c:pt>
                  <c:pt idx="3">
                    <c:v>Electronics</c:v>
                  </c:pt>
                  <c:pt idx="4">
                    <c:v>Home &amp; Kitchen</c:v>
                  </c:pt>
                  <c:pt idx="5">
                    <c:v>Sports &amp; Fitness</c:v>
                  </c:pt>
                  <c:pt idx="6">
                    <c:v>Beauty &amp; Personal Care</c:v>
                  </c:pt>
                  <c:pt idx="7">
                    <c:v>Books</c:v>
                  </c:pt>
                  <c:pt idx="8">
                    <c:v>Clothing</c:v>
                  </c:pt>
                  <c:pt idx="9">
                    <c:v>Electronics</c:v>
                  </c:pt>
                  <c:pt idx="10">
                    <c:v>Home &amp; Kitchen</c:v>
                  </c:pt>
                  <c:pt idx="11">
                    <c:v>Sports &amp; Fitness</c:v>
                  </c:pt>
                </c:lvl>
                <c:lvl>
                  <c:pt idx="0">
                    <c:v>North</c:v>
                  </c:pt>
                  <c:pt idx="6">
                    <c:v>West</c:v>
                  </c:pt>
                </c:lvl>
              </c:multiLvlStrCache>
            </c:multiLvlStrRef>
          </c:cat>
          <c:val>
            <c:numRef>
              <c:f>Sheet2!$C$99:$C$113</c:f>
              <c:numCache>
                <c:formatCode>_("$"* #,##0_);_("$"* \(#,##0\);_("$"* "-"??_);_(@_)</c:formatCode>
                <c:ptCount val="12"/>
                <c:pt idx="0">
                  <c:v>24074.91</c:v>
                </c:pt>
                <c:pt idx="1">
                  <c:v>5188</c:v>
                </c:pt>
                <c:pt idx="2">
                  <c:v>26413.300000000003</c:v>
                </c:pt>
                <c:pt idx="3">
                  <c:v>128253.22000000003</c:v>
                </c:pt>
                <c:pt idx="4">
                  <c:v>59537.390000000014</c:v>
                </c:pt>
                <c:pt idx="5">
                  <c:v>86915.059999999983</c:v>
                </c:pt>
                <c:pt idx="6">
                  <c:v>16855.8</c:v>
                </c:pt>
                <c:pt idx="7">
                  <c:v>2356.7300000000005</c:v>
                </c:pt>
                <c:pt idx="8">
                  <c:v>34954.689999999995</c:v>
                </c:pt>
                <c:pt idx="9">
                  <c:v>128163.02999999998</c:v>
                </c:pt>
                <c:pt idx="10">
                  <c:v>70687.990000000005</c:v>
                </c:pt>
                <c:pt idx="11">
                  <c:v>83325.10000000002</c:v>
                </c:pt>
              </c:numCache>
            </c:numRef>
          </c:val>
          <c:smooth val="0"/>
          <c:extLst>
            <c:ext xmlns:c16="http://schemas.microsoft.com/office/drawing/2014/chart" uri="{C3380CC4-5D6E-409C-BE32-E72D297353CC}">
              <c16:uniqueId val="{00000001-06DC-493D-B712-A659DDF3ED53}"/>
            </c:ext>
          </c:extLst>
        </c:ser>
        <c:dLbls>
          <c:showLegendKey val="0"/>
          <c:showVal val="0"/>
          <c:showCatName val="0"/>
          <c:showSerName val="0"/>
          <c:showPercent val="0"/>
          <c:showBubbleSize val="0"/>
        </c:dLbls>
        <c:marker val="1"/>
        <c:smooth val="0"/>
        <c:axId val="67946991"/>
        <c:axId val="67946639"/>
      </c:lineChart>
      <c:catAx>
        <c:axId val="6794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1359"/>
        <c:crosses val="autoZero"/>
        <c:auto val="1"/>
        <c:lblAlgn val="ctr"/>
        <c:lblOffset val="100"/>
        <c:noMultiLvlLbl val="0"/>
      </c:catAx>
      <c:valAx>
        <c:axId val="67941359"/>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1007"/>
        <c:crosses val="autoZero"/>
        <c:crossBetween val="between"/>
      </c:valAx>
      <c:valAx>
        <c:axId val="67946639"/>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6991"/>
        <c:crosses val="max"/>
        <c:crossBetween val="between"/>
      </c:valAx>
      <c:catAx>
        <c:axId val="67946991"/>
        <c:scaling>
          <c:orientation val="minMax"/>
        </c:scaling>
        <c:delete val="1"/>
        <c:axPos val="b"/>
        <c:numFmt formatCode="General" sourceLinked="1"/>
        <c:majorTickMark val="out"/>
        <c:minorTickMark val="none"/>
        <c:tickLblPos val="nextTo"/>
        <c:crossAx val="67946639"/>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Sheet2!$D$64</c:f>
              <c:strCache>
                <c:ptCount val="1"/>
                <c:pt idx="0">
                  <c:v>BassBoost 300</c:v>
                </c:pt>
              </c:strCache>
            </c:strRef>
          </c:tx>
          <c:spPr>
            <a:solidFill>
              <a:schemeClr val="accent1"/>
            </a:solidFill>
            <a:ln>
              <a:noFill/>
            </a:ln>
            <a:effectLst/>
          </c:spPr>
          <c:invertIfNegative val="0"/>
          <c:cat>
            <c:strRef>
              <c:f>Sheet2!$E$63:$H$63</c:f>
              <c:strCache>
                <c:ptCount val="4"/>
                <c:pt idx="0">
                  <c:v>North</c:v>
                </c:pt>
                <c:pt idx="1">
                  <c:v>South</c:v>
                </c:pt>
                <c:pt idx="2">
                  <c:v>East</c:v>
                </c:pt>
                <c:pt idx="3">
                  <c:v>West</c:v>
                </c:pt>
              </c:strCache>
            </c:strRef>
          </c:cat>
          <c:val>
            <c:numRef>
              <c:f>Sheet2!$E$64:$H$64</c:f>
              <c:numCache>
                <c:formatCode>\₹\ #.0,\ "K"</c:formatCode>
                <c:ptCount val="4"/>
                <c:pt idx="0">
                  <c:v>-819</c:v>
                </c:pt>
                <c:pt idx="1">
                  <c:v>0</c:v>
                </c:pt>
                <c:pt idx="2">
                  <c:v>0</c:v>
                </c:pt>
                <c:pt idx="3">
                  <c:v>0</c:v>
                </c:pt>
              </c:numCache>
            </c:numRef>
          </c:val>
          <c:extLst>
            <c:ext xmlns:c16="http://schemas.microsoft.com/office/drawing/2014/chart" uri="{C3380CC4-5D6E-409C-BE32-E72D297353CC}">
              <c16:uniqueId val="{00000000-58CF-4210-BDA9-632EB6F0FCB0}"/>
            </c:ext>
          </c:extLst>
        </c:ser>
        <c:ser>
          <c:idx val="1"/>
          <c:order val="1"/>
          <c:tx>
            <c:strRef>
              <c:f>Sheet2!$D$65</c:f>
              <c:strCache>
                <c:ptCount val="1"/>
                <c:pt idx="0">
                  <c:v>GameForce X</c:v>
                </c:pt>
              </c:strCache>
            </c:strRef>
          </c:tx>
          <c:spPr>
            <a:solidFill>
              <a:schemeClr val="accent2"/>
            </a:solidFill>
            <a:ln>
              <a:noFill/>
            </a:ln>
            <a:effectLst/>
          </c:spPr>
          <c:invertIfNegative val="0"/>
          <c:cat>
            <c:strRef>
              <c:f>Sheet2!$E$63:$H$63</c:f>
              <c:strCache>
                <c:ptCount val="4"/>
                <c:pt idx="0">
                  <c:v>North</c:v>
                </c:pt>
                <c:pt idx="1">
                  <c:v>South</c:v>
                </c:pt>
                <c:pt idx="2">
                  <c:v>East</c:v>
                </c:pt>
                <c:pt idx="3">
                  <c:v>West</c:v>
                </c:pt>
              </c:strCache>
            </c:strRef>
          </c:cat>
          <c:val>
            <c:numRef>
              <c:f>Sheet2!$E$65:$H$65</c:f>
              <c:numCache>
                <c:formatCode>\₹\ #.0,\ "K"</c:formatCode>
                <c:ptCount val="4"/>
                <c:pt idx="0">
                  <c:v>-6398</c:v>
                </c:pt>
                <c:pt idx="1">
                  <c:v>0</c:v>
                </c:pt>
                <c:pt idx="2">
                  <c:v>0</c:v>
                </c:pt>
                <c:pt idx="3">
                  <c:v>-1827</c:v>
                </c:pt>
              </c:numCache>
            </c:numRef>
          </c:val>
          <c:extLst>
            <c:ext xmlns:c16="http://schemas.microsoft.com/office/drawing/2014/chart" uri="{C3380CC4-5D6E-409C-BE32-E72D297353CC}">
              <c16:uniqueId val="{00000001-58CF-4210-BDA9-632EB6F0FCB0}"/>
            </c:ext>
          </c:extLst>
        </c:ser>
        <c:ser>
          <c:idx val="2"/>
          <c:order val="2"/>
          <c:tx>
            <c:strRef>
              <c:f>Sheet2!$D$66</c:f>
              <c:strCache>
                <c:ptCount val="1"/>
                <c:pt idx="0">
                  <c:v>Nova 5G</c:v>
                </c:pt>
              </c:strCache>
            </c:strRef>
          </c:tx>
          <c:spPr>
            <a:solidFill>
              <a:schemeClr val="accent3"/>
            </a:solidFill>
            <a:ln>
              <a:noFill/>
            </a:ln>
            <a:effectLst/>
          </c:spPr>
          <c:invertIfNegative val="0"/>
          <c:cat>
            <c:strRef>
              <c:f>Sheet2!$E$63:$H$63</c:f>
              <c:strCache>
                <c:ptCount val="4"/>
                <c:pt idx="0">
                  <c:v>North</c:v>
                </c:pt>
                <c:pt idx="1">
                  <c:v>South</c:v>
                </c:pt>
                <c:pt idx="2">
                  <c:v>East</c:v>
                </c:pt>
                <c:pt idx="3">
                  <c:v>West</c:v>
                </c:pt>
              </c:strCache>
            </c:strRef>
          </c:cat>
          <c:val>
            <c:numRef>
              <c:f>Sheet2!$E$66:$H$66</c:f>
              <c:numCache>
                <c:formatCode>\₹\ #.0,\ "K"</c:formatCode>
                <c:ptCount val="4"/>
                <c:pt idx="0">
                  <c:v>-8942</c:v>
                </c:pt>
                <c:pt idx="1">
                  <c:v>0</c:v>
                </c:pt>
                <c:pt idx="2">
                  <c:v>0</c:v>
                </c:pt>
                <c:pt idx="3">
                  <c:v>0</c:v>
                </c:pt>
              </c:numCache>
            </c:numRef>
          </c:val>
          <c:extLst>
            <c:ext xmlns:c16="http://schemas.microsoft.com/office/drawing/2014/chart" uri="{C3380CC4-5D6E-409C-BE32-E72D297353CC}">
              <c16:uniqueId val="{00000002-58CF-4210-BDA9-632EB6F0FCB0}"/>
            </c:ext>
          </c:extLst>
        </c:ser>
        <c:ser>
          <c:idx val="3"/>
          <c:order val="3"/>
          <c:tx>
            <c:strRef>
              <c:f>Sheet2!$D$67</c:f>
              <c:strCache>
                <c:ptCount val="1"/>
                <c:pt idx="0">
                  <c:v>ProBook 14</c:v>
                </c:pt>
              </c:strCache>
            </c:strRef>
          </c:tx>
          <c:spPr>
            <a:solidFill>
              <a:schemeClr val="accent4"/>
            </a:solidFill>
            <a:ln>
              <a:noFill/>
            </a:ln>
            <a:effectLst/>
          </c:spPr>
          <c:invertIfNegative val="0"/>
          <c:cat>
            <c:strRef>
              <c:f>Sheet2!$E$63:$H$63</c:f>
              <c:strCache>
                <c:ptCount val="4"/>
                <c:pt idx="0">
                  <c:v>North</c:v>
                </c:pt>
                <c:pt idx="1">
                  <c:v>South</c:v>
                </c:pt>
                <c:pt idx="2">
                  <c:v>East</c:v>
                </c:pt>
                <c:pt idx="3">
                  <c:v>West</c:v>
                </c:pt>
              </c:strCache>
            </c:strRef>
          </c:cat>
          <c:val>
            <c:numRef>
              <c:f>Sheet2!$E$67:$H$67</c:f>
              <c:numCache>
                <c:formatCode>\₹\ #.0,\ "K"</c:formatCode>
                <c:ptCount val="4"/>
                <c:pt idx="0">
                  <c:v>-20163</c:v>
                </c:pt>
                <c:pt idx="1">
                  <c:v>-1150</c:v>
                </c:pt>
                <c:pt idx="2">
                  <c:v>0</c:v>
                </c:pt>
                <c:pt idx="3">
                  <c:v>0</c:v>
                </c:pt>
              </c:numCache>
            </c:numRef>
          </c:val>
          <c:extLst>
            <c:ext xmlns:c16="http://schemas.microsoft.com/office/drawing/2014/chart" uri="{C3380CC4-5D6E-409C-BE32-E72D297353CC}">
              <c16:uniqueId val="{00000003-58CF-4210-BDA9-632EB6F0FCB0}"/>
            </c:ext>
          </c:extLst>
        </c:ser>
        <c:ser>
          <c:idx val="4"/>
          <c:order val="4"/>
          <c:tx>
            <c:strRef>
              <c:f>Sheet2!$D$68</c:f>
              <c:strCache>
                <c:ptCount val="1"/>
                <c:pt idx="0">
                  <c:v>FastCharge Cable</c:v>
                </c:pt>
              </c:strCache>
            </c:strRef>
          </c:tx>
          <c:spPr>
            <a:solidFill>
              <a:schemeClr val="accent5"/>
            </a:solidFill>
            <a:ln>
              <a:noFill/>
            </a:ln>
            <a:effectLst/>
          </c:spPr>
          <c:invertIfNegative val="0"/>
          <c:cat>
            <c:strRef>
              <c:f>Sheet2!$E$63:$H$63</c:f>
              <c:strCache>
                <c:ptCount val="4"/>
                <c:pt idx="0">
                  <c:v>North</c:v>
                </c:pt>
                <c:pt idx="1">
                  <c:v>South</c:v>
                </c:pt>
                <c:pt idx="2">
                  <c:v>East</c:v>
                </c:pt>
                <c:pt idx="3">
                  <c:v>West</c:v>
                </c:pt>
              </c:strCache>
            </c:strRef>
          </c:cat>
          <c:val>
            <c:numRef>
              <c:f>Sheet2!$E$68:$H$68</c:f>
              <c:numCache>
                <c:formatCode>\₹\ #.0,\ "K"</c:formatCode>
                <c:ptCount val="4"/>
                <c:pt idx="0">
                  <c:v>0</c:v>
                </c:pt>
                <c:pt idx="1">
                  <c:v>0</c:v>
                </c:pt>
                <c:pt idx="2">
                  <c:v>0</c:v>
                </c:pt>
                <c:pt idx="3">
                  <c:v>-461</c:v>
                </c:pt>
              </c:numCache>
            </c:numRef>
          </c:val>
          <c:extLst>
            <c:ext xmlns:c16="http://schemas.microsoft.com/office/drawing/2014/chart" uri="{C3380CC4-5D6E-409C-BE32-E72D297353CC}">
              <c16:uniqueId val="{00000004-58CF-4210-BDA9-632EB6F0FCB0}"/>
            </c:ext>
          </c:extLst>
        </c:ser>
        <c:ser>
          <c:idx val="5"/>
          <c:order val="5"/>
          <c:tx>
            <c:strRef>
              <c:f>Sheet2!$D$69</c:f>
              <c:strCache>
                <c:ptCount val="1"/>
                <c:pt idx="0">
                  <c:v>Screen Guard</c:v>
                </c:pt>
              </c:strCache>
            </c:strRef>
          </c:tx>
          <c:spPr>
            <a:solidFill>
              <a:schemeClr val="accent6"/>
            </a:solidFill>
            <a:ln>
              <a:noFill/>
            </a:ln>
            <a:effectLst/>
          </c:spPr>
          <c:invertIfNegative val="0"/>
          <c:cat>
            <c:strRef>
              <c:f>Sheet2!$E$63:$H$63</c:f>
              <c:strCache>
                <c:ptCount val="4"/>
                <c:pt idx="0">
                  <c:v>North</c:v>
                </c:pt>
                <c:pt idx="1">
                  <c:v>South</c:v>
                </c:pt>
                <c:pt idx="2">
                  <c:v>East</c:v>
                </c:pt>
                <c:pt idx="3">
                  <c:v>West</c:v>
                </c:pt>
              </c:strCache>
            </c:strRef>
          </c:cat>
          <c:val>
            <c:numRef>
              <c:f>Sheet2!$E$69:$H$69</c:f>
              <c:numCache>
                <c:formatCode>\₹\ #.0,\ "K"</c:formatCode>
                <c:ptCount val="4"/>
                <c:pt idx="0">
                  <c:v>0</c:v>
                </c:pt>
                <c:pt idx="1">
                  <c:v>-3032</c:v>
                </c:pt>
                <c:pt idx="2">
                  <c:v>0</c:v>
                </c:pt>
                <c:pt idx="3">
                  <c:v>-4536</c:v>
                </c:pt>
              </c:numCache>
            </c:numRef>
          </c:val>
          <c:extLst>
            <c:ext xmlns:c16="http://schemas.microsoft.com/office/drawing/2014/chart" uri="{C3380CC4-5D6E-409C-BE32-E72D297353CC}">
              <c16:uniqueId val="{00000005-58CF-4210-BDA9-632EB6F0FCB0}"/>
            </c:ext>
          </c:extLst>
        </c:ser>
        <c:ser>
          <c:idx val="6"/>
          <c:order val="6"/>
          <c:tx>
            <c:strRef>
              <c:f>Sheet2!$D$70</c:f>
              <c:strCache>
                <c:ptCount val="1"/>
                <c:pt idx="0">
                  <c:v>ClickShot X1</c:v>
                </c:pt>
              </c:strCache>
            </c:strRef>
          </c:tx>
          <c:spPr>
            <a:solidFill>
              <a:schemeClr val="accent1">
                <a:lumMod val="60000"/>
              </a:schemeClr>
            </a:solidFill>
            <a:ln>
              <a:noFill/>
            </a:ln>
            <a:effectLst/>
          </c:spPr>
          <c:invertIfNegative val="0"/>
          <c:cat>
            <c:strRef>
              <c:f>Sheet2!$E$63:$H$63</c:f>
              <c:strCache>
                <c:ptCount val="4"/>
                <c:pt idx="0">
                  <c:v>North</c:v>
                </c:pt>
                <c:pt idx="1">
                  <c:v>South</c:v>
                </c:pt>
                <c:pt idx="2">
                  <c:v>East</c:v>
                </c:pt>
                <c:pt idx="3">
                  <c:v>West</c:v>
                </c:pt>
              </c:strCache>
            </c:strRef>
          </c:cat>
          <c:val>
            <c:numRef>
              <c:f>Sheet2!$E$70:$H$70</c:f>
              <c:numCache>
                <c:formatCode>\₹\ #.0,\ "K"</c:formatCode>
                <c:ptCount val="4"/>
                <c:pt idx="0">
                  <c:v>0</c:v>
                </c:pt>
                <c:pt idx="1">
                  <c:v>-1447</c:v>
                </c:pt>
                <c:pt idx="2">
                  <c:v>0</c:v>
                </c:pt>
                <c:pt idx="3">
                  <c:v>0</c:v>
                </c:pt>
              </c:numCache>
            </c:numRef>
          </c:val>
          <c:extLst>
            <c:ext xmlns:c16="http://schemas.microsoft.com/office/drawing/2014/chart" uri="{C3380CC4-5D6E-409C-BE32-E72D297353CC}">
              <c16:uniqueId val="{00000006-58CF-4210-BDA9-632EB6F0FCB0}"/>
            </c:ext>
          </c:extLst>
        </c:ser>
        <c:ser>
          <c:idx val="7"/>
          <c:order val="7"/>
          <c:tx>
            <c:strRef>
              <c:f>Sheet2!$D$71</c:f>
              <c:strCache>
                <c:ptCount val="1"/>
                <c:pt idx="0">
                  <c:v>OnePlus Edge</c:v>
                </c:pt>
              </c:strCache>
            </c:strRef>
          </c:tx>
          <c:spPr>
            <a:solidFill>
              <a:schemeClr val="accent2">
                <a:lumMod val="60000"/>
              </a:schemeClr>
            </a:solidFill>
            <a:ln>
              <a:noFill/>
            </a:ln>
            <a:effectLst/>
          </c:spPr>
          <c:invertIfNegative val="0"/>
          <c:cat>
            <c:strRef>
              <c:f>Sheet2!$E$63:$H$63</c:f>
              <c:strCache>
                <c:ptCount val="4"/>
                <c:pt idx="0">
                  <c:v>North</c:v>
                </c:pt>
                <c:pt idx="1">
                  <c:v>South</c:v>
                </c:pt>
                <c:pt idx="2">
                  <c:v>East</c:v>
                </c:pt>
                <c:pt idx="3">
                  <c:v>West</c:v>
                </c:pt>
              </c:strCache>
            </c:strRef>
          </c:cat>
          <c:val>
            <c:numRef>
              <c:f>Sheet2!$E$71:$H$71</c:f>
              <c:numCache>
                <c:formatCode>\₹\ #.0,\ "K"</c:formatCode>
                <c:ptCount val="4"/>
                <c:pt idx="0">
                  <c:v>0</c:v>
                </c:pt>
                <c:pt idx="1">
                  <c:v>0</c:v>
                </c:pt>
                <c:pt idx="2">
                  <c:v>-215</c:v>
                </c:pt>
                <c:pt idx="3">
                  <c:v>0</c:v>
                </c:pt>
              </c:numCache>
            </c:numRef>
          </c:val>
          <c:extLst>
            <c:ext xmlns:c16="http://schemas.microsoft.com/office/drawing/2014/chart" uri="{C3380CC4-5D6E-409C-BE32-E72D297353CC}">
              <c16:uniqueId val="{00000007-58CF-4210-BDA9-632EB6F0FCB0}"/>
            </c:ext>
          </c:extLst>
        </c:ser>
        <c:dLbls>
          <c:showLegendKey val="0"/>
          <c:showVal val="0"/>
          <c:showCatName val="0"/>
          <c:showSerName val="0"/>
          <c:showPercent val="0"/>
          <c:showBubbleSize val="0"/>
        </c:dLbls>
        <c:gapWidth val="100"/>
        <c:overlap val="100"/>
        <c:axId val="559730768"/>
        <c:axId val="559729008"/>
      </c:barChart>
      <c:catAx>
        <c:axId val="55973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29008"/>
        <c:crosses val="autoZero"/>
        <c:auto val="1"/>
        <c:lblAlgn val="ctr"/>
        <c:lblOffset val="100"/>
        <c:noMultiLvlLbl val="0"/>
      </c:catAx>
      <c:valAx>
        <c:axId val="559729008"/>
        <c:scaling>
          <c:orientation val="minMax"/>
        </c:scaling>
        <c:delete val="0"/>
        <c:axPos val="b"/>
        <c:numFmt formatCode="\₹\ #.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30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[ecommerce_pivot_practice.xlsx]Sheet2!PivotTable96</c:name>
    <c:fmtId val="4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Loss</a:t>
            </a:r>
            <a:r>
              <a:rPr lang="en-US" b="1" baseline="0"/>
              <a:t> Making States (All Categories)</a:t>
            </a:r>
            <a:endParaRPr lang="en-US" b="1"/>
          </a:p>
        </c:rich>
      </c:tx>
      <c:layout>
        <c:manualLayout>
          <c:xMode val="edge"/>
          <c:yMode val="edge"/>
          <c:x val="0.14697465757956726"/>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numFmt formatCode="\₹\ #.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7563025210084E-2"/>
          <c:y val="0.17171296296296296"/>
          <c:w val="0.68840574339972205"/>
          <c:h val="0.77736111111111106"/>
        </c:manualLayout>
      </c:layout>
      <c:barChart>
        <c:barDir val="bar"/>
        <c:grouping val="clustered"/>
        <c:varyColors val="0"/>
        <c:ser>
          <c:idx val="0"/>
          <c:order val="0"/>
          <c:tx>
            <c:strRef>
              <c:f>Sheet2!$E$80</c:f>
              <c:strCache>
                <c:ptCount val="1"/>
                <c:pt idx="0">
                  <c:v>Total</c:v>
                </c:pt>
              </c:strCache>
            </c:strRef>
          </c:tx>
          <c:spPr>
            <a:solidFill>
              <a:srgbClr val="C00000"/>
            </a:solidFill>
            <a:ln>
              <a:noFill/>
            </a:ln>
            <a:effectLst/>
          </c:spPr>
          <c:invertIfNegative val="0"/>
          <c:dLbls>
            <c:numFmt formatCode="\₹\ #.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Sheet2!$D$81:$D$86</c:f>
              <c:strCache>
                <c:ptCount val="6"/>
                <c:pt idx="0">
                  <c:v>Uttar Pradesh</c:v>
                </c:pt>
                <c:pt idx="1">
                  <c:v>Delhi</c:v>
                </c:pt>
                <c:pt idx="2">
                  <c:v>Haryana</c:v>
                </c:pt>
                <c:pt idx="3">
                  <c:v>Kerala</c:v>
                </c:pt>
                <c:pt idx="4">
                  <c:v>Telangana</c:v>
                </c:pt>
                <c:pt idx="5">
                  <c:v>Bihar</c:v>
                </c:pt>
              </c:strCache>
            </c:strRef>
          </c:cat>
          <c:val>
            <c:numRef>
              <c:f>Sheet2!$E$81:$E$86</c:f>
              <c:numCache>
                <c:formatCode>_("$"* #,##0_);_("$"* \(#,##0\);_("$"* "-"??_);_(@_)</c:formatCode>
                <c:ptCount val="6"/>
                <c:pt idx="0">
                  <c:v>-20560.93</c:v>
                </c:pt>
                <c:pt idx="1">
                  <c:v>-18837.45</c:v>
                </c:pt>
                <c:pt idx="2">
                  <c:v>-10232.290000000001</c:v>
                </c:pt>
                <c:pt idx="3">
                  <c:v>-7630.83</c:v>
                </c:pt>
                <c:pt idx="4">
                  <c:v>-6701.8700000000008</c:v>
                </c:pt>
                <c:pt idx="5">
                  <c:v>-6121.5099999999993</c:v>
                </c:pt>
              </c:numCache>
            </c:numRef>
          </c:val>
          <c:extLst>
            <c:ext xmlns:c16="http://schemas.microsoft.com/office/drawing/2014/chart" uri="{C3380CC4-5D6E-409C-BE32-E72D297353CC}">
              <c16:uniqueId val="{00000000-E835-43EB-BCE7-2057CEF34E56}"/>
            </c:ext>
          </c:extLst>
        </c:ser>
        <c:dLbls>
          <c:dLblPos val="outEnd"/>
          <c:showLegendKey val="0"/>
          <c:showVal val="1"/>
          <c:showCatName val="0"/>
          <c:showSerName val="0"/>
          <c:showPercent val="0"/>
          <c:showBubbleSize val="0"/>
        </c:dLbls>
        <c:gapWidth val="100"/>
        <c:axId val="67935023"/>
        <c:axId val="67938543"/>
      </c:barChart>
      <c:catAx>
        <c:axId val="67935023"/>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938543"/>
        <c:crosses val="autoZero"/>
        <c:auto val="1"/>
        <c:lblAlgn val="ctr"/>
        <c:lblOffset val="100"/>
        <c:noMultiLvlLbl val="0"/>
      </c:catAx>
      <c:valAx>
        <c:axId val="67938543"/>
        <c:scaling>
          <c:orientation val="minMax"/>
        </c:scaling>
        <c:delete val="1"/>
        <c:axPos val="b"/>
        <c:numFmt formatCode="_(&quot;$&quot;* #,##0_);_(&quot;$&quot;* \(#,##0\);_(&quot;$&quot;* &quot;-&quot;??_);_(@_)" sourceLinked="1"/>
        <c:majorTickMark val="none"/>
        <c:minorTickMark val="none"/>
        <c:tickLblPos val="nextTo"/>
        <c:crossAx val="6793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[ecommerce_pivot_practice.xlsx]Sheet2!PivotTable97</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a:t>
            </a:r>
            <a:r>
              <a:rPr lang="en-US" baseline="0"/>
              <a:t> and Shipping Costs Across Regions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7"/>
          <c:spPr>
            <a:solidFill>
              <a:schemeClr val="accent1"/>
            </a:solidFill>
            <a:ln w="9525">
              <a:solidFill>
                <a:schemeClr val="accent1"/>
              </a:solidFill>
            </a:ln>
            <a:effectLst/>
          </c:spPr>
        </c:marker>
        <c:dLbl>
          <c:idx val="0"/>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1.9444444444444445E-2"/>
              <c:y val="-5.5555555555555601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4.4444444444444446E-2"/>
              <c:y val="-6.018518518518523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4.1666666666666616E-2"/>
              <c:y val="-5.0925925925925944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3.6111111111111108E-2"/>
              <c:y val="-6.4814814814814811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Sheet2!$K$3</c:f>
              <c:strCache>
                <c:ptCount val="1"/>
                <c:pt idx="0">
                  <c:v>ShippingCost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Sheet2!$I$4:$I$8</c:f>
              <c:strCache>
                <c:ptCount val="4"/>
                <c:pt idx="0">
                  <c:v>East</c:v>
                </c:pt>
                <c:pt idx="1">
                  <c:v>North</c:v>
                </c:pt>
                <c:pt idx="2">
                  <c:v>South</c:v>
                </c:pt>
                <c:pt idx="3">
                  <c:v>West</c:v>
                </c:pt>
              </c:strCache>
            </c:strRef>
          </c:cat>
          <c:val>
            <c:numRef>
              <c:f>Sheet2!$K$4:$K$8</c:f>
              <c:numCache>
                <c:formatCode>\₹\ #.0,\ "K"</c:formatCode>
                <c:ptCount val="4"/>
                <c:pt idx="0">
                  <c:v>51704.609999999986</c:v>
                </c:pt>
                <c:pt idx="1">
                  <c:v>49489.470000000016</c:v>
                </c:pt>
                <c:pt idx="2">
                  <c:v>50383.959999999992</c:v>
                </c:pt>
                <c:pt idx="3">
                  <c:v>52647.570000000022</c:v>
                </c:pt>
              </c:numCache>
            </c:numRef>
          </c:val>
          <c:extLst>
            <c:ext xmlns:c16="http://schemas.microsoft.com/office/drawing/2014/chart" uri="{C3380CC4-5D6E-409C-BE32-E72D297353CC}">
              <c16:uniqueId val="{00000001-E01F-4270-B138-D7095946602B}"/>
            </c:ext>
          </c:extLst>
        </c:ser>
        <c:dLbls>
          <c:dLblPos val="outEnd"/>
          <c:showLegendKey val="0"/>
          <c:showVal val="1"/>
          <c:showCatName val="0"/>
          <c:showSerName val="0"/>
          <c:showPercent val="0"/>
          <c:showBubbleSize val="0"/>
        </c:dLbls>
        <c:gapWidth val="100"/>
        <c:axId val="67948047"/>
        <c:axId val="67954383"/>
      </c:barChart>
      <c:lineChart>
        <c:grouping val="standard"/>
        <c:varyColors val="0"/>
        <c:ser>
          <c:idx val="0"/>
          <c:order val="0"/>
          <c:tx>
            <c:strRef>
              <c:f>Sheet2!$J$3</c:f>
              <c:strCache>
                <c:ptCount val="1"/>
                <c:pt idx="0">
                  <c:v>% Discount</c:v>
                </c:pt>
              </c:strCache>
            </c:strRef>
          </c:tx>
          <c:spPr>
            <a:ln w="28575" cap="rnd">
              <a:solidFill>
                <a:schemeClr val="accent1"/>
              </a:solidFill>
              <a:round/>
            </a:ln>
            <a:effectLst/>
          </c:spPr>
          <c:marker>
            <c:symbol val="diamond"/>
            <c:size val="7"/>
            <c:spPr>
              <a:solidFill>
                <a:schemeClr val="accent1"/>
              </a:solidFill>
              <a:ln w="9525">
                <a:solidFill>
                  <a:schemeClr val="accent1"/>
                </a:solidFill>
              </a:ln>
              <a:effectLst/>
            </c:spPr>
          </c:marker>
          <c:dLbls>
            <c:dLbl>
              <c:idx val="0"/>
              <c:layout>
                <c:manualLayout>
                  <c:x val="-1.9444444444444445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1F-4270-B138-D7095946602B}"/>
                </c:ext>
              </c:extLst>
            </c:dLbl>
            <c:dLbl>
              <c:idx val="1"/>
              <c:layout>
                <c:manualLayout>
                  <c:x val="-4.4444444444444446E-2"/>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1F-4270-B138-D7095946602B}"/>
                </c:ext>
              </c:extLst>
            </c:dLbl>
            <c:dLbl>
              <c:idx val="2"/>
              <c:layout>
                <c:manualLayout>
                  <c:x val="-4.1666666666666616E-2"/>
                  <c:y val="-5.09259259259259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1F-4270-B138-D7095946602B}"/>
                </c:ext>
              </c:extLst>
            </c:dLbl>
            <c:dLbl>
              <c:idx val="3"/>
              <c:layout>
                <c:manualLayout>
                  <c:x val="-3.6111111111111108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1F-4270-B138-D7095946602B}"/>
                </c:ext>
              </c:extLst>
            </c:dLbl>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Sheet2!$I$4:$I$8</c:f>
              <c:strCache>
                <c:ptCount val="4"/>
                <c:pt idx="0">
                  <c:v>East</c:v>
                </c:pt>
                <c:pt idx="1">
                  <c:v>North</c:v>
                </c:pt>
                <c:pt idx="2">
                  <c:v>South</c:v>
                </c:pt>
                <c:pt idx="3">
                  <c:v>West</c:v>
                </c:pt>
              </c:strCache>
            </c:strRef>
          </c:cat>
          <c:val>
            <c:numRef>
              <c:f>Sheet2!$J$4:$J$8</c:f>
              <c:numCache>
                <c:formatCode>0.0</c:formatCode>
                <c:ptCount val="4"/>
                <c:pt idx="0">
                  <c:v>9.66</c:v>
                </c:pt>
                <c:pt idx="1">
                  <c:v>9.875</c:v>
                </c:pt>
                <c:pt idx="2">
                  <c:v>10.2834008097166</c:v>
                </c:pt>
                <c:pt idx="3">
                  <c:v>10.399239543726235</c:v>
                </c:pt>
              </c:numCache>
            </c:numRef>
          </c:val>
          <c:smooth val="0"/>
          <c:extLst>
            <c:ext xmlns:c16="http://schemas.microsoft.com/office/drawing/2014/chart" uri="{C3380CC4-5D6E-409C-BE32-E72D297353CC}">
              <c16:uniqueId val="{00000000-E01F-4270-B138-D7095946602B}"/>
            </c:ext>
          </c:extLst>
        </c:ser>
        <c:dLbls>
          <c:showLegendKey val="0"/>
          <c:showVal val="1"/>
          <c:showCatName val="0"/>
          <c:showSerName val="0"/>
          <c:showPercent val="0"/>
          <c:showBubbleSize val="0"/>
        </c:dLbls>
        <c:marker val="1"/>
        <c:smooth val="0"/>
        <c:axId val="1933907600"/>
        <c:axId val="1933907248"/>
      </c:lineChart>
      <c:catAx>
        <c:axId val="6794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954383"/>
        <c:crosses val="autoZero"/>
        <c:auto val="1"/>
        <c:lblAlgn val="ctr"/>
        <c:lblOffset val="100"/>
        <c:noMultiLvlLbl val="0"/>
      </c:catAx>
      <c:valAx>
        <c:axId val="67954383"/>
        <c:scaling>
          <c:orientation val="minMax"/>
        </c:scaling>
        <c:delete val="0"/>
        <c:axPos val="l"/>
        <c:numFmt formatCode="\₹\ #.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948047"/>
        <c:crosses val="autoZero"/>
        <c:crossBetween val="between"/>
      </c:valAx>
      <c:valAx>
        <c:axId val="1933907248"/>
        <c:scaling>
          <c:orientation val="minMax"/>
          <c:max val="12"/>
          <c:min val="5"/>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3907600"/>
        <c:crosses val="max"/>
        <c:crossBetween val="between"/>
      </c:valAx>
      <c:catAx>
        <c:axId val="1933907600"/>
        <c:scaling>
          <c:orientation val="minMax"/>
        </c:scaling>
        <c:delete val="1"/>
        <c:axPos val="b"/>
        <c:numFmt formatCode="General" sourceLinked="1"/>
        <c:majorTickMark val="out"/>
        <c:minorTickMark val="none"/>
        <c:tickLblPos val="nextTo"/>
        <c:crossAx val="1933907248"/>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Top Loss Making States (All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Sheet2!$G$82:$G$87</c:f>
              <c:strCache>
                <c:ptCount val="6"/>
                <c:pt idx="0">
                  <c:v>Uttar Pradesh</c:v>
                </c:pt>
                <c:pt idx="1">
                  <c:v>Delhi</c:v>
                </c:pt>
                <c:pt idx="2">
                  <c:v>Haryana</c:v>
                </c:pt>
                <c:pt idx="3">
                  <c:v>Kerala</c:v>
                </c:pt>
                <c:pt idx="4">
                  <c:v>Telangana</c:v>
                </c:pt>
                <c:pt idx="5">
                  <c:v>Bihar</c:v>
                </c:pt>
              </c:strCache>
            </c:strRef>
          </c:cat>
          <c:val>
            <c:numRef>
              <c:f>Sheet2!$H$82:$H$87</c:f>
              <c:numCache>
                <c:formatCode>\₹\ #.0,\ "K"</c:formatCode>
                <c:ptCount val="6"/>
                <c:pt idx="0">
                  <c:v>-20560.93</c:v>
                </c:pt>
                <c:pt idx="1">
                  <c:v>-18837.45</c:v>
                </c:pt>
                <c:pt idx="2">
                  <c:v>-10232.290000000001</c:v>
                </c:pt>
                <c:pt idx="3">
                  <c:v>-7630.83</c:v>
                </c:pt>
                <c:pt idx="4">
                  <c:v>-6701.8700000000008</c:v>
                </c:pt>
                <c:pt idx="5">
                  <c:v>-6121.5099999999993</c:v>
                </c:pt>
              </c:numCache>
            </c:numRef>
          </c:val>
          <c:extLst>
            <c:ext xmlns:c16="http://schemas.microsoft.com/office/drawing/2014/chart" uri="{C3380CC4-5D6E-409C-BE32-E72D297353CC}">
              <c16:uniqueId val="{00000000-B48E-477F-9E83-7047028BD2C3}"/>
            </c:ext>
          </c:extLst>
        </c:ser>
        <c:dLbls>
          <c:showLegendKey val="0"/>
          <c:showVal val="0"/>
          <c:showCatName val="0"/>
          <c:showSerName val="0"/>
          <c:showPercent val="0"/>
          <c:showBubbleSize val="0"/>
        </c:dLbls>
        <c:gapWidth val="100"/>
        <c:axId val="607116216"/>
        <c:axId val="607117272"/>
      </c:barChart>
      <c:catAx>
        <c:axId val="607116216"/>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7117272"/>
        <c:crosses val="autoZero"/>
        <c:auto val="1"/>
        <c:lblAlgn val="ctr"/>
        <c:lblOffset val="100"/>
        <c:noMultiLvlLbl val="0"/>
      </c:catAx>
      <c:valAx>
        <c:axId val="607117272"/>
        <c:scaling>
          <c:orientation val="minMax"/>
        </c:scaling>
        <c:delete val="1"/>
        <c:axPos val="b"/>
        <c:numFmt formatCode="\₹\ #.0,\ &quot;K&quot;" sourceLinked="1"/>
        <c:majorTickMark val="none"/>
        <c:minorTickMark val="none"/>
        <c:tickLblPos val="nextTo"/>
        <c:crossAx val="607116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[ecommerce_pivot_practice.xlsx]Pivots!RegionSales</c:name>
    <c:fmtId val="31"/>
  </c:pivotSource>
  <c:chart>
    <c:title>
      <c:tx>
        <c:rich>
          <a:bodyPr rot="0" spcFirstLastPara="1" vertOverflow="ellipsis" vert="horz" wrap="square" anchor="ctr" anchorCtr="1"/>
          <a:lstStyle/>
          <a:p>
            <a:pPr algn="ctr" rtl="0">
              <a:defRPr lang="en-US" sz="1600" b="1" i="0" u="none" strike="noStrike" kern="1200" spc="0" baseline="0">
                <a:solidFill>
                  <a:schemeClr val="tx2">
                    <a:lumMod val="75000"/>
                  </a:schemeClr>
                </a:solidFill>
                <a:latin typeface="+mn-lt"/>
                <a:ea typeface="+mn-ea"/>
                <a:cs typeface="+mn-cs"/>
              </a:defRPr>
            </a:pPr>
            <a:r>
              <a:rPr lang="en-US" sz="1600" b="1" i="0" u="none" strike="noStrike" kern="1200" spc="0" baseline="0">
                <a:solidFill>
                  <a:schemeClr val="tx2">
                    <a:lumMod val="75000"/>
                  </a:schemeClr>
                </a:solidFill>
                <a:latin typeface="+mn-lt"/>
                <a:ea typeface="+mn-ea"/>
                <a:cs typeface="+mn-cs"/>
              </a:rPr>
              <a:t>Sales by Region</a:t>
            </a:r>
          </a:p>
        </c:rich>
      </c:tx>
      <c:layout>
        <c:manualLayout>
          <c:xMode val="edge"/>
          <c:yMode val="edge"/>
          <c:x val="0.34674385949315306"/>
          <c:y val="4.2276168816677777E-2"/>
        </c:manualLayout>
      </c:layout>
      <c:overlay val="0"/>
      <c:spPr>
        <a:solidFill>
          <a:sysClr val="window" lastClr="FFFFFF"/>
        </a:solidFill>
        <a:ln>
          <a:noFill/>
        </a:ln>
        <a:effectLst/>
      </c:spPr>
      <c:txPr>
        <a:bodyPr rot="0" spcFirstLastPara="1" vertOverflow="ellipsis" vert="horz" wrap="square" anchor="ctr" anchorCtr="1"/>
        <a:lstStyle/>
        <a:p>
          <a:pPr algn="ctr" rtl="0">
            <a:defRPr lang="en-US" sz="16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 #.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c:f>
              <c:strCache>
                <c:ptCount val="1"/>
                <c:pt idx="0">
                  <c:v>Total</c:v>
                </c:pt>
              </c:strCache>
            </c:strRef>
          </c:tx>
          <c:spPr>
            <a:solidFill>
              <a:schemeClr val="accent2"/>
            </a:solidFill>
            <a:ln>
              <a:noFill/>
            </a:ln>
            <a:effectLst/>
          </c:spPr>
          <c:invertIfNegative val="0"/>
          <c:dLbls>
            <c:numFmt formatCode="\₹\ #.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Pivots!$A$5:$A$9</c:f>
              <c:strCache>
                <c:ptCount val="4"/>
                <c:pt idx="0">
                  <c:v>North</c:v>
                </c:pt>
                <c:pt idx="1">
                  <c:v>West</c:v>
                </c:pt>
                <c:pt idx="2">
                  <c:v>East</c:v>
                </c:pt>
                <c:pt idx="3">
                  <c:v>South</c:v>
                </c:pt>
              </c:strCache>
            </c:strRef>
          </c:cat>
          <c:val>
            <c:numRef>
              <c:f>Pivots!$B$5:$B$9</c:f>
              <c:numCache>
                <c:formatCode>_("$"* #,##0_);_("$"* \(#,##0\);_("$"* "-"??_);_(@_)</c:formatCode>
                <c:ptCount val="4"/>
                <c:pt idx="0">
                  <c:v>4521462.0000000019</c:v>
                </c:pt>
                <c:pt idx="1">
                  <c:v>3930181.7099999981</c:v>
                </c:pt>
                <c:pt idx="2">
                  <c:v>3504132.850000002</c:v>
                </c:pt>
                <c:pt idx="3">
                  <c:v>3256957.4799999991</c:v>
                </c:pt>
              </c:numCache>
            </c:numRef>
          </c:val>
          <c:extLst>
            <c:ext xmlns:c16="http://schemas.microsoft.com/office/drawing/2014/chart" uri="{C3380CC4-5D6E-409C-BE32-E72D297353CC}">
              <c16:uniqueId val="{00000000-9572-47A2-8A84-F99F6F9ED986}"/>
            </c:ext>
          </c:extLst>
        </c:ser>
        <c:dLbls>
          <c:dLblPos val="outEnd"/>
          <c:showLegendKey val="0"/>
          <c:showVal val="1"/>
          <c:showCatName val="0"/>
          <c:showSerName val="0"/>
          <c:showPercent val="0"/>
          <c:showBubbleSize val="0"/>
        </c:dLbls>
        <c:gapWidth val="219"/>
        <c:overlap val="-27"/>
        <c:axId val="1933884016"/>
        <c:axId val="559774640"/>
      </c:barChart>
      <c:catAx>
        <c:axId val="193388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59774640"/>
        <c:crosses val="autoZero"/>
        <c:auto val="1"/>
        <c:lblAlgn val="ctr"/>
        <c:lblOffset val="100"/>
        <c:noMultiLvlLbl val="0"/>
      </c:catAx>
      <c:valAx>
        <c:axId val="559774640"/>
        <c:scaling>
          <c:orientation val="minMax"/>
        </c:scaling>
        <c:delete val="1"/>
        <c:axPos val="l"/>
        <c:numFmt formatCode="_(&quot;$&quot;* #,##0_);_(&quot;$&quot;* \(#,##0\);_(&quot;$&quot;* &quot;-&quot;??_);_(@_)" sourceLinked="1"/>
        <c:majorTickMark val="none"/>
        <c:minorTickMark val="none"/>
        <c:tickLblPos val="nextTo"/>
        <c:crossAx val="193388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[ecommerce_pivot_practice.xlsx]Pivots!RegionSales</c:name>
    <c:fmtId val="37"/>
  </c:pivotSource>
  <c:chart>
    <c:title>
      <c:tx>
        <c:rich>
          <a:bodyPr rot="0" spcFirstLastPara="1" vertOverflow="ellipsis" vert="horz" wrap="square" anchor="ctr" anchorCtr="1"/>
          <a:lstStyle/>
          <a:p>
            <a:pPr algn="ctr" rtl="0">
              <a:defRPr lang="en-US" sz="1400" b="1" i="0" u="none" strike="noStrike" kern="1200" spc="0" baseline="0">
                <a:solidFill>
                  <a:schemeClr val="tx2">
                    <a:lumMod val="75000"/>
                  </a:schemeClr>
                </a:solidFill>
                <a:latin typeface="+mn-lt"/>
                <a:ea typeface="+mn-ea"/>
                <a:cs typeface="+mn-cs"/>
              </a:defRPr>
            </a:pPr>
            <a:r>
              <a:rPr lang="en-US" sz="1400" b="1" i="0" u="none" strike="noStrike" kern="1200" spc="0" baseline="0">
                <a:solidFill>
                  <a:schemeClr val="tx2">
                    <a:lumMod val="75000"/>
                  </a:schemeClr>
                </a:solidFill>
                <a:latin typeface="+mn-lt"/>
                <a:ea typeface="+mn-ea"/>
                <a:cs typeface="+mn-cs"/>
              </a:rPr>
              <a:t>Distribution of Sales by Region</a:t>
            </a:r>
          </a:p>
        </c:rich>
      </c:tx>
      <c:layout>
        <c:manualLayout>
          <c:xMode val="edge"/>
          <c:yMode val="edge"/>
          <c:x val="0.18630866938728438"/>
          <c:y val="4.570665415911021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40"/>
      <c:rotY val="11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921052631578949E-2"/>
          <c:y val="0.2580300527607165"/>
          <c:w val="0.81710526315789478"/>
          <c:h val="0.62190131019773243"/>
        </c:manualLayout>
      </c:layout>
      <c:pie3DChart>
        <c:varyColors val="1"/>
        <c:ser>
          <c:idx val="0"/>
          <c:order val="0"/>
          <c:tx>
            <c:strRef>
              <c:f>Pivots!$B$4</c:f>
              <c:strCache>
                <c:ptCount val="1"/>
                <c:pt idx="0">
                  <c:v>Total</c:v>
                </c:pt>
              </c:strCache>
            </c:strRef>
          </c:tx>
          <c:explosion val="26"/>
          <c:dPt>
            <c:idx val="0"/>
            <c:bubble3D val="0"/>
            <c:explosion val="57"/>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DB6-4199-9538-B32499FA393F}"/>
              </c:ext>
            </c:extLst>
          </c:dPt>
          <c:dPt>
            <c:idx val="1"/>
            <c:bubble3D val="0"/>
            <c:explosion val="5"/>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DB6-4199-9538-B32499FA393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DB6-4199-9538-B32499FA393F}"/>
              </c:ext>
            </c:extLst>
          </c:dPt>
          <c:dPt>
            <c:idx val="3"/>
            <c:bubble3D val="0"/>
            <c:explosion val="5"/>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DB6-4199-9538-B32499FA393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Pivots!$A$5:$A$9</c:f>
              <c:strCache>
                <c:ptCount val="4"/>
                <c:pt idx="0">
                  <c:v>North</c:v>
                </c:pt>
                <c:pt idx="1">
                  <c:v>West</c:v>
                </c:pt>
                <c:pt idx="2">
                  <c:v>East</c:v>
                </c:pt>
                <c:pt idx="3">
                  <c:v>South</c:v>
                </c:pt>
              </c:strCache>
            </c:strRef>
          </c:cat>
          <c:val>
            <c:numRef>
              <c:f>Pivots!$B$5:$B$9</c:f>
              <c:numCache>
                <c:formatCode>_("$"* #,##0_);_("$"* \(#,##0\);_("$"* "-"??_);_(@_)</c:formatCode>
                <c:ptCount val="4"/>
                <c:pt idx="0">
                  <c:v>4521462.0000000019</c:v>
                </c:pt>
                <c:pt idx="1">
                  <c:v>3930181.7099999981</c:v>
                </c:pt>
                <c:pt idx="2">
                  <c:v>3504132.850000002</c:v>
                </c:pt>
                <c:pt idx="3">
                  <c:v>3256957.4799999991</c:v>
                </c:pt>
              </c:numCache>
            </c:numRef>
          </c:val>
          <c:extLst>
            <c:ext xmlns:c16="http://schemas.microsoft.com/office/drawing/2014/chart" uri="{C3380CC4-5D6E-409C-BE32-E72D297353CC}">
              <c16:uniqueId val="{00000008-3DB6-4199-9538-B32499FA393F}"/>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[ecommerce_pivot_practice.xlsx]Pivots!RegionProfit</c:name>
    <c:fmtId val="42"/>
  </c:pivotSource>
  <c:chart>
    <c:title>
      <c:tx>
        <c:rich>
          <a:bodyPr rot="0" spcFirstLastPara="1" vertOverflow="ellipsis" vert="horz" wrap="square" anchor="ctr" anchorCtr="1"/>
          <a:lstStyle/>
          <a:p>
            <a:pPr algn="ctr" rtl="0">
              <a:defRPr lang="en-US" sz="1400" b="1" i="0" u="none" strike="noStrike" kern="1200" spc="0" baseline="0">
                <a:solidFill>
                  <a:schemeClr val="tx2">
                    <a:lumMod val="75000"/>
                  </a:schemeClr>
                </a:solidFill>
                <a:latin typeface="+mn-lt"/>
                <a:ea typeface="+mn-ea"/>
                <a:cs typeface="+mn-cs"/>
              </a:defRPr>
            </a:pPr>
            <a:r>
              <a:rPr lang="en-US" sz="1400" b="1" i="0" u="none" strike="noStrike" kern="1200" spc="0" baseline="0">
                <a:solidFill>
                  <a:schemeClr val="tx2">
                    <a:lumMod val="75000"/>
                  </a:schemeClr>
                </a:solidFill>
                <a:latin typeface="+mn-lt"/>
                <a:ea typeface="+mn-ea"/>
                <a:cs typeface="+mn-cs"/>
              </a:rPr>
              <a:t>Profit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numFmt formatCode="\₹\ #.0,\ &quot;K&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pivotFmt>
    </c:pivotFmts>
    <c:plotArea>
      <c:layout/>
      <c:barChart>
        <c:barDir val="bar"/>
        <c:grouping val="clustered"/>
        <c:varyColors val="0"/>
        <c:ser>
          <c:idx val="0"/>
          <c:order val="0"/>
          <c:tx>
            <c:strRef>
              <c:f>Pivots!$E$4</c:f>
              <c:strCache>
                <c:ptCount val="1"/>
                <c:pt idx="0">
                  <c:v>Total</c:v>
                </c:pt>
              </c:strCache>
            </c:strRef>
          </c:tx>
          <c:spPr>
            <a:solidFill>
              <a:schemeClr val="tx2">
                <a:lumMod val="75000"/>
              </a:schemeClr>
            </a:solidFill>
            <a:ln>
              <a:noFill/>
            </a:ln>
            <a:effectLst/>
          </c:spPr>
          <c:invertIfNegative val="0"/>
          <c:dLbls>
            <c:numFmt formatCode="\₹\ #.0,\ &quot;K&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Pivots!$D$5:$D$9</c:f>
              <c:strCache>
                <c:ptCount val="4"/>
                <c:pt idx="0">
                  <c:v>North</c:v>
                </c:pt>
                <c:pt idx="1">
                  <c:v>South</c:v>
                </c:pt>
                <c:pt idx="2">
                  <c:v>West</c:v>
                </c:pt>
                <c:pt idx="3">
                  <c:v>East</c:v>
                </c:pt>
              </c:strCache>
            </c:strRef>
          </c:cat>
          <c:val>
            <c:numRef>
              <c:f>Pivots!$E$5:$E$9</c:f>
              <c:numCache>
                <c:formatCode>_("$"* #,##0_);_("$"* \(#,##0\);_("$"* "-"??_);_(@_)</c:formatCode>
                <c:ptCount val="4"/>
                <c:pt idx="0">
                  <c:v>330381.87999999989</c:v>
                </c:pt>
                <c:pt idx="1">
                  <c:v>331276.1700000001</c:v>
                </c:pt>
                <c:pt idx="2">
                  <c:v>336343.34000000014</c:v>
                </c:pt>
                <c:pt idx="3">
                  <c:v>355533.17999999964</c:v>
                </c:pt>
              </c:numCache>
            </c:numRef>
          </c:val>
          <c:extLst>
            <c:ext xmlns:c16="http://schemas.microsoft.com/office/drawing/2014/chart" uri="{C3380CC4-5D6E-409C-BE32-E72D297353CC}">
              <c16:uniqueId val="{00000000-AFE8-4133-B720-86D4464815EF}"/>
            </c:ext>
          </c:extLst>
        </c:ser>
        <c:dLbls>
          <c:dLblPos val="outEnd"/>
          <c:showLegendKey val="0"/>
          <c:showVal val="1"/>
          <c:showCatName val="0"/>
          <c:showSerName val="0"/>
          <c:showPercent val="0"/>
          <c:showBubbleSize val="0"/>
        </c:dLbls>
        <c:gapWidth val="100"/>
        <c:axId val="1856618632"/>
        <c:axId val="1856619336"/>
      </c:barChart>
      <c:catAx>
        <c:axId val="1856618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856619336"/>
        <c:crosses val="autoZero"/>
        <c:auto val="1"/>
        <c:lblAlgn val="ctr"/>
        <c:lblOffset val="100"/>
        <c:noMultiLvlLbl val="0"/>
      </c:catAx>
      <c:valAx>
        <c:axId val="1856619336"/>
        <c:scaling>
          <c:orientation val="minMax"/>
        </c:scaling>
        <c:delete val="1"/>
        <c:axPos val="b"/>
        <c:numFmt formatCode="_(&quot;$&quot;* #,##0_);_(&quot;$&quot;* \(#,##0\);_(&quot;$&quot;* &quot;-&quot;??_);_(@_)" sourceLinked="1"/>
        <c:majorTickMark val="none"/>
        <c:minorTickMark val="none"/>
        <c:tickLblPos val="nextTo"/>
        <c:crossAx val="1856618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[ecommerce_pivot_practice.xlsx]Pivots!CategoryRegionSales</c:name>
    <c:fmtId val="17"/>
  </c:pivotSource>
  <c:chart>
    <c:title>
      <c:tx>
        <c:rich>
          <a:bodyPr rot="0" spcFirstLastPara="1" vertOverflow="ellipsis" vert="horz" wrap="square" anchor="ctr" anchorCtr="1"/>
          <a:lstStyle/>
          <a:p>
            <a:pPr algn="ctr" rtl="0">
              <a:defRPr lang="en-US" sz="1400" b="1" i="0" u="none" strike="noStrike" kern="1200" spc="0" baseline="0">
                <a:solidFill>
                  <a:schemeClr val="tx2">
                    <a:lumMod val="75000"/>
                  </a:schemeClr>
                </a:solidFill>
                <a:latin typeface="+mn-lt"/>
                <a:ea typeface="+mn-ea"/>
                <a:cs typeface="+mn-cs"/>
              </a:defRPr>
            </a:pPr>
            <a:r>
              <a:rPr lang="en-US" sz="1400" b="1" i="0" u="none" strike="noStrike" kern="1200" spc="0" baseline="0">
                <a:solidFill>
                  <a:schemeClr val="tx2">
                    <a:lumMod val="75000"/>
                  </a:schemeClr>
                </a:solidFill>
                <a:latin typeface="+mn-lt"/>
                <a:ea typeface="+mn-ea"/>
                <a:cs typeface="+mn-cs"/>
              </a:rPr>
              <a:t>Categorywise Sales Split Across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Pivots!$B$65:$B$66</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Pivots!$A$67:$A$73</c:f>
              <c:strCache>
                <c:ptCount val="6"/>
                <c:pt idx="0">
                  <c:v>Beauty &amp; Personal Care</c:v>
                </c:pt>
                <c:pt idx="1">
                  <c:v>Books</c:v>
                </c:pt>
                <c:pt idx="2">
                  <c:v>Clothing</c:v>
                </c:pt>
                <c:pt idx="3">
                  <c:v>Electronics</c:v>
                </c:pt>
                <c:pt idx="4">
                  <c:v>Home &amp; Kitchen</c:v>
                </c:pt>
                <c:pt idx="5">
                  <c:v>Sports &amp; Fitness</c:v>
                </c:pt>
              </c:strCache>
            </c:strRef>
          </c:cat>
          <c:val>
            <c:numRef>
              <c:f>Pivots!$B$67:$B$73</c:f>
              <c:numCache>
                <c:formatCode>0%</c:formatCode>
                <c:ptCount val="6"/>
                <c:pt idx="0">
                  <c:v>0.32445835738988388</c:v>
                </c:pt>
                <c:pt idx="1">
                  <c:v>0.26699862896098714</c:v>
                </c:pt>
                <c:pt idx="2">
                  <c:v>0.26872605023150459</c:v>
                </c:pt>
                <c:pt idx="3">
                  <c:v>0.22363126386812376</c:v>
                </c:pt>
                <c:pt idx="4">
                  <c:v>0.20449982833208769</c:v>
                </c:pt>
                <c:pt idx="5">
                  <c:v>0.24704584953924055</c:v>
                </c:pt>
              </c:numCache>
            </c:numRef>
          </c:val>
          <c:extLst>
            <c:ext xmlns:c16="http://schemas.microsoft.com/office/drawing/2014/chart" uri="{C3380CC4-5D6E-409C-BE32-E72D297353CC}">
              <c16:uniqueId val="{00000000-B3F1-4135-9157-B2D8900CC1DD}"/>
            </c:ext>
          </c:extLst>
        </c:ser>
        <c:ser>
          <c:idx val="1"/>
          <c:order val="1"/>
          <c:tx>
            <c:strRef>
              <c:f>Pivots!$C$65:$C$66</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Pivots!$A$67:$A$73</c:f>
              <c:strCache>
                <c:ptCount val="6"/>
                <c:pt idx="0">
                  <c:v>Beauty &amp; Personal Care</c:v>
                </c:pt>
                <c:pt idx="1">
                  <c:v>Books</c:v>
                </c:pt>
                <c:pt idx="2">
                  <c:v>Clothing</c:v>
                </c:pt>
                <c:pt idx="3">
                  <c:v>Electronics</c:v>
                </c:pt>
                <c:pt idx="4">
                  <c:v>Home &amp; Kitchen</c:v>
                </c:pt>
                <c:pt idx="5">
                  <c:v>Sports &amp; Fitness</c:v>
                </c:pt>
              </c:strCache>
            </c:strRef>
          </c:cat>
          <c:val>
            <c:numRef>
              <c:f>Pivots!$C$67:$C$73</c:f>
              <c:numCache>
                <c:formatCode>0%</c:formatCode>
                <c:ptCount val="6"/>
                <c:pt idx="0">
                  <c:v>0.25161439327296148</c:v>
                </c:pt>
                <c:pt idx="1">
                  <c:v>0.28410904570573453</c:v>
                </c:pt>
                <c:pt idx="2">
                  <c:v>0.22710740635454654</c:v>
                </c:pt>
                <c:pt idx="3">
                  <c:v>0.3195123959692811</c:v>
                </c:pt>
                <c:pt idx="4">
                  <c:v>0.26876410792391059</c:v>
                </c:pt>
                <c:pt idx="5">
                  <c:v>0.2582612942430984</c:v>
                </c:pt>
              </c:numCache>
            </c:numRef>
          </c:val>
          <c:extLst>
            <c:ext xmlns:c16="http://schemas.microsoft.com/office/drawing/2014/chart" uri="{C3380CC4-5D6E-409C-BE32-E72D297353CC}">
              <c16:uniqueId val="{00000001-B3F1-4135-9157-B2D8900CC1DD}"/>
            </c:ext>
          </c:extLst>
        </c:ser>
        <c:ser>
          <c:idx val="2"/>
          <c:order val="2"/>
          <c:tx>
            <c:strRef>
              <c:f>Pivots!$D$65:$D$66</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Pivots!$A$67:$A$73</c:f>
              <c:strCache>
                <c:ptCount val="6"/>
                <c:pt idx="0">
                  <c:v>Beauty &amp; Personal Care</c:v>
                </c:pt>
                <c:pt idx="1">
                  <c:v>Books</c:v>
                </c:pt>
                <c:pt idx="2">
                  <c:v>Clothing</c:v>
                </c:pt>
                <c:pt idx="3">
                  <c:v>Electronics</c:v>
                </c:pt>
                <c:pt idx="4">
                  <c:v>Home &amp; Kitchen</c:v>
                </c:pt>
                <c:pt idx="5">
                  <c:v>Sports &amp; Fitness</c:v>
                </c:pt>
              </c:strCache>
            </c:strRef>
          </c:cat>
          <c:val>
            <c:numRef>
              <c:f>Pivots!$D$67:$D$73</c:f>
              <c:numCache>
                <c:formatCode>0%</c:formatCode>
                <c:ptCount val="6"/>
                <c:pt idx="0">
                  <c:v>0.25755098418056632</c:v>
                </c:pt>
                <c:pt idx="1">
                  <c:v>0.29443944574013331</c:v>
                </c:pt>
                <c:pt idx="2">
                  <c:v>0.2362342145307644</c:v>
                </c:pt>
                <c:pt idx="3">
                  <c:v>0.19984841147210458</c:v>
                </c:pt>
                <c:pt idx="4">
                  <c:v>0.24700920677756844</c:v>
                </c:pt>
                <c:pt idx="5">
                  <c:v>0.22623187023122271</c:v>
                </c:pt>
              </c:numCache>
            </c:numRef>
          </c:val>
          <c:extLst>
            <c:ext xmlns:c16="http://schemas.microsoft.com/office/drawing/2014/chart" uri="{C3380CC4-5D6E-409C-BE32-E72D297353CC}">
              <c16:uniqueId val="{00000002-B3F1-4135-9157-B2D8900CC1DD}"/>
            </c:ext>
          </c:extLst>
        </c:ser>
        <c:ser>
          <c:idx val="3"/>
          <c:order val="3"/>
          <c:tx>
            <c:strRef>
              <c:f>Pivots!$E$65:$E$66</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Pivots!$A$67:$A$73</c:f>
              <c:strCache>
                <c:ptCount val="6"/>
                <c:pt idx="0">
                  <c:v>Beauty &amp; Personal Care</c:v>
                </c:pt>
                <c:pt idx="1">
                  <c:v>Books</c:v>
                </c:pt>
                <c:pt idx="2">
                  <c:v>Clothing</c:v>
                </c:pt>
                <c:pt idx="3">
                  <c:v>Electronics</c:v>
                </c:pt>
                <c:pt idx="4">
                  <c:v>Home &amp; Kitchen</c:v>
                </c:pt>
                <c:pt idx="5">
                  <c:v>Sports &amp; Fitness</c:v>
                </c:pt>
              </c:strCache>
            </c:strRef>
          </c:cat>
          <c:val>
            <c:numRef>
              <c:f>Pivots!$E$67:$E$73</c:f>
              <c:numCache>
                <c:formatCode>0%</c:formatCode>
                <c:ptCount val="6"/>
                <c:pt idx="0">
                  <c:v>0.16637626515658843</c:v>
                </c:pt>
                <c:pt idx="1">
                  <c:v>0.15445287959314494</c:v>
                </c:pt>
                <c:pt idx="2">
                  <c:v>0.26793232888318441</c:v>
                </c:pt>
                <c:pt idx="3">
                  <c:v>0.25700792869049072</c:v>
                </c:pt>
                <c:pt idx="4">
                  <c:v>0.27972685696643323</c:v>
                </c:pt>
                <c:pt idx="5">
                  <c:v>0.26846098598643831</c:v>
                </c:pt>
              </c:numCache>
            </c:numRef>
          </c:val>
          <c:extLst>
            <c:ext xmlns:c16="http://schemas.microsoft.com/office/drawing/2014/chart" uri="{C3380CC4-5D6E-409C-BE32-E72D297353CC}">
              <c16:uniqueId val="{00000003-B3F1-4135-9157-B2D8900CC1DD}"/>
            </c:ext>
          </c:extLst>
        </c:ser>
        <c:dLbls>
          <c:dLblPos val="ctr"/>
          <c:showLegendKey val="0"/>
          <c:showVal val="1"/>
          <c:showCatName val="0"/>
          <c:showSerName val="0"/>
          <c:showPercent val="0"/>
          <c:showBubbleSize val="0"/>
        </c:dLbls>
        <c:gapWidth val="82"/>
        <c:overlap val="100"/>
        <c:axId val="607122904"/>
        <c:axId val="607123608"/>
      </c:barChart>
      <c:catAx>
        <c:axId val="607122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07123608"/>
        <c:crosses val="autoZero"/>
        <c:auto val="1"/>
        <c:lblAlgn val="ctr"/>
        <c:lblOffset val="100"/>
        <c:noMultiLvlLbl val="0"/>
      </c:catAx>
      <c:valAx>
        <c:axId val="607123608"/>
        <c:scaling>
          <c:orientation val="minMax"/>
        </c:scaling>
        <c:delete val="1"/>
        <c:axPos val="l"/>
        <c:numFmt formatCode="0%" sourceLinked="1"/>
        <c:majorTickMark val="none"/>
        <c:minorTickMark val="none"/>
        <c:tickLblPos val="nextTo"/>
        <c:crossAx val="607122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[ecommerce_pivot_practice.xlsx]Sheet2!SaleProfitRC</c:name>
    <c:fmtId val="4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and Profit Trends Across Region and Catgories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Sheet2!$B$98</c:f>
              <c:strCache>
                <c:ptCount val="1"/>
                <c:pt idx="0">
                  <c:v>Sum of Sales</c:v>
                </c:pt>
              </c:strCache>
            </c:strRef>
          </c:tx>
          <c:spPr>
            <a:solidFill>
              <a:schemeClr val="accent1"/>
            </a:solidFill>
            <a:ln>
              <a:noFill/>
            </a:ln>
            <a:effectLst/>
          </c:spPr>
          <c:invertIfNegative val="0"/>
          <c:cat>
            <c:multiLvlStrRef>
              <c:f>Sheet2!$A$99:$A$113</c:f>
              <c:multiLvlStrCache>
                <c:ptCount val="12"/>
                <c:lvl>
                  <c:pt idx="0">
                    <c:v>Beauty &amp; Personal Care</c:v>
                  </c:pt>
                  <c:pt idx="1">
                    <c:v>Books</c:v>
                  </c:pt>
                  <c:pt idx="2">
                    <c:v>Clothing</c:v>
                  </c:pt>
                  <c:pt idx="3">
                    <c:v>Electronics</c:v>
                  </c:pt>
                  <c:pt idx="4">
                    <c:v>Home &amp; Kitchen</c:v>
                  </c:pt>
                  <c:pt idx="5">
                    <c:v>Sports &amp; Fitness</c:v>
                  </c:pt>
                  <c:pt idx="6">
                    <c:v>Beauty &amp; Personal Care</c:v>
                  </c:pt>
                  <c:pt idx="7">
                    <c:v>Books</c:v>
                  </c:pt>
                  <c:pt idx="8">
                    <c:v>Clothing</c:v>
                  </c:pt>
                  <c:pt idx="9">
                    <c:v>Electronics</c:v>
                  </c:pt>
                  <c:pt idx="10">
                    <c:v>Home &amp; Kitchen</c:v>
                  </c:pt>
                  <c:pt idx="11">
                    <c:v>Sports &amp; Fitness</c:v>
                  </c:pt>
                </c:lvl>
                <c:lvl>
                  <c:pt idx="0">
                    <c:v>North</c:v>
                  </c:pt>
                  <c:pt idx="6">
                    <c:v>West</c:v>
                  </c:pt>
                </c:lvl>
              </c:multiLvlStrCache>
            </c:multiLvlStrRef>
          </c:cat>
          <c:val>
            <c:numRef>
              <c:f>Sheet2!$B$99:$B$113</c:f>
              <c:numCache>
                <c:formatCode>_("$"* #,##0_);_("$"* \(#,##0\);_("$"* "-"??_);_(@_)</c:formatCode>
                <c:ptCount val="12"/>
                <c:pt idx="0">
                  <c:v>104662.61000000002</c:v>
                </c:pt>
                <c:pt idx="1">
                  <c:v>51471.799999999996</c:v>
                </c:pt>
                <c:pt idx="2">
                  <c:v>173666.54</c:v>
                </c:pt>
                <c:pt idx="3">
                  <c:v>3103732.96</c:v>
                </c:pt>
                <c:pt idx="4">
                  <c:v>499396.62000000023</c:v>
                </c:pt>
                <c:pt idx="5">
                  <c:v>588531.47</c:v>
                </c:pt>
                <c:pt idx="6">
                  <c:v>69206.59</c:v>
                </c:pt>
                <c:pt idx="7">
                  <c:v>27982.100000000002</c:v>
                </c:pt>
                <c:pt idx="8">
                  <c:v>204884.91000000003</c:v>
                </c:pt>
                <c:pt idx="9">
                  <c:v>2496566.61</c:v>
                </c:pt>
                <c:pt idx="10">
                  <c:v>519766.74999999994</c:v>
                </c:pt>
                <c:pt idx="11">
                  <c:v>611774.75</c:v>
                </c:pt>
              </c:numCache>
            </c:numRef>
          </c:val>
          <c:extLst>
            <c:ext xmlns:c16="http://schemas.microsoft.com/office/drawing/2014/chart" uri="{C3380CC4-5D6E-409C-BE32-E72D297353CC}">
              <c16:uniqueId val="{00000000-F73A-4862-8DCA-D1CF9355ECDC}"/>
            </c:ext>
          </c:extLst>
        </c:ser>
        <c:dLbls>
          <c:showLegendKey val="0"/>
          <c:showVal val="0"/>
          <c:showCatName val="0"/>
          <c:showSerName val="0"/>
          <c:showPercent val="0"/>
          <c:showBubbleSize val="0"/>
        </c:dLbls>
        <c:gapWidth val="219"/>
        <c:axId val="67941007"/>
        <c:axId val="67941359"/>
      </c:barChart>
      <c:lineChart>
        <c:grouping val="standard"/>
        <c:varyColors val="0"/>
        <c:ser>
          <c:idx val="1"/>
          <c:order val="1"/>
          <c:tx>
            <c:strRef>
              <c:f>Sheet2!$C$98</c:f>
              <c:strCache>
                <c:ptCount val="1"/>
                <c:pt idx="0">
                  <c:v>Sum of Profit</c:v>
                </c:pt>
              </c:strCache>
            </c:strRef>
          </c:tx>
          <c:spPr>
            <a:ln w="28575" cap="rnd">
              <a:solidFill>
                <a:schemeClr val="accent2"/>
              </a:solidFill>
              <a:round/>
            </a:ln>
            <a:effectLst/>
          </c:spPr>
          <c:marker>
            <c:symbol val="none"/>
          </c:marker>
          <c:cat>
            <c:multiLvlStrRef>
              <c:f>Sheet2!$A$99:$A$113</c:f>
              <c:multiLvlStrCache>
                <c:ptCount val="12"/>
                <c:lvl>
                  <c:pt idx="0">
                    <c:v>Beauty &amp; Personal Care</c:v>
                  </c:pt>
                  <c:pt idx="1">
                    <c:v>Books</c:v>
                  </c:pt>
                  <c:pt idx="2">
                    <c:v>Clothing</c:v>
                  </c:pt>
                  <c:pt idx="3">
                    <c:v>Electronics</c:v>
                  </c:pt>
                  <c:pt idx="4">
                    <c:v>Home &amp; Kitchen</c:v>
                  </c:pt>
                  <c:pt idx="5">
                    <c:v>Sports &amp; Fitness</c:v>
                  </c:pt>
                  <c:pt idx="6">
                    <c:v>Beauty &amp; Personal Care</c:v>
                  </c:pt>
                  <c:pt idx="7">
                    <c:v>Books</c:v>
                  </c:pt>
                  <c:pt idx="8">
                    <c:v>Clothing</c:v>
                  </c:pt>
                  <c:pt idx="9">
                    <c:v>Electronics</c:v>
                  </c:pt>
                  <c:pt idx="10">
                    <c:v>Home &amp; Kitchen</c:v>
                  </c:pt>
                  <c:pt idx="11">
                    <c:v>Sports &amp; Fitness</c:v>
                  </c:pt>
                </c:lvl>
                <c:lvl>
                  <c:pt idx="0">
                    <c:v>North</c:v>
                  </c:pt>
                  <c:pt idx="6">
                    <c:v>West</c:v>
                  </c:pt>
                </c:lvl>
              </c:multiLvlStrCache>
            </c:multiLvlStrRef>
          </c:cat>
          <c:val>
            <c:numRef>
              <c:f>Sheet2!$C$99:$C$113</c:f>
              <c:numCache>
                <c:formatCode>_("$"* #,##0_);_("$"* \(#,##0\);_("$"* "-"??_);_(@_)</c:formatCode>
                <c:ptCount val="12"/>
                <c:pt idx="0">
                  <c:v>24074.91</c:v>
                </c:pt>
                <c:pt idx="1">
                  <c:v>5188</c:v>
                </c:pt>
                <c:pt idx="2">
                  <c:v>26413.300000000003</c:v>
                </c:pt>
                <c:pt idx="3">
                  <c:v>128253.22000000003</c:v>
                </c:pt>
                <c:pt idx="4">
                  <c:v>59537.390000000014</c:v>
                </c:pt>
                <c:pt idx="5">
                  <c:v>86915.059999999983</c:v>
                </c:pt>
                <c:pt idx="6">
                  <c:v>16855.8</c:v>
                </c:pt>
                <c:pt idx="7">
                  <c:v>2356.7300000000005</c:v>
                </c:pt>
                <c:pt idx="8">
                  <c:v>34954.689999999995</c:v>
                </c:pt>
                <c:pt idx="9">
                  <c:v>128163.02999999998</c:v>
                </c:pt>
                <c:pt idx="10">
                  <c:v>70687.990000000005</c:v>
                </c:pt>
                <c:pt idx="11">
                  <c:v>83325.10000000002</c:v>
                </c:pt>
              </c:numCache>
            </c:numRef>
          </c:val>
          <c:smooth val="0"/>
          <c:extLst>
            <c:ext xmlns:c16="http://schemas.microsoft.com/office/drawing/2014/chart" uri="{C3380CC4-5D6E-409C-BE32-E72D297353CC}">
              <c16:uniqueId val="{00000001-F73A-4862-8DCA-D1CF9355ECDC}"/>
            </c:ext>
          </c:extLst>
        </c:ser>
        <c:dLbls>
          <c:showLegendKey val="0"/>
          <c:showVal val="0"/>
          <c:showCatName val="0"/>
          <c:showSerName val="0"/>
          <c:showPercent val="0"/>
          <c:showBubbleSize val="0"/>
        </c:dLbls>
        <c:marker val="1"/>
        <c:smooth val="0"/>
        <c:axId val="67946991"/>
        <c:axId val="67946639"/>
      </c:lineChart>
      <c:catAx>
        <c:axId val="6794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1359"/>
        <c:crosses val="autoZero"/>
        <c:auto val="1"/>
        <c:lblAlgn val="ctr"/>
        <c:lblOffset val="100"/>
        <c:noMultiLvlLbl val="0"/>
      </c:catAx>
      <c:valAx>
        <c:axId val="67941359"/>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941007"/>
        <c:crosses val="autoZero"/>
        <c:crossBetween val="between"/>
      </c:valAx>
      <c:valAx>
        <c:axId val="67946639"/>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946991"/>
        <c:crosses val="max"/>
        <c:crossBetween val="between"/>
      </c:valAx>
      <c:catAx>
        <c:axId val="67946991"/>
        <c:scaling>
          <c:orientation val="minMax"/>
        </c:scaling>
        <c:delete val="1"/>
        <c:axPos val="b"/>
        <c:numFmt formatCode="General" sourceLinked="1"/>
        <c:majorTickMark val="out"/>
        <c:minorTickMark val="none"/>
        <c:tickLblPos val="nextTo"/>
        <c:crossAx val="6794663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[ecommerce_pivot_practice.xlsx]Sheet2!PivotTable97</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Discounts</a:t>
            </a:r>
            <a:r>
              <a:rPr lang="en-US" b="1" baseline="0"/>
              <a:t> and Shipping Costs Across Regions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diamond"/>
          <c:size val="7"/>
          <c:spPr>
            <a:solidFill>
              <a:schemeClr val="accent1"/>
            </a:solidFill>
            <a:ln w="9525">
              <a:solidFill>
                <a:schemeClr val="accent1"/>
              </a:solidFill>
            </a:ln>
            <a:effectLst/>
          </c:spPr>
        </c:marker>
        <c:dLbl>
          <c:idx val="0"/>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1.9444444444444445E-2"/>
              <c:y val="-5.5555555555555601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4.4444444444444446E-2"/>
              <c:y val="-6.018518518518523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4.1666666666666616E-2"/>
              <c:y val="-5.0925925925925944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3.6111111111111108E-2"/>
              <c:y val="-6.4814814814814811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diamond"/>
          <c:size val="7"/>
          <c:spPr>
            <a:solidFill>
              <a:schemeClr val="accent1"/>
            </a:solidFill>
            <a:ln w="9525">
              <a:solidFill>
                <a:schemeClr val="accent1"/>
              </a:solidFill>
            </a:ln>
            <a:effectLst/>
          </c:spPr>
        </c:marker>
        <c:dLbl>
          <c:idx val="0"/>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1.9444444444444445E-2"/>
              <c:y val="-5.5555555555555601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4.4444444444444446E-2"/>
              <c:y val="-6.018518518518523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4.1666666666666616E-2"/>
              <c:y val="-5.0925925925925944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3.6111111111111108E-2"/>
              <c:y val="-6.4814814814814811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diamond"/>
          <c:size val="7"/>
          <c:spPr>
            <a:solidFill>
              <a:schemeClr val="accent1"/>
            </a:solidFill>
            <a:ln w="9525">
              <a:solidFill>
                <a:schemeClr val="accent1"/>
              </a:solidFill>
            </a:ln>
            <a:effectLst/>
          </c:spPr>
        </c:marker>
        <c:dLbl>
          <c:idx val="0"/>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1.9444444444444445E-2"/>
              <c:y val="-5.5555555555555601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4.4444444444444446E-2"/>
              <c:y val="-6.018518518518523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4.1666666666666616E-2"/>
              <c:y val="-5.0925925925925944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diamond"/>
          <c:size val="7"/>
          <c:spPr>
            <a:solidFill>
              <a:schemeClr val="accent1"/>
            </a:solidFill>
            <a:ln w="9525">
              <a:solidFill>
                <a:schemeClr val="accent1"/>
              </a:solidFill>
            </a:ln>
            <a:effectLst/>
          </c:spPr>
        </c:marker>
        <c:dLbl>
          <c:idx val="0"/>
          <c:layout>
            <c:manualLayout>
              <c:x val="-3.6111111111111108E-2"/>
              <c:y val="-6.4814814814814811E-2"/>
            </c:manualLayout>
          </c:layout>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Sheet2!$K$3</c:f>
              <c:strCache>
                <c:ptCount val="1"/>
                <c:pt idx="0">
                  <c:v>ShippingCost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Sheet2!$I$4:$I$8</c:f>
              <c:strCache>
                <c:ptCount val="4"/>
                <c:pt idx="0">
                  <c:v>East</c:v>
                </c:pt>
                <c:pt idx="1">
                  <c:v>North</c:v>
                </c:pt>
                <c:pt idx="2">
                  <c:v>South</c:v>
                </c:pt>
                <c:pt idx="3">
                  <c:v>West</c:v>
                </c:pt>
              </c:strCache>
            </c:strRef>
          </c:cat>
          <c:val>
            <c:numRef>
              <c:f>Sheet2!$K$4:$K$8</c:f>
              <c:numCache>
                <c:formatCode>\₹\ #.0,\ "K"</c:formatCode>
                <c:ptCount val="4"/>
                <c:pt idx="0">
                  <c:v>51704.609999999986</c:v>
                </c:pt>
                <c:pt idx="1">
                  <c:v>49489.470000000016</c:v>
                </c:pt>
                <c:pt idx="2">
                  <c:v>50383.959999999992</c:v>
                </c:pt>
                <c:pt idx="3">
                  <c:v>52647.570000000022</c:v>
                </c:pt>
              </c:numCache>
            </c:numRef>
          </c:val>
          <c:extLst>
            <c:ext xmlns:c16="http://schemas.microsoft.com/office/drawing/2014/chart" uri="{C3380CC4-5D6E-409C-BE32-E72D297353CC}">
              <c16:uniqueId val="{00000000-DA45-4E39-B254-0FB42F960FD5}"/>
            </c:ext>
          </c:extLst>
        </c:ser>
        <c:dLbls>
          <c:dLblPos val="outEnd"/>
          <c:showLegendKey val="0"/>
          <c:showVal val="1"/>
          <c:showCatName val="0"/>
          <c:showSerName val="0"/>
          <c:showPercent val="0"/>
          <c:showBubbleSize val="0"/>
        </c:dLbls>
        <c:gapWidth val="100"/>
        <c:axId val="67948047"/>
        <c:axId val="67954383"/>
      </c:barChart>
      <c:lineChart>
        <c:grouping val="standard"/>
        <c:varyColors val="0"/>
        <c:ser>
          <c:idx val="0"/>
          <c:order val="0"/>
          <c:tx>
            <c:strRef>
              <c:f>Sheet2!$J$3</c:f>
              <c:strCache>
                <c:ptCount val="1"/>
                <c:pt idx="0">
                  <c:v>% Discount</c:v>
                </c:pt>
              </c:strCache>
            </c:strRef>
          </c:tx>
          <c:spPr>
            <a:ln w="28575" cap="rnd">
              <a:solidFill>
                <a:schemeClr val="accent1"/>
              </a:solidFill>
              <a:round/>
            </a:ln>
            <a:effectLst/>
          </c:spPr>
          <c:marker>
            <c:symbol val="diamond"/>
            <c:size val="7"/>
            <c:spPr>
              <a:solidFill>
                <a:schemeClr val="accent1"/>
              </a:solidFill>
              <a:ln w="9525">
                <a:solidFill>
                  <a:schemeClr val="accent1"/>
                </a:solidFill>
              </a:ln>
              <a:effectLst/>
            </c:spPr>
          </c:marker>
          <c:dLbls>
            <c:dLbl>
              <c:idx val="0"/>
              <c:layout>
                <c:manualLayout>
                  <c:x val="-1.9444444444444445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45-4E39-B254-0FB42F960FD5}"/>
                </c:ext>
              </c:extLst>
            </c:dLbl>
            <c:dLbl>
              <c:idx val="1"/>
              <c:layout>
                <c:manualLayout>
                  <c:x val="-4.4444444444444446E-2"/>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45-4E39-B254-0FB42F960FD5}"/>
                </c:ext>
              </c:extLst>
            </c:dLbl>
            <c:dLbl>
              <c:idx val="2"/>
              <c:layout>
                <c:manualLayout>
                  <c:x val="-4.1666666666666616E-2"/>
                  <c:y val="-5.09259259259259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45-4E39-B254-0FB42F960FD5}"/>
                </c:ext>
              </c:extLst>
            </c:dLbl>
            <c:dLbl>
              <c:idx val="3"/>
              <c:layout>
                <c:manualLayout>
                  <c:x val="-3.6111111111111108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45-4E39-B254-0FB42F960FD5}"/>
                </c:ext>
              </c:extLst>
            </c:dLbl>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Sheet2!$I$4:$I$8</c:f>
              <c:strCache>
                <c:ptCount val="4"/>
                <c:pt idx="0">
                  <c:v>East</c:v>
                </c:pt>
                <c:pt idx="1">
                  <c:v>North</c:v>
                </c:pt>
                <c:pt idx="2">
                  <c:v>South</c:v>
                </c:pt>
                <c:pt idx="3">
                  <c:v>West</c:v>
                </c:pt>
              </c:strCache>
            </c:strRef>
          </c:cat>
          <c:val>
            <c:numRef>
              <c:f>Sheet2!$J$4:$J$8</c:f>
              <c:numCache>
                <c:formatCode>0.0</c:formatCode>
                <c:ptCount val="4"/>
                <c:pt idx="0">
                  <c:v>9.66</c:v>
                </c:pt>
                <c:pt idx="1">
                  <c:v>9.875</c:v>
                </c:pt>
                <c:pt idx="2">
                  <c:v>10.2834008097166</c:v>
                </c:pt>
                <c:pt idx="3">
                  <c:v>10.399239543726235</c:v>
                </c:pt>
              </c:numCache>
            </c:numRef>
          </c:val>
          <c:smooth val="0"/>
          <c:extLst>
            <c:ext xmlns:c16="http://schemas.microsoft.com/office/drawing/2014/chart" uri="{C3380CC4-5D6E-409C-BE32-E72D297353CC}">
              <c16:uniqueId val="{00000005-DA45-4E39-B254-0FB42F960FD5}"/>
            </c:ext>
          </c:extLst>
        </c:ser>
        <c:dLbls>
          <c:showLegendKey val="0"/>
          <c:showVal val="1"/>
          <c:showCatName val="0"/>
          <c:showSerName val="0"/>
          <c:showPercent val="0"/>
          <c:showBubbleSize val="0"/>
        </c:dLbls>
        <c:marker val="1"/>
        <c:smooth val="0"/>
        <c:axId val="1933907600"/>
        <c:axId val="1933907248"/>
      </c:lineChart>
      <c:catAx>
        <c:axId val="6794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954383"/>
        <c:crosses val="autoZero"/>
        <c:auto val="1"/>
        <c:lblAlgn val="ctr"/>
        <c:lblOffset val="100"/>
        <c:noMultiLvlLbl val="0"/>
      </c:catAx>
      <c:valAx>
        <c:axId val="67954383"/>
        <c:scaling>
          <c:orientation val="minMax"/>
        </c:scaling>
        <c:delete val="0"/>
        <c:axPos val="l"/>
        <c:numFmt formatCode="\₹\ #.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948047"/>
        <c:crosses val="autoZero"/>
        <c:crossBetween val="between"/>
      </c:valAx>
      <c:valAx>
        <c:axId val="1933907248"/>
        <c:scaling>
          <c:orientation val="minMax"/>
          <c:max val="12"/>
          <c:min val="5"/>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3907600"/>
        <c:crosses val="max"/>
        <c:crossBetween val="between"/>
      </c:valAx>
      <c:catAx>
        <c:axId val="1933907600"/>
        <c:scaling>
          <c:orientation val="minMax"/>
        </c:scaling>
        <c:delete val="1"/>
        <c:axPos val="b"/>
        <c:numFmt formatCode="General" sourceLinked="1"/>
        <c:majorTickMark val="out"/>
        <c:minorTickMark val="none"/>
        <c:tickLblPos val="nextTo"/>
        <c:crossAx val="19339072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Loss Making Electronics Products Across Regions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7244659000755332E-2"/>
          <c:y val="0.10967769270464912"/>
          <c:w val="0.92511250689570335"/>
          <c:h val="0.70167533856482867"/>
        </c:manualLayout>
      </c:layout>
      <c:barChart>
        <c:barDir val="bar"/>
        <c:grouping val="stacked"/>
        <c:varyColors val="0"/>
        <c:ser>
          <c:idx val="0"/>
          <c:order val="0"/>
          <c:tx>
            <c:strRef>
              <c:f>Sheet2!$L$63</c:f>
              <c:strCache>
                <c:ptCount val="1"/>
                <c:pt idx="0">
                  <c:v>BassBoost 300</c:v>
                </c:pt>
              </c:strCache>
            </c:strRef>
          </c:tx>
          <c:spPr>
            <a:solidFill>
              <a:schemeClr val="accent1"/>
            </a:solidFill>
            <a:ln>
              <a:noFill/>
            </a:ln>
            <a:effectLst/>
          </c:spPr>
          <c:invertIfNegative val="0"/>
          <c:dLbls>
            <c:delete val="1"/>
          </c:dLbls>
          <c:cat>
            <c:strRef>
              <c:f>Sheet2!$K$64:$K$67</c:f>
              <c:strCache>
                <c:ptCount val="4"/>
                <c:pt idx="0">
                  <c:v>North</c:v>
                </c:pt>
                <c:pt idx="1">
                  <c:v>South</c:v>
                </c:pt>
                <c:pt idx="2">
                  <c:v>East</c:v>
                </c:pt>
                <c:pt idx="3">
                  <c:v>West</c:v>
                </c:pt>
              </c:strCache>
            </c:strRef>
          </c:cat>
          <c:val>
            <c:numRef>
              <c:f>Sheet2!$L$64:$L$67</c:f>
              <c:numCache>
                <c:formatCode>\₹\ #.0,\ "K"</c:formatCode>
                <c:ptCount val="4"/>
                <c:pt idx="0">
                  <c:v>-819</c:v>
                </c:pt>
                <c:pt idx="1">
                  <c:v>0</c:v>
                </c:pt>
                <c:pt idx="2">
                  <c:v>0</c:v>
                </c:pt>
                <c:pt idx="3">
                  <c:v>0</c:v>
                </c:pt>
              </c:numCache>
            </c:numRef>
          </c:val>
          <c:extLst>
            <c:ext xmlns:c16="http://schemas.microsoft.com/office/drawing/2014/chart" uri="{C3380CC4-5D6E-409C-BE32-E72D297353CC}">
              <c16:uniqueId val="{00000001-E97B-460B-90D5-6856D94A2334}"/>
            </c:ext>
          </c:extLst>
        </c:ser>
        <c:ser>
          <c:idx val="1"/>
          <c:order val="1"/>
          <c:tx>
            <c:strRef>
              <c:f>Sheet2!$M$63</c:f>
              <c:strCache>
                <c:ptCount val="1"/>
                <c:pt idx="0">
                  <c:v>GameForce X</c:v>
                </c:pt>
              </c:strCache>
            </c:strRef>
          </c:tx>
          <c:spPr>
            <a:solidFill>
              <a:schemeClr val="accent2"/>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1C-E97B-460B-90D5-6856D94A2334}"/>
                </c:ext>
              </c:extLst>
            </c:dLbl>
            <c:dLbl>
              <c:idx val="2"/>
              <c:delete val="1"/>
              <c:extLst>
                <c:ext xmlns:c15="http://schemas.microsoft.com/office/drawing/2012/chart" uri="{CE6537A1-D6FC-4f65-9D91-7224C49458BB}"/>
                <c:ext xmlns:c16="http://schemas.microsoft.com/office/drawing/2014/chart" uri="{C3380CC4-5D6E-409C-BE32-E72D297353CC}">
                  <c16:uniqueId val="{00000002-E97B-460B-90D5-6856D94A2334}"/>
                </c:ext>
              </c:extLst>
            </c:dLbl>
            <c:dLbl>
              <c:idx val="3"/>
              <c:layout>
                <c:manualLayout>
                  <c:x val="-8.1520769309574286E-3"/>
                  <c:y val="3.2271243677521456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E97B-460B-90D5-6856D94A2334}"/>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Sheet2!$K$64:$K$67</c:f>
              <c:strCache>
                <c:ptCount val="4"/>
                <c:pt idx="0">
                  <c:v>North</c:v>
                </c:pt>
                <c:pt idx="1">
                  <c:v>South</c:v>
                </c:pt>
                <c:pt idx="2">
                  <c:v>East</c:v>
                </c:pt>
                <c:pt idx="3">
                  <c:v>West</c:v>
                </c:pt>
              </c:strCache>
            </c:strRef>
          </c:cat>
          <c:val>
            <c:numRef>
              <c:f>Sheet2!$M$64:$M$67</c:f>
              <c:numCache>
                <c:formatCode>\₹\ #.0,\ "K"</c:formatCode>
                <c:ptCount val="4"/>
                <c:pt idx="0">
                  <c:v>-6398</c:v>
                </c:pt>
                <c:pt idx="1">
                  <c:v>0</c:v>
                </c:pt>
                <c:pt idx="2">
                  <c:v>0</c:v>
                </c:pt>
                <c:pt idx="3">
                  <c:v>-1827</c:v>
                </c:pt>
              </c:numCache>
            </c:numRef>
          </c:val>
          <c:extLst>
            <c:ext xmlns:c16="http://schemas.microsoft.com/office/drawing/2014/chart" uri="{C3380CC4-5D6E-409C-BE32-E72D297353CC}">
              <c16:uniqueId val="{00000003-E97B-460B-90D5-6856D94A2334}"/>
            </c:ext>
          </c:extLst>
        </c:ser>
        <c:ser>
          <c:idx val="2"/>
          <c:order val="2"/>
          <c:tx>
            <c:strRef>
              <c:f>Sheet2!$N$63</c:f>
              <c:strCache>
                <c:ptCount val="1"/>
                <c:pt idx="0">
                  <c:v>Nova 5G</c:v>
                </c:pt>
              </c:strCache>
            </c:strRef>
          </c:tx>
          <c:spPr>
            <a:solidFill>
              <a:schemeClr val="accent3"/>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1B-E97B-460B-90D5-6856D94A2334}"/>
                </c:ext>
              </c:extLst>
            </c:dLbl>
            <c:dLbl>
              <c:idx val="2"/>
              <c:delete val="1"/>
              <c:extLst>
                <c:ext xmlns:c15="http://schemas.microsoft.com/office/drawing/2012/chart" uri="{CE6537A1-D6FC-4f65-9D91-7224C49458BB}"/>
                <c:ext xmlns:c16="http://schemas.microsoft.com/office/drawing/2014/chart" uri="{C3380CC4-5D6E-409C-BE32-E72D297353CC}">
                  <c16:uniqueId val="{00000004-E97B-460B-90D5-6856D94A2334}"/>
                </c:ext>
              </c:extLst>
            </c:dLbl>
            <c:dLbl>
              <c:idx val="3"/>
              <c:delete val="1"/>
              <c:extLst>
                <c:ext xmlns:c15="http://schemas.microsoft.com/office/drawing/2012/chart" uri="{CE6537A1-D6FC-4f65-9D91-7224C49458BB}"/>
                <c:ext xmlns:c16="http://schemas.microsoft.com/office/drawing/2014/chart" uri="{C3380CC4-5D6E-409C-BE32-E72D297353CC}">
                  <c16:uniqueId val="{00000017-E97B-460B-90D5-6856D94A2334}"/>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Sheet2!$K$64:$K$67</c:f>
              <c:strCache>
                <c:ptCount val="4"/>
                <c:pt idx="0">
                  <c:v>North</c:v>
                </c:pt>
                <c:pt idx="1">
                  <c:v>South</c:v>
                </c:pt>
                <c:pt idx="2">
                  <c:v>East</c:v>
                </c:pt>
                <c:pt idx="3">
                  <c:v>West</c:v>
                </c:pt>
              </c:strCache>
            </c:strRef>
          </c:cat>
          <c:val>
            <c:numRef>
              <c:f>Sheet2!$N$64:$N$67</c:f>
              <c:numCache>
                <c:formatCode>\₹\ #.0,\ "K"</c:formatCode>
                <c:ptCount val="4"/>
                <c:pt idx="0">
                  <c:v>-8942</c:v>
                </c:pt>
                <c:pt idx="1">
                  <c:v>0</c:v>
                </c:pt>
                <c:pt idx="2">
                  <c:v>0</c:v>
                </c:pt>
                <c:pt idx="3">
                  <c:v>0</c:v>
                </c:pt>
              </c:numCache>
            </c:numRef>
          </c:val>
          <c:extLst>
            <c:ext xmlns:c16="http://schemas.microsoft.com/office/drawing/2014/chart" uri="{C3380CC4-5D6E-409C-BE32-E72D297353CC}">
              <c16:uniqueId val="{00000005-E97B-460B-90D5-6856D94A2334}"/>
            </c:ext>
          </c:extLst>
        </c:ser>
        <c:ser>
          <c:idx val="3"/>
          <c:order val="3"/>
          <c:tx>
            <c:strRef>
              <c:f>Sheet2!$O$63</c:f>
              <c:strCache>
                <c:ptCount val="1"/>
                <c:pt idx="0">
                  <c:v>ProBook 14</c:v>
                </c:pt>
              </c:strCache>
            </c:strRef>
          </c:tx>
          <c:spPr>
            <a:solidFill>
              <a:schemeClr val="accent4"/>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1A-E97B-460B-90D5-6856D94A2334}"/>
                </c:ext>
              </c:extLst>
            </c:dLbl>
            <c:dLbl>
              <c:idx val="2"/>
              <c:delete val="1"/>
              <c:extLst>
                <c:ext xmlns:c15="http://schemas.microsoft.com/office/drawing/2012/chart" uri="{CE6537A1-D6FC-4f65-9D91-7224C49458BB}"/>
                <c:ext xmlns:c16="http://schemas.microsoft.com/office/drawing/2014/chart" uri="{C3380CC4-5D6E-409C-BE32-E72D297353CC}">
                  <c16:uniqueId val="{00000006-E97B-460B-90D5-6856D94A2334}"/>
                </c:ext>
              </c:extLst>
            </c:dLbl>
            <c:dLbl>
              <c:idx val="3"/>
              <c:delete val="1"/>
              <c:extLst>
                <c:ext xmlns:c15="http://schemas.microsoft.com/office/drawing/2012/chart" uri="{CE6537A1-D6FC-4f65-9D91-7224C49458BB}"/>
                <c:ext xmlns:c16="http://schemas.microsoft.com/office/drawing/2014/chart" uri="{C3380CC4-5D6E-409C-BE32-E72D297353CC}">
                  <c16:uniqueId val="{00000016-E97B-460B-90D5-6856D94A23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Sheet2!$K$64:$K$67</c:f>
              <c:strCache>
                <c:ptCount val="4"/>
                <c:pt idx="0">
                  <c:v>North</c:v>
                </c:pt>
                <c:pt idx="1">
                  <c:v>South</c:v>
                </c:pt>
                <c:pt idx="2">
                  <c:v>East</c:v>
                </c:pt>
                <c:pt idx="3">
                  <c:v>West</c:v>
                </c:pt>
              </c:strCache>
            </c:strRef>
          </c:cat>
          <c:val>
            <c:numRef>
              <c:f>Sheet2!$O$64:$O$67</c:f>
              <c:numCache>
                <c:formatCode>\₹\ #.0,\ "K"</c:formatCode>
                <c:ptCount val="4"/>
                <c:pt idx="0">
                  <c:v>-20163</c:v>
                </c:pt>
                <c:pt idx="1">
                  <c:v>-1150</c:v>
                </c:pt>
                <c:pt idx="2">
                  <c:v>0</c:v>
                </c:pt>
                <c:pt idx="3">
                  <c:v>0</c:v>
                </c:pt>
              </c:numCache>
            </c:numRef>
          </c:val>
          <c:extLst>
            <c:ext xmlns:c16="http://schemas.microsoft.com/office/drawing/2014/chart" uri="{C3380CC4-5D6E-409C-BE32-E72D297353CC}">
              <c16:uniqueId val="{00000007-E97B-460B-90D5-6856D94A2334}"/>
            </c:ext>
          </c:extLst>
        </c:ser>
        <c:ser>
          <c:idx val="4"/>
          <c:order val="4"/>
          <c:tx>
            <c:strRef>
              <c:f>Sheet2!$P$63</c:f>
              <c:strCache>
                <c:ptCount val="1"/>
                <c:pt idx="0">
                  <c:v>FastCharge Cable</c:v>
                </c:pt>
              </c:strCache>
            </c:strRef>
          </c:tx>
          <c:spPr>
            <a:solidFill>
              <a:schemeClr val="accent5"/>
            </a:solidFill>
            <a:ln>
              <a:noFill/>
            </a:ln>
            <a:effectLst/>
          </c:spPr>
          <c:invertIfNegative val="0"/>
          <c:dLbls>
            <c:delete val="1"/>
          </c:dLbls>
          <c:cat>
            <c:strRef>
              <c:f>Sheet2!$K$64:$K$67</c:f>
              <c:strCache>
                <c:ptCount val="4"/>
                <c:pt idx="0">
                  <c:v>North</c:v>
                </c:pt>
                <c:pt idx="1">
                  <c:v>South</c:v>
                </c:pt>
                <c:pt idx="2">
                  <c:v>East</c:v>
                </c:pt>
                <c:pt idx="3">
                  <c:v>West</c:v>
                </c:pt>
              </c:strCache>
            </c:strRef>
          </c:cat>
          <c:val>
            <c:numRef>
              <c:f>Sheet2!$P$64:$P$67</c:f>
              <c:numCache>
                <c:formatCode>\₹\ #.0,\ "K"</c:formatCode>
                <c:ptCount val="4"/>
                <c:pt idx="0">
                  <c:v>0</c:v>
                </c:pt>
                <c:pt idx="1">
                  <c:v>0</c:v>
                </c:pt>
                <c:pt idx="2">
                  <c:v>0</c:v>
                </c:pt>
                <c:pt idx="3">
                  <c:v>-461</c:v>
                </c:pt>
              </c:numCache>
            </c:numRef>
          </c:val>
          <c:extLst>
            <c:ext xmlns:c16="http://schemas.microsoft.com/office/drawing/2014/chart" uri="{C3380CC4-5D6E-409C-BE32-E72D297353CC}">
              <c16:uniqueId val="{00000010-E97B-460B-90D5-6856D94A2334}"/>
            </c:ext>
          </c:extLst>
        </c:ser>
        <c:ser>
          <c:idx val="5"/>
          <c:order val="5"/>
          <c:tx>
            <c:strRef>
              <c:f>Sheet2!$Q$63</c:f>
              <c:strCache>
                <c:ptCount val="1"/>
                <c:pt idx="0">
                  <c:v>Screen Guard</c:v>
                </c:pt>
              </c:strCache>
            </c:strRef>
          </c:tx>
          <c:spPr>
            <a:solidFill>
              <a:schemeClr val="accent6"/>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F-E97B-460B-90D5-6856D94A2334}"/>
                </c:ext>
              </c:extLst>
            </c:dLbl>
            <c:dLbl>
              <c:idx val="2"/>
              <c:delete val="1"/>
              <c:extLst>
                <c:ext xmlns:c15="http://schemas.microsoft.com/office/drawing/2012/chart" uri="{CE6537A1-D6FC-4f65-9D91-7224C49458BB}"/>
                <c:ext xmlns:c16="http://schemas.microsoft.com/office/drawing/2014/chart" uri="{C3380CC4-5D6E-409C-BE32-E72D297353CC}">
                  <c16:uniqueId val="{00000023-E97B-460B-90D5-6856D94A23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Sheet2!$K$64:$K$67</c:f>
              <c:strCache>
                <c:ptCount val="4"/>
                <c:pt idx="0">
                  <c:v>North</c:v>
                </c:pt>
                <c:pt idx="1">
                  <c:v>South</c:v>
                </c:pt>
                <c:pt idx="2">
                  <c:v>East</c:v>
                </c:pt>
                <c:pt idx="3">
                  <c:v>West</c:v>
                </c:pt>
              </c:strCache>
            </c:strRef>
          </c:cat>
          <c:val>
            <c:numRef>
              <c:f>Sheet2!$Q$64:$Q$67</c:f>
              <c:numCache>
                <c:formatCode>\₹\ #.0,\ "K"</c:formatCode>
                <c:ptCount val="4"/>
                <c:pt idx="0">
                  <c:v>0</c:v>
                </c:pt>
                <c:pt idx="1">
                  <c:v>-3032</c:v>
                </c:pt>
                <c:pt idx="2">
                  <c:v>0</c:v>
                </c:pt>
                <c:pt idx="3">
                  <c:v>-4536</c:v>
                </c:pt>
              </c:numCache>
            </c:numRef>
          </c:val>
          <c:extLst>
            <c:ext xmlns:c16="http://schemas.microsoft.com/office/drawing/2014/chart" uri="{C3380CC4-5D6E-409C-BE32-E72D297353CC}">
              <c16:uniqueId val="{00000011-E97B-460B-90D5-6856D94A2334}"/>
            </c:ext>
          </c:extLst>
        </c:ser>
        <c:ser>
          <c:idx val="6"/>
          <c:order val="6"/>
          <c:tx>
            <c:strRef>
              <c:f>Sheet2!$R$63</c:f>
              <c:strCache>
                <c:ptCount val="1"/>
                <c:pt idx="0">
                  <c:v>ClickShot X1</c:v>
                </c:pt>
              </c:strCache>
            </c:strRef>
          </c:tx>
          <c:spPr>
            <a:solidFill>
              <a:schemeClr val="accent1">
                <a:lumMod val="60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E-E97B-460B-90D5-6856D94A2334}"/>
                </c:ext>
              </c:extLst>
            </c:dLbl>
            <c:dLbl>
              <c:idx val="2"/>
              <c:delete val="1"/>
              <c:extLst>
                <c:ext xmlns:c15="http://schemas.microsoft.com/office/drawing/2012/chart" uri="{CE6537A1-D6FC-4f65-9D91-7224C49458BB}"/>
                <c:ext xmlns:c16="http://schemas.microsoft.com/office/drawing/2014/chart" uri="{C3380CC4-5D6E-409C-BE32-E72D297353CC}">
                  <c16:uniqueId val="{00000021-E97B-460B-90D5-6856D94A2334}"/>
                </c:ext>
              </c:extLst>
            </c:dLbl>
            <c:dLbl>
              <c:idx val="3"/>
              <c:delete val="1"/>
              <c:extLst>
                <c:ext xmlns:c15="http://schemas.microsoft.com/office/drawing/2012/chart" uri="{CE6537A1-D6FC-4f65-9D91-7224C49458BB}"/>
                <c:ext xmlns:c16="http://schemas.microsoft.com/office/drawing/2014/chart" uri="{C3380CC4-5D6E-409C-BE32-E72D297353CC}">
                  <c16:uniqueId val="{00000015-E97B-460B-90D5-6856D94A23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Sheet2!$K$64:$K$67</c:f>
              <c:strCache>
                <c:ptCount val="4"/>
                <c:pt idx="0">
                  <c:v>North</c:v>
                </c:pt>
                <c:pt idx="1">
                  <c:v>South</c:v>
                </c:pt>
                <c:pt idx="2">
                  <c:v>East</c:v>
                </c:pt>
                <c:pt idx="3">
                  <c:v>West</c:v>
                </c:pt>
              </c:strCache>
            </c:strRef>
          </c:cat>
          <c:val>
            <c:numRef>
              <c:f>Sheet2!$R$64:$R$67</c:f>
              <c:numCache>
                <c:formatCode>\₹\ #.0,\ "K"</c:formatCode>
                <c:ptCount val="4"/>
                <c:pt idx="0">
                  <c:v>0</c:v>
                </c:pt>
                <c:pt idx="1">
                  <c:v>-1447</c:v>
                </c:pt>
                <c:pt idx="2">
                  <c:v>0</c:v>
                </c:pt>
                <c:pt idx="3">
                  <c:v>0</c:v>
                </c:pt>
              </c:numCache>
            </c:numRef>
          </c:val>
          <c:extLst>
            <c:ext xmlns:c16="http://schemas.microsoft.com/office/drawing/2014/chart" uri="{C3380CC4-5D6E-409C-BE32-E72D297353CC}">
              <c16:uniqueId val="{00000012-E97B-460B-90D5-6856D94A2334}"/>
            </c:ext>
          </c:extLst>
        </c:ser>
        <c:ser>
          <c:idx val="7"/>
          <c:order val="7"/>
          <c:tx>
            <c:strRef>
              <c:f>Sheet2!$S$63</c:f>
              <c:strCache>
                <c:ptCount val="1"/>
                <c:pt idx="0">
                  <c:v>OnePlus Edge</c:v>
                </c:pt>
              </c:strCache>
            </c:strRef>
          </c:tx>
          <c:spPr>
            <a:solidFill>
              <a:schemeClr val="accent2">
                <a:lumMod val="60000"/>
              </a:schemeClr>
            </a:solidFill>
            <a:ln>
              <a:noFill/>
            </a:ln>
            <a:effectLst/>
          </c:spPr>
          <c:invertIfNegative val="0"/>
          <c:dLbls>
            <c:delete val="1"/>
          </c:dLbls>
          <c:cat>
            <c:strRef>
              <c:f>Sheet2!$K$64:$K$67</c:f>
              <c:strCache>
                <c:ptCount val="4"/>
                <c:pt idx="0">
                  <c:v>North</c:v>
                </c:pt>
                <c:pt idx="1">
                  <c:v>South</c:v>
                </c:pt>
                <c:pt idx="2">
                  <c:v>East</c:v>
                </c:pt>
                <c:pt idx="3">
                  <c:v>West</c:v>
                </c:pt>
              </c:strCache>
            </c:strRef>
          </c:cat>
          <c:val>
            <c:numRef>
              <c:f>Sheet2!$S$64:$S$67</c:f>
              <c:numCache>
                <c:formatCode>\₹\ #.0,\ "K"</c:formatCode>
                <c:ptCount val="4"/>
                <c:pt idx="0">
                  <c:v>0</c:v>
                </c:pt>
                <c:pt idx="1">
                  <c:v>0</c:v>
                </c:pt>
                <c:pt idx="2">
                  <c:v>-215</c:v>
                </c:pt>
                <c:pt idx="3">
                  <c:v>0</c:v>
                </c:pt>
              </c:numCache>
            </c:numRef>
          </c:val>
          <c:extLst>
            <c:ext xmlns:c16="http://schemas.microsoft.com/office/drawing/2014/chart" uri="{C3380CC4-5D6E-409C-BE32-E72D297353CC}">
              <c16:uniqueId val="{00000013-E97B-460B-90D5-6856D94A2334}"/>
            </c:ext>
          </c:extLst>
        </c:ser>
        <c:dLbls>
          <c:dLblPos val="ctr"/>
          <c:showLegendKey val="0"/>
          <c:showVal val="1"/>
          <c:showCatName val="0"/>
          <c:showSerName val="0"/>
          <c:showPercent val="0"/>
          <c:showBubbleSize val="0"/>
        </c:dLbls>
        <c:gapWidth val="31"/>
        <c:overlap val="100"/>
        <c:axId val="67920943"/>
        <c:axId val="67921295"/>
      </c:barChart>
      <c:catAx>
        <c:axId val="67920943"/>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921295"/>
        <c:crosses val="autoZero"/>
        <c:auto val="1"/>
        <c:lblAlgn val="ctr"/>
        <c:lblOffset val="200"/>
        <c:noMultiLvlLbl val="0"/>
      </c:catAx>
      <c:valAx>
        <c:axId val="67921295"/>
        <c:scaling>
          <c:orientation val="minMax"/>
        </c:scaling>
        <c:delete val="1"/>
        <c:axPos val="b"/>
        <c:numFmt formatCode="\₹\ #.0,\ &quot;K&quot;" sourceLinked="1"/>
        <c:majorTickMark val="none"/>
        <c:minorTickMark val="none"/>
        <c:tickLblPos val="nextTo"/>
        <c:crossAx val="67920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Top 6 Loss Making States (All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Sheet2!$G$82:$G$87</c:f>
              <c:strCache>
                <c:ptCount val="6"/>
                <c:pt idx="0">
                  <c:v>Uttar Pradesh</c:v>
                </c:pt>
                <c:pt idx="1">
                  <c:v>Delhi</c:v>
                </c:pt>
                <c:pt idx="2">
                  <c:v>Haryana</c:v>
                </c:pt>
                <c:pt idx="3">
                  <c:v>Kerala</c:v>
                </c:pt>
                <c:pt idx="4">
                  <c:v>Telangana</c:v>
                </c:pt>
                <c:pt idx="5">
                  <c:v>Bihar</c:v>
                </c:pt>
              </c:strCache>
            </c:strRef>
          </c:cat>
          <c:val>
            <c:numRef>
              <c:f>Sheet2!$H$82:$H$87</c:f>
              <c:numCache>
                <c:formatCode>\₹\ #.0,\ "K"</c:formatCode>
                <c:ptCount val="6"/>
                <c:pt idx="0">
                  <c:v>-20560.93</c:v>
                </c:pt>
                <c:pt idx="1">
                  <c:v>-18837.45</c:v>
                </c:pt>
                <c:pt idx="2">
                  <c:v>-10232.290000000001</c:v>
                </c:pt>
                <c:pt idx="3">
                  <c:v>-7630.83</c:v>
                </c:pt>
                <c:pt idx="4">
                  <c:v>-6701.8700000000008</c:v>
                </c:pt>
                <c:pt idx="5">
                  <c:v>-6121.5099999999993</c:v>
                </c:pt>
              </c:numCache>
            </c:numRef>
          </c:val>
          <c:extLst>
            <c:ext xmlns:c16="http://schemas.microsoft.com/office/drawing/2014/chart" uri="{C3380CC4-5D6E-409C-BE32-E72D297353CC}">
              <c16:uniqueId val="{00000000-9C63-479E-9740-C9B673933935}"/>
            </c:ext>
          </c:extLst>
        </c:ser>
        <c:dLbls>
          <c:showLegendKey val="0"/>
          <c:showVal val="0"/>
          <c:showCatName val="0"/>
          <c:showSerName val="0"/>
          <c:showPercent val="0"/>
          <c:showBubbleSize val="0"/>
        </c:dLbls>
        <c:gapWidth val="100"/>
        <c:axId val="607116216"/>
        <c:axId val="607117272"/>
      </c:barChart>
      <c:catAx>
        <c:axId val="607116216"/>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7117272"/>
        <c:crosses val="autoZero"/>
        <c:auto val="1"/>
        <c:lblAlgn val="ctr"/>
        <c:lblOffset val="100"/>
        <c:noMultiLvlLbl val="0"/>
      </c:catAx>
      <c:valAx>
        <c:axId val="607117272"/>
        <c:scaling>
          <c:orientation val="minMax"/>
        </c:scaling>
        <c:delete val="1"/>
        <c:axPos val="b"/>
        <c:numFmt formatCode="\₹\ #.0,\ &quot;K&quot;" sourceLinked="1"/>
        <c:majorTickMark val="none"/>
        <c:minorTickMark val="none"/>
        <c:tickLblPos val="nextTo"/>
        <c:crossAx val="607116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plotArea>
      <cx:plotAreaRegion>
        <cx:series layoutId="treemap" uniqueId="{00000000-30B2-4101-9F6B-7C2334C77FFA}">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Chart Title</cx:v>
        </cx:txData>
      </cx:tx>
      <cx:txPr>
        <a:bodyPr rot="0" spcFirstLastPara="1" vertOverflow="ellipsis" vert="horz" wrap="square" lIns="38100" tIns="19050" rIns="38100" bIns="19050" anchor="ctr" anchorCtr="1" compatLnSpc="0"/>
        <a:lstStyle/>
        <a:p>
          <a:pPr algn="ctr" rtl="0">
            <a:defRPr sz="1400" b="0" i="0" u="none" strike="noStrike" baseline="0">
              <a:solidFill>
                <a:sysClr val="windowText" lastClr="000000">
                  <a:lumMod val="65000"/>
                  <a:lumOff val="35000"/>
                </a:sysClr>
              </a:solidFill>
              <a:latin typeface="+mn-lt"/>
              <a:ea typeface="+mn-ea"/>
              <a:cs typeface="+mn-cs"/>
            </a:defRPr>
          </a:pPr>
          <a:r>
            <a:rPr kumimoji="0" lang="en-US" sz="1400" b="0" i="0" u="none" strike="noStrike" kern="0" cap="none" spc="0" normalizeH="0" baseline="0" noProof="0">
              <a:ln>
                <a:noFill/>
              </a:ln>
              <a:solidFill>
                <a:sysClr val="windowText" lastClr="000000">
                  <a:lumMod val="65000"/>
                  <a:lumOff val="35000"/>
                </a:sysClr>
              </a:solidFill>
              <a:effectLst/>
              <a:uLnTx/>
              <a:uFillTx/>
              <a:latin typeface="Calibri"/>
            </a:rPr>
            <a:t>Chart Title</a:t>
          </a:r>
        </a:p>
      </cx:txPr>
    </cx:title>
    <cx:plotArea>
      <cx:plotAreaRegion>
        <cx:series layoutId="treemap" uniqueId="{7EEFA327-FB95-4648-8C6D-A6E9973BB371}" formatIdx="0">
          <cx:dataLabels>
            <cx:numFmt formatCode="#,##0" sourceLinked="0"/>
            <cx:visibility seriesName="0" categoryName="1" value="1"/>
            <cx:separator>-</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Month on Month Growth - 2024</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Month on Month Growth - 2024</a:t>
          </a:r>
        </a:p>
      </cx:txPr>
    </cx:title>
    <cx:plotArea>
      <cx:plotAreaRegion>
        <cx:series layoutId="waterfall" uniqueId="{00000000-D96E-48AB-A5E3-51686F5AECEE}">
          <cx:dataLabels pos="outEnd">
            <cx:visibility seriesName="0" categoryName="0" value="1"/>
          </cx:dataLabels>
          <cx:dataId val="0"/>
          <cx:layoutPr>
            <cx:subtotals/>
          </cx:layoutPr>
        </cx:series>
      </cx:plotAreaRegion>
      <cx:axis id="0">
        <cx:catScaling gapWidth="0.5"/>
        <cx:tickLabels/>
      </cx:axis>
      <cx:axis id="1">
        <cx:valScaling/>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00000000-B209-4992-B102-AC7926BF0C6D}">
          <cx:dataLabels>
            <cx:visibility seriesName="0" categoryName="0" value="1"/>
          </cx:dataLabels>
          <cx:dataId val="0"/>
        </cx:series>
      </cx:plotAreaRegion>
      <cx:axis id="1">
        <cx:catScaling gapWidth="0.0599999987"/>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_xlchart.v5.33</cx:f>
        <cx:nf>_xlchart.v5.32</cx:nf>
      </cx:strDim>
      <cx:numDim type="colorVal">
        <cx:f>_xlchart.v5.35</cx:f>
        <cx:nf>_xlchart.v5.34</cx:nf>
      </cx:numDim>
    </cx:data>
  </cx:chartData>
  <cx:chart>
    <cx:title pos="t" align="ctr" overlay="0">
      <cx:tx>
        <cx:txData>
          <cx:v>Statewise Sales Distribution</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2">
                  <a:lumMod val="75000"/>
                </a:schemeClr>
              </a:solidFill>
              <a:latin typeface="Calibri"/>
            </a:rPr>
            <a:t>Statewise Sales Distribution</a:t>
          </a:r>
        </a:p>
      </cx:txPr>
    </cx:title>
    <cx:plotArea>
      <cx:plotAreaRegion>
        <cx:plotSurface>
          <cx:spPr>
            <a:ln>
              <a:noFill/>
            </a:ln>
          </cx:spPr>
        </cx:plotSurface>
        <cx:series layoutId="regionMap" uniqueId="{00000000-399E-4892-8502-6508D9C12DE5}" formatIdx="0">
          <cx:dataLabels>
            <cx:visibility seriesName="0" categoryName="0" value="0"/>
            <cx:separator>, </cx:separator>
          </cx:dataLabels>
          <cx:dataId val="0"/>
          <cx:layoutPr>
            <cx:regionLabelLayout val="bestFitOnly"/>
            <cx:geography cultureLanguage="en-US" cultureRegion="IN" attribution="Powered by Bing">
              <cx:geoCache provider="{E9337A44-BEBE-4D9F-B70C-5C5E7DAFC167}">
                <cx:binary>1HxZc9xIkuZfKdPzQhX3MTbVD8hMgqRIiqQk6niBURIFBG4gIoAAfv06dTWJ1tGFGVvblpWVTJkJ
h8M9Pr8d//0h/NeH6u52+CPUVWP/60P460nuXPdff/5pP+R39a19WpsPQ2vbT+7ph7b+s/30yXy4
+/PjcDuZJvuTIMz+/JDfDu4uPPnHfwO17K49az/cOtM2V/5umK/vrK+c/cV3P/zqjw+tb9z95RlQ
+uvJSfPR3D75465xxs0v5+7uryePfvHkjz/XdP7lnn9UwJbzH+FaQp5STpTAVH/5o578UbVN9vVr
qZ9SQalCjKLPf+S3W1/c1nD5b7n5zMvtx4/DnbV/fP37+2WPGP/+qbHt7ssz79p7Fk8uPj/Tn49l
+o//Xn0AT7n65IHY1yL53VfAam2avbFuMB8c/utJ4ovb4dZ9e/ovgn/0o78veKGJwJKRL5LFjwWP
n3ItkcCYf9GL+HbrL4L/N/j5sei/X/iIeXjA0yc/OWr/X+pjf1fl5ptI/he0oZ4KRqlGQvxQG/Ip
KIJJxfEPtfFbbn6si6+XrTSxP/uP0sTx7TDfNiuT9OiR/i4y9FOsFdaMP0aEeEoZIgwx9UVFK0T8
G3z8WAvfL3zE9F9Pjq//o/Rwfgve59bmbvhf1AXWTxknSFGuf4gL8RQjpSlhX70HqOyLZ/pipf5N
nn6sl0cXr3RzfvwfpZtXzkFkcTncfryz+TcR/S9YLfFUE8rBSXxRDnrsQxR6yoW4d+9fnTv9dusv
2vm3ufqxflaXrzT06vI/SkOXvilu33+Tz/9cNRQ9VYwoDe79sRXjT9m9J6H6q04g3nqImN/z8WNl
fLtupYXL+D9KC9e3xa11+W3zTSj/c0UQ8ZQrBjjAX+OslT4o6EmD39dfPfvKgv1bHP1YJQ8uXWnl
+v9xrPXzuPh7arC/dbeHzznFg9D4199+fmrIclaXPkpNHj34N6WefPzrCaZcgQP/nqvcE3kEhO9e
+Qs6HlxzB0fkrydSfg6QkZQcM8EUY0/+mO4+f8OeMkEhjsNwC40Zgvs07eDyv57coxKCbqGFlJIy
KkHbtvX3XxH5VED8pzUmGOn7b74932VbzVnbfBfG13//0fj6sjWNs3894VI/+aP78rt7TiXDmGiK
NYe7gIOUFE5d9+H2GlJF+Dn+PyUmOSnLvEmKMVLPJZKTPKqXpj5qlqJ4kwnn33LVVSeNqKYy1n1K
Yh4YPaCyH4+HkeiTohvcC82Axn6Uhb5pvaJvyNTIi2VB7JXhqT2fCKInc02L962J6IUfsnDSwP+P
Rc0l2imkzbzrsWMfy7AQH9veuwtRIfKSycL0sYnq5tM8d+R8UKJ6SSo87ZVG5LTJKb60PS33fh6b
vctFfZJ1KotFlxY3teL2dIhUeoO6vDgvivrIzA7FKtLjrql7fTCjUXFROLQXMs9iXiqyowXFJ22l
0h3PeN/FjWizC21okxhr2j0LZbWnvS8PVIX6hXGDjMdQuAuPld7rVO1Vzrt4NgKdMca6c5rn0Wmo
EDvidT5eMDKyo1GW5YvRIXfeumw5FFI0Fz1h9iSrLD5I24/XVZO7k9FpFLMK+bj0/CL1Q3Uh+jAm
ffD6LR4Y3S1RM55mkrBDRPryeVXR4ZiXC9q5oZvjyrvlVtesiqkpuqO2av2e5MMcu0VWh3Rw/HSA
YPZVWnafmsZ1fA85fm92oS6nt8iF7MaN2fRmzlP7Uqc+vcMLW2TM1NKNselx3exmRKQ5EcjX9sjQ
HL2tNWcmZnVhulgtMrwr5n5iR2XKzGWjxvTMqDo801EeDkM3qXnPlkWZfeu13s9DNbMdnJFI7SJW
9W3c+aU5U6OvP+E58ON0BPsZoxbz48G2zRmtWXRIA+9fVDPohfU12lkjP82haK6W3LWnURD0vKyy
bF9HjXsdCpEdrNL+tRwLc9OiKNvbPromouieFeNEPkXB8LhGBQlx4XvfxkU2hytCio95rt5xLtPz
blgGULpMn5GK8r2fGp7Frmgx3qWO+jKWsuPn4+iL67xVeG8WO5+GfpHP604nbVS+CnmD83iS2Xg2
9qS5HaxfjmfCpuPMqPxsmLvyhBfVgWQhPW4jq7OYLlRcTVq1zyc3zUezEOG0z3L+NqeDUIdyGaM3
0nBzk3VVedKU0/Su1gLdTukY4jyv6b61Sj2baG/3Rk/7UvArE3B/TcdQ77SvxtuC9v0NDzRPhtbT
t93YZSeLH+kczzSVOG6Noeespibfw0+7i8xyLWJGWfaM5u24W+TQPefB2Eujuu51qrmwcV4jf0x6
EhU7VHflUZFWcTqiudilNcPXWVTjbFeCdXgOMWQ4diFvgV9UWxKPBE83ojby1LftvJdL1J6n0vWx
cAV5bhZlz7vG44ODbOPUjnLAsZIFNzvRdeK8zDMzHtLK4bu0HPCdErO784L35wTLMOynul/wjpOx
OoxN0/X7xtoh7CaBpldmyJs+wUKhatdwX8q9nrHe13Mh+jilBX/WU93ne9+M/Jw00h/aiqIjn/Zg
B1vpEN93rFFq1xR5d3BUjuZokZG6cAr3SzyAKX4LMdli4jSIudmXfKiXeF6yKN2P1cRdPBihAJ3L
lJ85E9o3lOVZvZuLzF+FaGw+2noRYZc2GXnHBh543HQ2fxtaRVkMBjGaY9kUcizjinj5dm6Ym+I8
ouoVRoRflD2e3vSILM2p0YGKeIra+SSaEG8SVyuKd16b6H3WBtLGjnfyjc95rQ66UsMl6rw6p+18
b7SndAbDGJrK7CLXhCNPxtkniqCA4obo6K3IQ0Xisg1RiGdsQzgXQtbo2BjSDTuKov5iqoo+P4Tg
aDhkBM/LzkZTMSRzo8oynghvXxgxNi6e1NJG8ZwO9j0aFl3E3guRPzMjJ+5Fl6PomRyW+sjXnRsO
0ufZHBd9Pb9AWdkVO0ZK/9YMmeC72kxNEU9+YuZQ2jnflT4SLkaWp2WcVriIM0r5GJOqxKdzUYkT
jF1nY0tN+DREonntoQabtMrO1Y4wPmVxGfrq2pQyfe0nbc8rzT71czTccqOvWQiojReeMRmHqhVH
HtX61HMf3s1qdFXM/CjeMY+s2mV1OZ8gkck0NrISSYZHeZ2WalGXWZlGTTyzGvdxKYfpSBcaHmCQ
uUvKSjsWCzmLaVeB8X0VFTQ8s+mc3SBmmj72FbP7DjK0KZ7EMN1hBV6F6im4nTA5OuT5xM+jcrQy
dgzbIXa15ydRVAHuBwDCm45X4uXsRPlsqiWJ4ho3cADbnLVzsqTpmKQ4w6+89fl5WXOc7csIFebQ
iKZ4w+UIPMtK1aeCWdbsl8WkJra5tqdtVfWvlShqdmJkMXe7VNYT30FmUtndgCw9KxtQXEQr3MQR
ssAgH7PqYx+NVR6HvlgummgExLgUV6+LpvLPwIbiW4Td/HpCSp1UDZvnOJVLAba3oWw3AekshsPt
32q4/sqONNVxXuopkZxHb/sKPBSZFXpVNw6c3hh4kppG32RLiF6hTldXjIbM7qfAx33uaH1OqyYd
4jYFyYLRdc+LlOEx1kXubsaRzW6/GNq+i8q2O9EEswIw2tEX3ORqjMEqRu+b3s1LrAQaUBx0E7Ed
SRWECtq76tbk3dIl0TgWw6Fwsy7jwrRDnxSkRm9cPfgXbYOaO5kzVb/GU4pYPMyTvC5okWdHcppB
kmOx+NiVbXmpc7zkIC5B7I5lfHqWuprGqijyq8nlZoqtmtL9MJk9LpbqPegqFLslqO5msg68wOjA
vzO8XJdDHnVxSdt6iLMeA0DKrmmvIlmSLCZ9hG66oqR+t3gmz8Z8EXUcUimzY2cG7c9kRob5UHqR
uX2ac/cc9SXcfZLEmh0p8/RNKkJ1Uusw5rGpQKpZlHU33gZx5Saj91VnQO/F0NhLXNXL+RIQWFSk
mL32uOquJ5VqeGaEyJEYsALEZ6Y+MfkszgqNaL9j4OHgZPBZHkeFx0e4xb7b0bE0h2JBDiJanOex
LYbiucA8xXGmGnK7YNneRL1u6xgLiy7EEEAiuir7M4QCSKhjnTnGIVO3panoB0IksJXpwt1oHCaQ
bz7ne8lk9kFBPHssKq9vDDJtki99BMbPkYtyocV5NfM07CNeLUkxFfwYPG1XJrXAtYnrAs0yaQur
z1Id1LPAHNW7hUhX7I3J7bupKvM2hiYS/VR1ur5LfUFPeRpl7xdH5nmX2UWfkUAvckXRybxU4OY/
Z0Jf07RH+caHtpsHk+VfG0ff//mPl20N/31uefzzw/u+0z//df6tYfXLXyV37X05yK5/dM/Nd1r/
bK7cJ2rfOy2r1O9Li+tb3vR3vnyUND5qCz1KGjFUsH6eMj5qRn1OGO9//yVd1BLqLlhSzikDP6gF
JGxf0kWhoNwMdX2FoMYJ/pNCEe1buiifQn4pINaC+gD4JQ055td0UTyVAppiWkkCyZ7QmvydfBHo
PMgWI7BLcCg515COPswSbRrStjRaHOd4r/lzO0Lh4Pvz/yAP/Rnd+88fZJ+amFHYKsiD4znY8mWZ
59c5EeFLp+1Lo+1vkAcpPyRfyKicp9DIQz70w3A9iQVlL7OwtJ9+zT4k6j8Uyyp51vVSKl+m4qAJ
t8tVh2vI1nIIDnGMGKoJRMa9S49+fbOfyQrU//BhLOi+mLJGHIKlCqw1ohn4m1mod7+mD53SHz4M
ekxf6h51hZ7FweOOnWM8sfrFhAokzmYFgV0SyUUMcT333fWvb/iTB1L3pYkHyu8U6kZ5f8Ox0jKc
trlP/Y5B+GAOv77B4xrH91OroIT58AbKLBNynvLDVFo5nQrIYciuKy3Jz3iZF+Qc+9KXu972zSxj
VDHcH6EmHwco6v/qdON70f2zyPJPBu5F/fAJZW1Lbmd+8Fk29jtFVCIp/tSVtIdiSp9NYx37WUZn
7ZTh8uBJ2yoIcTJFaui9/YqFn8n4/uQ+4KDK5nqs+AQiUARCqqH9JPlkfvN8PyO+sgotIBXSd8cP
82zlG9TOLeR1vni+jfX7uz5kXRVGWDrwQ0mNuUMw8XDWRKb0u23kV7ahjSbe9Tnnh8rJ8QZPPYPQ
ZJHbLI9aWYahmoquIz0/uDZalgOCjG3Yi65t5Ub2V9aAhAyruSrAGrTMF7v7YgCkfT1Aaf9r+fzE
tokVeGo9TrzwmUzqyvbptazr3t/QftHo1EW5lldQi6Ti5Nc3+9lJWtkeUsxR09ouSpp2luLSGmgf
3tTORZ820f9cBX1wliykOghCdZUsLa4Pc8aiIQ6mtMNvtHF/4n8AdLkSlm5LVnkyp5BeKMg/pwF3
46GaZmz2vcmZ3niblT2hrE3V1EUycc4TdwyFyQYdlgZX4dAZN4VtuJYro9G3Y5/SUKukI+Xyshzm
/HkjhX75a138TFYrqzGVQWEoM+iEQKHtUNlB0rOMzW3/uuSqDL8R1U9OlLz//IHGc5V1pZKdSoaK
QV2jXtBzneGh+hLh/t3IQtLH5NvUQNmzXETiZQ91QlQE9lYsbXf4tYx+xv3KfPhRtlLBDEgyVqAB
V2X1gflIdhu5XxkPD7XsuZoLlTB7n+lUswpRbNFslo03WOG51BHvdQDpa1z3zUmHeTMdhkIu0+Um
Ad1HyQ/VK8lMLYbKbqJtbm6ksvYymKz/msD8XfWKFdDkPEALBnGZdJQ5c+wWGu7LA/WEtkFMrCAW
zNwLRwaZlDbr2ImtyQh9CM+G3/nme8vzA4skViibsyJD9QQq7tO5G/ZFRqW8rKNlFKeZS+vyEDIy
N28qKPW98002Nb+x5D+LecQKeFXIUtkuE5jCSlXdaR7ZVEJkX2oI65SbCubixhXLuDO56Ooj6Pdk
ci/YRNsXI3LCbxTwCqBzKiKpyihNahn5PTWTTJSs6G/ON75Hyo/EuwIoH10wPel1QtEytIcFp6M7
8HRZquMOmnbz88zW7acuYlN9zBbV8ItAKWnOiVSqeKNKwvlvWPmJqRArLKum4F07GZZ0MrV0JxZ9
14Uw9dvsqFghuRqogL5LIZMh6qYkcxhaSRlV2cdNOOYrHHsMnYuiyFiSdUFBp3HqLiyK6m1mlN+D
44ET6GnWFFEkdcIryGR20KCDGrs3w2x/c8p+gjK+shPW9DMnYVCJm6eUnCg2DOh96DAgLic5lHwb
47s6Jovosg9dvViyTS18ZT/o1FRwiAaRCJXWPu56Yut49izaaMH5yn5Al6/svRjkwfccH8Q8ZvtF
tNF+m9pXRkKkGjVFH5bE+swlSyOLWAxd8Rsb9BNI8BX2BUZ5FCBUheqoqXfE4WKfzi3ZeKhW0Ies
Bzp6pl0SAnljjHL8usnY7wLJn7G+QjMWXcNClS1JJmd37ucGgXvuc1xsPDcrOOeFdx0d5iWJ0lqf
kDGU+5QqlmxSK1uhmXYj71wJ1F1K7ovsEhomNTbbeGcrNEPhdVGjBLVCeRQaNtSPsSgl22ZH2QrK
BYoGNKV2SXpsqiOrm2w3crYc/Voy97D5gb9gK7w2Kc+XBUdTMkX8DtLOcjxiDmrliZuk2PgEK8jS
UY5NUaZTQgG419q1xQGzttyWjt+PsTy0pa6BUGhaxJS0MMR0ojT3+2JuNpobtoIsdnWVqqXwSWYr
9sxUtTzvQrWR9RViwVGnZYmpS/q2SPFu4ND2kHko8/2vlfsT0LIVaHma2TJaoMzTNSacli5zZz5N
q42gWkEW6qPRiH3hjgafTfYFhY5W9ZzDHEy+7dzQFWpLbMY+G0mAkNAvu7Ljb2c9N785+D+RDV2B
lhdRyZRKx0Nf5Tim1pO419CT2SR5ugIt7QpG0kKNIPno7QCzGHGjQ7pNrXSF2bJbhiiy4ivrDCYY
oO8otrK+RitXqVc5Hg96gqIxuadutwvmXh0PIp8SjV0Kk0TjIRQ633lV+lgIUmwU+wqtOeOqRQQB
dUbuesOqo8xkGytb/zKRBntPymRAXC++TiqpB8i8RNgWG9w3UR4KBkYMZAqTQuOBu3SKAx5JjLvU
bXNRdIXVOu9I01LkD824NPGUmztfLHib1MkKp3YZXNfmkz/UZQ6dfsbfRiPMyGxCElnhFKV8oHMe
uYPsUbO3wdzCQJLdSHwF095qmMYy3h8KofNYFKaK/UDkRuornEpaRJmJNLCuPT630B65TGVWbWtR
kRVOg2ekYUA5WTBMfMRLowTfRy5SdtuZISuokj7o2nfZmMBcRzPEEe140k3Efdim2BVWsUnJ0IYa
PGtqq1NdWLy3ZTEftlEnj+Hkh7Sj2cx94jR9hwtyZRm92kZ6jVQ7F/U8Ry4xeXQB5vHtTOTG8h1Z
4VQbU0vcSAdd9VztYbLpZVum7TaF4hVOm9JGg1beJ5FxZlcV8kySHm077HiFU2gLT50NKjo0Vfho
Zvya8PrZJoHjFUqVmbII/PWcAFnr4oXYXMSzpdk204tXOB0z7vOSDS6BHR30hjmwA7E1C94WaeAV
UH1fEVSlrU/qdlj2bZDvc9OlG8W+AmmqTA8TfINP+DzMu7rugPXyd53XeyI/SA7uhwEe+iTdCGa6
qHYJDIfrc2UzfF5Fafd6m1pXECWOuAG2R+E45mke03p6I5XZqNIVRhfW6iLNS58MfKQxVuFt1avL
bXyvMMomFiZDgXZU2JfMz+ec2fNNpNEKoe2UppmjmTugNIp2UQEjyQvaWB9AK4Ri3HUwp0qig0D6
eT3Lt2qAGcFtjK8gGuUQpw8tyKTKm6s2a4/SOt9mye+XER4eQtZNMw1QUz+0Cwz2T+QZ49s8KFoB
s5u5E20HuZ2oszPVhqQZ0m1tVrSCpalgWNh7YLqrXy2j3xXyZpugV5CsdDF0SwlKZHn5fgj6Si1i
m51CKzz6fizDPAmXzLbAL5fZkaTw1O63Mb5CJG3S0BRGu8RGMEpAmvJYp/rNNtorRJaVsVxiFB24
geg2QuKWabrNscGq0+PzBwe77ysELjk3IsTcsmivtRw3AYfpFSgVzIY7xsfo0IsXQ7tXUMXeIhOm
V4jMs7xnfT67xCsY5pio7WLci5fbiK8wOUH/fZ6b1B5w3h1PFfT2e1q4TSeFrWe6Bu9RGVVAXFX8
kvrug2HzsFEqK1zCyvSMeqXtYajpJQfawY9baa+giScjKQ0YysaEojOvsuK0Z0FslMoKnbllIwxd
ejgofBHxgopXFQyYb1PnCptBezaVGpAf6OxgGYKlot0TiIDMJtPC9Aqg3VSzFHo1LslYdxtN42to
PrzaxPt6WGukFA2Cgly8z/getp9MTBWRm+IIKAg9Bv+QjxLq0QEYD+HSt+g0jP1GhKoVQotaIiZz
ahNV0vMKBg4PSkqyTeL3q4IPvabPYDJe+9ElqIOR8KjaFUO+KUhhauU2Bx41c0ZrmxDCyW6q8bCD
sfFP29S5AugMHQWramdhwEC8zWw4NZK/2EZ6hc8wOFhWIBFsb+BqiqtW9kdNXWybjGDrwaqWT40e
YXwngRbSsm+W9kJSu63tz9QKoL4jtszxNCQtjL9UsfVD9CyCTaXrbZJZwXOKKFhF5kGj4/zRQgQX
rHq/ifR6wMmB48k7ARsppciuQ9edoLredg7Xs01jqkpRVGxIlhGWdMYpI/uoaj5s43sFTrOwFFau
SpvovNuVbL6Alc3fhJ33OPnXrIqtp5imCOrBYyeHJK9H7uNBiuK8F12Ip4L4ebeN/xVIedmEpmz5
kFSGvqty9jrqypfbSK8gCgtDthIyHQD/oz0eLey24ZFta9XBnv9jw5WRnJuBEmCc4df1CGtFLOpu
tnG+9qGh78oB5TbhxLDpsFA/s7hRVV5uc9JyhVNYhMuUVxUcyRBdmZq8NP22XJzJFUYrw3tImIF0
Ousrh8zzlIpNbSi2nlmq1JzW/TgPCU1rkkSKuCucTWbTpC9bz2sSOSI+GjiJKVpgXRN2gyjbODDG
1vNQdUgjF2w+JM3YwfbtKI/6KdtWHYath8dH0Q3Me6ZB5GAen40zeVbxsA1D6ykoPWWVL/psSGSa
NbFc5md6MNv6ZrDb/5hvDacEBVIOCW7HS4r7swG5jXyv0DnAVlMqpqhPrFCvDR6uYLVoUxLHxAqc
aWB1mXWwXClAMrDQn01xP9dqmz1cTyM5WvRR0eoe+jZ5vxtIeeUjvS0EXY8iIQR5VsNRn2SG1rDK
BYWKg0eR2CaY9ShSUWiYSoNV9YTqud4pWCy9rgxatml0PYo0FlykMGvXJ4seyA5bdgGedFv3nK3H
kHzUqJaHFo5LqxkqwdbOpc1jpcfyN870/kz/wJmu541gPBfpLMBGdJblk9w1UDxL0pT12/oIbD1u
NJfeq6FOu0RFtux349TVn7yW08akka+wimuC2KSjLhny2e7rTBQxSIgfbXJ464EjKUNQaERd4itB
dkjAXDmF7DfeRn2FWFfBBJ6lTZdYWBh0MV5IeVvOock20l9502AGWAcOIJs2L9rYuPpVqPA2n8fX
7pS0Ux1JD3JvVHc8W2SPpqrNjzdJZj1vNFJ4M0FXTV1SpHx5jdo0O4Z343XlNsGsB44o2ElOZlCr
btLeHkl4sQmLedrCGwC28b+KfqEZV7YNvGQB8g07nQyDepX31bbaPFuPHMmyJjBjPHSJZO6FyezV
VLoX2/heRb1ZOsMCdZX1iWz0u6adcJwz9rvZ2p+YmvWgEazrSxXBBn9Ch0K9k9BUOPZlPW48MivP
6lAU5oXyNgGk6ljA6EsczZE8bBPMCqoD7Pu7rgLqHF6CEHPcnZbN76aYPoegP7DB6zGj3gQYr1Ok
TUZRZim8YKUpwNhIE0p4Z4DOyuO6m6cX8BqW6oRaGonE5XnPX8KKm+wvof5nhxda1uK4hL5ke1yU
DROwkW+gGJ+FXsFrARZW9MOrCd7U4Xdo7pvytoVX1/Q7AYEl2WMOtfaD7Hzw+wpDlWwnoEsdTnwf
qSIhMuTsJG2Lad5hBNWENxFM9s5HmBZW7qkMQHOqjFuOsl7nFrbtyOKPakLCsrdjTZt3QTKWXjom
ouK9xbzvE7UQPSZDgOfdd27hhwKNHN6oIQkud2KWmT/OcJvpM6HgBQE71C/kBbzqbILXhojhpDN2
WBLUajUfTXU1sv04wLL7YZQTvDKGV/nIdlnV1S3Es1rPOzUYKuO6NQN+NjVpoU8qCm8kShaQ9rTj
tBxPliWqL4ZmRGzP0DgucZEO6fICXhfRym1RCFsZzDowL0pP20TwvIWqTxSTjOpt9mY96UVZOkMg
WXUJvCbpLmXli1SabXyv57xG6MTAaz6Ab+7TxOrqNOV4W3FwPeTFR5hMwVBBSojWIU4jePmBrnC7
USar7GNAGRUlNO2SjBRFHMr+kyiGbUEfXdnJAtZbx0aiNvGz7y5gQcsct9TV20wZXcU0uTDIN0TY
JBtKdsYgfoXJf+/ebjJldGUohzobx7Eb26RUmb8ZVL9AMb9RbqPYV5ayb4yDNRHdJhqKyjEnxVm+
ZNuWv9h6yAsBhDlTXZvM7f/l7MuWJLW5bp+ICJBAwC2QmZU191Q93BDudlsCSSBGIT39WekrN7/9
9Qlu3Q6KFNLWHtZgal31oW0v2xA2B6ucPcwr6prIBxQ7knGdbCcydYsv0iCRQ3Vo8fdQr1lDVieA
eNUFg6q/rInvk2A6xuiA9uOvZatZ7LgOLoXWRJgDRzZP6aYgttKSv469+y6pWZPB03Uh5qKG3GdF
2g8UM/aMkGNYjJjsTqw1nYrCjSNBgNZ5saS2PTVNczBB2OO9TGrr1nNc4ZjRjFDFilhpIIt0ObY4
uzNrQ1Clk6brQXRV6p7Rm2wNG0Z2DN8fk92pndoOGkF9jzDcLem96Gj4DTWtO9YKJrtDm24QzNIT
8lW0srZrHdfLJQ3n9OCm39UhhEIFpbndTm2jeTnZgRfLrPWxgLOHfEVjtC0b6uRL4Dr6UwBt/tPr
RR9DfsZ70FdCKIS+WmkuCUvX4CrzLirD2trkN7PD/+DVxXvgF+imdc1U1l28iuj40chm7aGU1BFT
2akPPoJw9hwEuWorZHEyLzkE3dhZBEnSH/v6e3wYeLoQ+WuRf1o3CMjz6RYCFFp0Rh0ro/cAMRZS
j5rlFpnqOaofdMPBO3MDFBvLQ6dvDxHz4TKC8Uq6C6VRI4vNtjYuWhmvBxOsaHe82eT12BH8AbcQ
wJb98hno/R/HXn53tNWs3ZxDDPFiIHdUbpz+5efk6IvvTjaHEN40yVRfkNueFZH3hEzHWgB/Uyj/
AUXXQRByCwWRyxyvUymDGKMG698fW5RdujwLNfLIrt0F0pjZaRGQndJJc/Cq3OPEbAqniw5f9NKM
W/Bdt5b+GCFMd6xY3APFpjbu+riL9AW51nO6+gc18G+HliXc3cF8w5yRjX13mTYi7iM1ZgVcO+yx
S2wPFbOSNdkqqb5QmfW8aLNsuBfp0oljx3QPGIvzraesC/UlTbq2HPLsTsaRO3YP7CFjo+k4r/Om
u+SxsI/TqOMSilnru/+98LfM/l9q9HB3SHMr3Woj3O/Kx9DHnMOJ5ycVRn1/YqjqukM5Ft1jd6D+
UdeQOFQXP6bfUag/6VR8/t+/4Baq/u8voDcpqX8iGuI1xGgQdCwwBPsaKnXTsv6EZOgx6QFo+P36
+Aa5cifqTl1yk9Xo7kzZVbNkOXSkKMSufnn5nrTL5ke8fM0FavyIQIEWuoyH9iXNdwlKznzqkgnN
jsjOkau6BsPfsu26dj1W6e6hgZljdcYo7y/hQmdT4Du0t4gZ5v2xFOumw//Pj6uDBsrCeYOQk5AP
yxy+51F9aOnjcBeJoRkyZ+GId0fTNKmaERMav0Cw8diuzH998Q4xJpAAe56idKzfry4wHzqRHCOp
QSzt16erpouWkEzqdrVm74ymyWVukuzQotM9RNCgaRTW+rblBZpN/ZC9C2LeHFyYXTG0uLlzi2sU
gB9Q5irBKR2+epX368Hn7z5rttraILNVl0gwV2U8DF978PneH/qse1SZYw06XHYIKh7xrb9vwyh8
JsQky28O1N+dln+JZntgGbx0yMbYgmjGlkS/DFHULXeNXIfxjEJsIWdo6bGpGhK19Y+BQ1XwaFJI
xn4lEY3PCyP+msaBS4rc1wvUFVwg5Yvuko2UehhcU3ouav+9r12znDuDO7dcknb7AVnq+GE17Xzv
GrGeab1YPAIaGKIIdRP7jyICv+WdvOlUfOwgljxVKNhij38dbSlCID+fWyMCX+H/nponSup+/XFs
0XfJAXCNEJwGIfnE66h9XnMJFciGQAbz2ON3OxLi1kmP7qi8kC38ycjwLo/467FH327df6SSqDWd
DpiVF+qBs1UkvpJ++p2Qxu39/m2r7C6+ZQk099MmL4OBVsd1nLyyEH0G6qGyqBD4FWr9ShzqrkGv
79dfEg1Qxo7XRF4CE7BTLK06e6P4p2PrRH59unD1ghqRysvax6IKav8Zctm/W6fbYv/bOu3ukCjk
zSLHRV6gWtp8AKo6fskE3/7Y2ij4TWfzv/7ELuiEdQ5lWDPI07RRyaCvO0CTvlhHNNuvjQWj7TdF
9X988j1qDvAEDt1lxU+wmZPyvCRbBHRYoE6N9jACAKL7WFeJ7kF0XKB3Uo8Ki9aRAEA39hmB6GBO
le4OdADBETQCOnmJMI6bqT3PNPpNgP6PL7EH0aX0JjwNDm4l+ZDO11xNybnPcsz9GV9VeAhd8Lfb
xT/PdYJns6ZJA8h0QEgQXHf+JR/SY9RWupcCm1w+NI0b20uaJvMZmOusqEV0rFiheyDd2qAVSZdI
XBp4f5zN6jScKZpDdRxNdwc5ZCZSKlV1Fa3NfVjTIu7ZwTXfHWNHQzX1Mx7tfXyq8+GsG3KoPqR7
DJ2DEFoz5bKuZEMe0iR4GKD7fCiy7TF0gBXehHCbujKtHe7baZovQUI/HHv4Lg2sk1SsjgbY7BGf
TsaMceFyFZ+PPX13SsNcjnUSBs0lbSbzANTr54G7Y+KwdI+h4yzlwUqW5qIcUecln7u7cFDHoKh0
D6ML3IZ5ih6bS9O2Q2VE9hik43Q6ti67e3drw2GZaJ9Xs46b7UyI/WRGKY81FWESursL+3weVNzl
VbcOz1L1l3bsj13ieyidE9vGNUcipealKbqlC0uvkt9E3tvP/5drdo+kW4HO92D44RBNK6wD8rE0
DIrCx9Z8d8F6iPRM62wasJa0KztuephajF1+DJAGQepfFz3XDpwLmeQgWvWeFJmqx4d+gxZ6eej9
92i6hXV1l8KAo9LWY2b7DiiA36zM363af1n3PZYuZj6COBUXl8gFdH0IG52AYMSh5fkRSkn9pUly
T4t0WHVyYuiu2XKYZbJCIdMwdx6WPBxO3kSc/KFTWItc6ow26aEOPL0ZT/7znoTDAzxg4Gl0amBf
ck7qGZrCgTw2V6N74A21hHol5+lErRZAWcwfQancfrOu/7Gd9wDCLRgiSIbMt0pvnPm1oWG2nMQk
p646tiV2a9M1zcyySKTVNgqG2OrapStFAkPhH8f+wC5OjbNc/Fqb5bT0cHTRWWwrk8eHmuR0jyBE
tpnADkIvp+gmWWaTASRzWCYce3Py67Yx6RpPcHhYTusC2Wk1xUPRK3IMnkiTXSIRiwVE/qVbTqSN
YJ0g4Z2C/t73Y6++C1S9zGCySuv5tBKh4dsVgHu2xeGxK3mPH+SAyYZxQOdTD1BQ0cuRP6uUzm+H
3n0PH4ytMTRiw3wKcgxsYun5qXHJsYXZy5U1o416zJDnE+Q1yWunN/mdhT49lsHtsYM+EXaYl3U6
dfB9KyG6DTGbuD4m2AJ7u1/342IHSGalbjq5NPKFDOVYwg7t47FV3232BG4iAR3w6l5DrsXO7q9w
FMe4hHQPwQu80UOt6HLiYM9UuRWiRFA7NryHId+v6+JBg6ibFYlVasj3SdMPWsDr7NCy7KFfQqP3
2Jt4OTV/+8sYUp/qGjC6//30/ygT9+gvFcmByJ5mZ1arZH0Vi240DMqIGs/xaHAL/u8/8x+XyB4J
VsOlJ45a/AhYyQbVShJedhsM2o49/dYl+Ed3yQg4i80MT+e8ayoYEgH+0bs/jz18dz3JFmcKeMbx
ZDbjykYPbTXp+tjtsUeC5SYOZ50k42mVy3rWIiMFBIz9setjjwSDMRtjfrQjXNa8OkeT/OSjNjn4
SXfH1Qsd+x69npPJRFpqBaMhQFKPwf4x1f/1k3apS+c0q80p0MFYtt50BTXwQjr2TXfntY5jNUYt
M6dmHkTpE63KDMr11aGn7zFgC2zQMNTm2bltO//Rh2Z7a8Pud1Ly/3GU9iiwmlobLQArn5IxAh/l
dmsbEv2uR/hfT9/VunC4Qbva5fk5DtA6X4Mfveo+HluW3SmVsEWt4Z+RnqHzBSPB1QOdOItt+nLs
8btzGqme9j4c83NidAcAbrsx8cgi1WXHzupe7stM2YJU2OTnfIqKNif3KjyYzuzBXxDigoUYwaN1
jOvvhofojgES6R75BX+GphbpkJ/9TfpI2iguY5HZY5GX7I5pGyoxe9fHFVS47rrRvIbsmJog3cO+
wgSgIqp1XDHAH9oueIy75t2hrfJ/IF+QERIj7eKKsEVHl9go8K6F1cunY8/ftaM6Ew2tWvr0HPfR
Bgl1+Obd36h6v9MTvB3Gf6l093iuJpAmhs8bO2sTTHdzva76eUpDzk/gqab1lWt4Tz7Nvv7/KK7/
rvf+7Y/ujm/qSN2t7aBQ+22228pINYqYk5Q4deosapjrFkOvYVdTdDDZ7YutdWOXwo/XMKHPKKxb
qQvl5equonZB/QelFrC7DmZovSxo67y1BZIcMzxKFmXmaZ1qG7HrFsTpIIvRKx7AIo7mDeXFOKcG
iVDP8OmKJB96/ocZhV6iIpYpnOKol5B7rhwK+pRXbljtCKdS2m4fICFn1waGwbD4gcy3a7apK6Ic
LpJxkTtIw8u7yEiYChcaPctZwzp1VDCGpVPad58M0agG2rTN/tJG4z+PyxCvFQPclxYLVkiWK6xo
m4t3y8ZG5Mh06v7o0bRNl2IbozCyBUylufjaNbHMf2i+wOgHRE7fj7qA2lfrvtxAenfGa7fBhxPS
haW1zRTJKgVxsj55jGwILIPrbSprWJK2ebky6xJdkdUn4UOUrSw/N8niNXhhQ+/u4BLQlSkzK3tq
w6XJqrChlpYiZQOysEzD91hDABeGjJwNHfCbbS94NecomtMSHZKNw0h0HLoxLTLCUvBG1uZSxynS
RsQSppd7fK1eNMWYIbMr8ihQulp0R74Ns2aVdX5LfyyNd/Rsxj6Rz34kGXsTA0nTZzrXlD76WmQL
r5QHRwXGiXaJoIjgWbqoJzA0Mnwv0zQGL8dDn/PlHELVGNmYDnsv7xyjm/0+ZLrpedmvaAZfUzCQ
8o/Rlm6TK2EiCScxngU3GUi1qM4GYLF4gLagoJMu63Jy+JZ9fyUJGmnkymSXiUIymZ8ZzLHLnm1W
j2hJuGBab5nlOj2EyyRPdkSMeobJ9NJ+3DbCuwzboSfLuaXJBINNLmIClVjhVIW6RmRfs5l2/UO+
eTSBRBIu21hYM6OZX+RZkhJkUPNMKS3zhNL2XSSzkcFwupbbQ0csTKOLcIa2mseYGebO4G6FboL3
qRYMImuhWr4TFYAzM65pbD6kiY6yCvbPSfsdtU+mcGh03K/V1Cb99CyXkLOPgGcN+ty6FDShvA/7
5N4nAZGPkbDS/9l0cJ0GY2YM+vh5wKEVp84IR65GR+3wWQQ6CwnCm4Qxa5HqODfP4TzL6Hvc1nUG
d0aea36xdl2T+3Bs4v5La5lLSmjeh2Cjcwt/c0g7J0z9qGfLJaxYB5l9TygbzGewy72AwWmDuws8
j949AdUHl9WB9EH8o2/H1V81Mc59hGc27JuNwEn60cbY5ndcEv8MA25+DsmQtS/ZuKTsFGaNEe8H
KTb/akHwgBOqItANyKqbEjG7Tnbuur8kJjfioWUDdZe+b1V9GUgejQ/LkKekbGHkSL5mjMT5n5GV
9TMo5ME9xkj+B6gtumhtwisOgaCg2uBybO/hIbH6O4gH0S8qb+K8MgpMx3epE6p7jnjdRFfbN4s7
BYNot7vcjSG7pGyT4eeQ1bJ+L4acm9K4OYAmYhvmE0g0msHIb/VTMj5NoZ/DKzXMqE836/P+ZUny
VJxDIfu0mrd2Rey0STaKM/DT0fg05Cv7oaAJ0JU1+m72RWzhiFAi+s2eWNLPI69CTKvWB9lC4Phc
88WAXhOkK/8osimPr9rAoxkmpMHIvguRt6bk3STntsi6qA7hPQSH1euk9DRXM/zjg2qeOhIVnfLW
fKVzjjeokpBHkDOEmTY8w/k0Fu0WTN2pu0nyFBC08/J5sCCmnRIz2m8kdJbBXo130OWEFQR7QrrE
f9Y4wmnZKkF0yeA82392A/wZIXCkNSTPCiphgHq1M1iyHx386ca6EMOcboj33tge/uAzrmlboOO9
Tj8s7LKTN1hwjLgQJNRq8vcKT7l9SDMv4wkmjph0njpLdFKA+9klF5VHuTytK6fKFTyaM/9gt4mj
a7HBWSq/C2uHHBFMNiGuE1zWgsKPTRN8YIkcSSVitgTVFK6wp06d9+3bGMI79G6dvc0vi+7hKD1Y
UrtHCvOu1zCa2uYDusjESXiqqjk/QzWez/e5RAXz7NBXys6xbHDfzXWdDMB5x2J71DxsZdn7MZrL
2IxpAN7CONVwaw2xg6L3cyg1yBhwmZ5fmy1MyV2PkXH73EPprhmK1cUw0IGueDHYMY+uEc2n+SWB
8Xr3B2m2TD0yRSfssU5oJf6kKvPYCRqSbdOp51mznvHLtvaUaBlPn5hcRX0/8aalV5BomXpaRgLP
LVjJhopVsEqi9U8PqWRomk8CvqlT33AObDMYWNgjGXSU7gVsdM2daTW9WdUCQxyeJgPXw2KdXUc+
4G9mb2sk5u2bgmg8OOk5EX1cDpBf5HC6nmVdbrXZPrSEzfQuyw24LknXAayq1zELSmeWGZZyY283
EEjgI1tioJCJV7xukrxs1vHmLuhIjMlRU8tg+ai177t7QHeFR1bU+e0Hbo2pk9BIDcPo3W1SQ8OS
iiGFz22Yx3pCJPauvmYtPj2EZhkMxx4tAvLwAveLabyGs8jnu21meXK7uTcBTQCOZZymYs5xykPo
1XG/8HJorHPvaL6pvICRWcbOaawR3+DsCxvul3COsuEPP04GtsVqhhny1cU03J5j7H7xpZ02WNDg
R9K+fpFoh9n3mcQi3nvSjlvV0SWZ73D/B4ZjcYleT9anKRyzEzn3Hh9z5Ot5tTLQn9LIzfp1xZqt
9/BlXqKXdm1EU8at6Kcvm0lJ8lWT1GXwEV4hVG2wUlTxPztopoavUK2P8z96KK/Ib4MaJEF9BUFE
WuqWtOmdTufJIX8TYcb6YggWh6tQbbg+kO1BMpYFyZpWE0QaegfYaBp8h6q8i2FajwB+9csgP6YL
9vdJhlaxstk85i867eLPCQEuoqQuq9sStWicwhGxT5cLUWnC1oJuoR6ejRgEKMcR5DvPJm9V/0S1
sYEqGBhYf7T9MG/nJGri9SXqwhH6u5iz5h/jrLPivCo45bwORNAv2QSXl2qKa7QCsiaY2bPrTJ2e
w7G15AXzJ9q9VzKd/EPUdkOPgBnjbAAWD6BadpEQUR2faq1ys5VZHPNXB+RLUG6s0ev7ydsBhGjw
XoktIWNYyzLNo8a8yAk9pkJoroYTdeDVqjMoatEpq2nXVWNYE3yJRqjoKV7MzcmVTbfkJwPaV/Ay
z+DPXullCKOlkH5zn9tMQTWp8BqsxY8G5Db6xifWP47dgoyrFLwNyqiFKpwrEd3XIrWMzp/JAtmD
O86swX2fbiHSdAoCr5kLR+NgvjZ4hfDd0ndzWpKEDZV0YukucsNR/5qEo13PJJUqgjPJCMmzKG5o
VlEFHCl83SN/znEZ2bkYk7qdnhdAp/Ku1Eyn6lHCR/0lczcDVD96+jBlmQxPGRxsNlyjSDmq0ccI
+1atAb9K1iXzx0XV0fq+G5eoxKBhIN+cqu1a1lbEd0jX4JopwaLpMXUrxq0Vd2I2ENaIwavGZUtL
7+fcFD3MkFg1jyG548gHPsN5nT5wSCnpguXtMJUiIoxDs9WQou/jlt1nlrs/Y7B/2ieCo6MvvoXP
89MQkPE1tJB4RQlE50fOMuKRO0Xx+LoGBkjyeUtLBhr5E4YiIGubVFOokYOG/OTGjHzqbcBPkrRM
Flpv88MKw/kXbqGgX0ls4zLZFlsSUTd3cRznj/D0dvc82tQ3x9f2A7zcx7IJ2TuVjPpT0uZdXvDQ
TICdLErKodjCJrcTLNm5cGcH9zh3x1bC31i0mfu5dVleYTuzUvvFb+dubJN7B/hi/MkGWfqBKwvU
QkXmLg3uap2uVhU1dm4GmrwT4Z/NXLv5U5Iw5oq10VsGKGe0Wlc1Nz2Aq3Kbh2xKNkbOwFl3GCaC
OgZ+7W3F2RoF92sUg40NWqkN70cR1fnzFGzTfF7B8w/fPFOElbmL1/lhiU3CvyFz1cMpmUlA7kxj
mvix3VYFs1feraqwkRmzN7ooE74MdKHmBJkG10GSYGLi2gdrrr4GAl7CbZm4JmmqcIKNfLEkDVLR
fF7SphwVchRb1DSgVBUucUvzY8sSOjyuW7/67zClskiHxJwl2N0KZysxRQvCUHuCik5NLmOmmvbd
FqH2P/VdTPV5ThF3KlQ0PL0ON/jdaUg1oS8g1bTJA/CzNKqifEvyawTa1PZXA36AflmmOTNh6XK+
ivtpmGjICgiKZJgx+pYo9w6lcUpQBQOy6R+mSU2IC6JLbfRkNI7kB4li1X6VicyvcY85E520Tb9G
E5XBN40pJcrkrU9ggogmtCixO5AsFfWyIrpP47JVq+Zj9pmB0z+/ZRax/cs0DTlpqyQdAtxXdZcE
6wdmfbvxIoATOy3muR51mddUkefJZ5v7KwbdX/05NmCznbIWToLvnRJbDsGBpB9f4fGcyO3UrVB3
veRNQPpXhlOGiBjSccgQnsSWolkoOtCa71oaCntHpZChrmI/IgUoFGOMQwa+R/2BjK8dSreaWy4C
G5fZvmvnceT2kksuxzc1Bf167ttgzq/TlC8JvpjP7VgNRG3rN5kn4CIxIfPp22zlsJ4ND3VQ5nKJ
HpqB16wcME2eH13bxhyfJG1ABpzQZS9Hsw5ISgcGOZm3xUMlFwTpoX7sORkutt6y9wMlbkZ2kHhv
XpxSqhhh11mAFMYXCn+xrO3PzmYJzOPhcLpcPZ1QoIl8SYtptn1ginmZ7fQujWwq/lphbZKdvAxD
UTF7u1cLPsFj4q5Gmv3YQJoLu45Gmt7XLSxTHwx3/ec8wyJUdJ7jSBVhA9zA26R8GyBLdWFw2Tz2
9QV5QJTez7gC2j+spc0FJUCUf+0hcZ6KMsl52Lw3ayIEJKEjzZqlwCZLaJkhqjpUcwGIcz4VUfOc
tTb05YgD/0lGiT6pumEdjlq93PchOhhP6FfQ5DXrNibv7Trm39GJ+YLUYyYMlioMEPAeHjHkfUd4
/Q16Fm1TcY2g2LSjfJrnEJmZh8CIvao0E6XxDoYjwP+Hd006UvU0zHRST2O9TA+LMX37Bwyi55/B
IKep2pYAnzHe0je5xLfhjsxwt2+xfWPIJeaK+wG5OnBN81Yom+ozyMo5K1pjOXIDjCpXmN1lG/q1
iIQT+jtz+2xBR4ADY3br9ID4Pb5JJGMFSYBAv6KVnk+PdMiG4JWmAPEBFJR2fL2ujPNZ4aMsLpzA
6K7b5rSFNGvTU5ux5h0f4A1/ikBzGP7aViLXMhDoXH2DVgMMasckm+JTJ4gj2JoN+TA2qEcurmun
grQIoKZYlxEudpws4keW6Im8UbuItXR6ilDtpLFat6JdMxV8bZqo/p7dUpO7bAPL/JNj5ucs1Rwj
3c2HCMmsjuVyl8MTJCtzNuqffYIjW2Sw7ChhCxLGJ5XH2d/NP0k9FsFlJ+hb1jFKGZiqnzeS2vSL
4UEO/nGT1+gMBrmGMtJkIFFQISnR9j5hff9DqY1GiHOxaLs3KLXlbUlGYeldO8fuT5TO3D+MitQ/
tVA+T+D/7VbyqIWNh09BHbLkZwTLjORPlJYCnZGWJ495P0rEjlC4kvBosK9jXqcGVCPMlmLOePja
BIyhm43UI3xILARFz/k6MlJtsw/paWXrtBZKL9sHaCJH8Wcz5uu7IIinz1mdRp8AoJj9pa/BFrkL
ehTGm9LbemJxBkFf367mM9ZcPnSRBKyNtTDghsZJ3F97kedDmZhO28IEtfwCpu5WDAlYPsbElj2M
mwleU2a3J5Z7kZ37GtILJ5W47TLAVuISGRVeY9gkI+Z1dHoTOU/ci+E92MPrCr2fIhmWev5gF0i8
foOACIqzydlYfEFrmKYFWx3Wgdi2RVjIaUR7ZBwp+MdZOH8SG0OSSNFK4BxZRpsEkIdNfVCNgMEn
pyTj6JtY2KvDpyQdfXMhJjRvkF9v5XuS9SCBb3BgeN/gRQrarJFZSoRtN9tiRG+Mvhgp0rikBq/z
qe9r25/boW5FSeLU2O83rOu175TWD1uaeoW/IYPpvYxiq14oTy0SNtfQc5aZoL8DhDK179CK7k4I
E113HpOknSoiVhUBLgdj2FNvQwQR6GPc41ugHVGbpDcoty1Ay6tz8/spEO1adskSqfsgWLW/QH7M
/xkksE0qFKwhH7jvNxyfOsNySBueZB4v5TDM9p72ERJO0XQPzojkPdDLAxgC0HdEnwNCDTRO6y+B
B5z8nIEh4z6hz7StuIimMPpzzkZOUnjgSI/2wKQW0107TCiab8IPky7xpUB4z6RAZo6IqVZdiqE2
0C+HeFH+BIm0LC1zy8xy3fp4yC4pbLlhjVqvLGuKIIHs4dnm9HYIg3blHO6KAyomBB9ZtX7K7XUG
KSMvSL/NCscY866fC+7O+mrGOeTVCkXtEEhMTeLorY+RoVWrzUdRpvHKwPWZmZNvDYNMTRVCb775
otDQiAvdLUJ8CjeP6MGDgEX3LI10UuqcKFL16IatZd+taG0VIEFtvGrBQgtfYjOM2TsYgjRr4aAC
bU6Lq5O+cMTHyGByE80/ghGuCkUCqkf+Dl42a3oRztj0B8OPsp8nJKjsMZkilZaxSiV5VdyGEE02
KApEM2n93oHAL8+knULtigRk+xUNTNF5jkJ9RssBm3pDUgjb9HqA13U+1U+iDxt/jeJw655ygz5t
wQy10Es3YvwZJrQRz8TXHcA9dSi7uyVbA/IKgl3KcKZG6i3mP50zZ/g32vEMuJjRJaYqyfK9s3oK
YJDo5+waKLRTvoRK374QQ+FTRWNuWrAWUYDp5wX9Q1mCXzFPSwEtlog8hIwkKC6TOejuGuAs1u+W
uHyqasbq+WIRr201JsbIk6I0GyoCR5pZFsOonTijGlT5Qx1Dfg3gS3WzB4NbWl+1osm3+3oO06wE
T4TnSQUlhhAHqqk15tkYhfb8nq0b9chZZhPfoUnQY1o/ILcr0IeNZAFmoW+rAdtAneNtiYafaZNI
FaB2iOKZwu8WIiZ/GakV+FwSE7IZl6lGnhiXgRrzCyOGuO0qo4xmb9CM1vOjRWm/GfzwJm5j5CAb
7V+StFHb5wC/Jv9/1J1ZcyNHlqX/Spme29WxL2OteogIAATABQSZXPIljEwyY189PLZfPx9U6m4p
rVU1I5uXMZWpLJUJJBiIcL9+7nfOFUGqD2ajtpc0aw6ko7eO1q26nKCPsWiKmeILXpaAqSVOkrul
0iWHlV6ZDg+4VaBZuSG9FpvTqiYrv/6WLZyuAeQWt9I++2EUHcWAa3NgagbstiPTapr+IP1GeXc2
i0dCqejl60eR0o34mudTU2ytxKrFxNVtzZpZzE6f3VuU+zzLhu9a9ralNOo+09ayJy8YdJ+05sm1
lPeoo89ljH9B/x/e/d5SxVMrVCNOTULD5368HFRJLFi80gjdsSPXGNtc25f7tKLvxU1itea2dzn4
OBvmKKruiAMwsadwpYfUcNLNejdzI812Bu84tXSSrqmuPeeassiSD3WZF/3BTcyp2QvFrPSvpqbF
WuhcarataiqhgtI1JnHdaKRT3QslVcYaRwx96FMZ15tFVV5/m8kBo0tla+74uJZwgaGnSZo8mVnW
RMz0iRi+eY5s40dzkiz+NfMN8nE9iJXx3ZSs5BqW+6lNzIV6ihHXoe7Og7pamto3r3pU9mlXFs6q
PaEq2vYhK+gEhq1WAQBsMJ5qvRdxb65oWxdFTWy73jBUaDpVLgKeuRunlYtFr9EmHmOr6aDV3TYT
Ov0ep6bFswQlI9a8YOnm1o761LWtq2FW/nrVWrPQaiLdjEn5aHoJs9Ia5ev5ta33Uj7ZklT1Tzex
VHVNYZu529JOlf8wTbRmojLx8gR3IkDaKavr0jnGSVkXD5PHhTkuhlfIg6YYqXMz8lkNJpovq33K
lVslhznv/eILB70sHkNNUS13Ud54FbK1RUZbpoWKh7kVIdkfztJG9AFdz98W4ICXCGP3lQRDTeqh
7xOAWW0qWkFS7SnAei7s4OZtf2KfrhGegXFopVG7+cuDyWXHXOXbabF+oXsSz9uRJ3nrr6t7zSHa
EUdDxD6FnaORXmdc2niesdNyx2l3Re529vVaNlh0dWNphtcpUz6hFYUiOmQ7JO28pIE+ObZLj9MA
utI66Y2hg7Ahv1YjkfWnhtgFaWwvUa86msZsM9zd61d/zEO/mqYiWqr+MlFukM6t3cdWvbcwl09X
Xd0qM0rGpa2vDUlODRKpRr+1WXpXbTNEfD0QUtfFlh7lkEWll/gcO9tOtlRIZpWZb7PLFPljvCb5
fCaSwRrQ3tO4Xz/M2jaT97ZotHKvmVgd9xqqb3eDvbwfHksiqaltatuar3VLyOX70tl5e70siZAI
fLPhhatPORKgLyt6K5mUwH7dYN0orZJTOCwMDt33fIQ8UqthFCFsvEPP3LIujOrobX3w4NtyZDLw
F20qEnnTD6teH1zG3q2Xb9uN8Tr4w8JkeOla+TsynzCj3PZEKwlr5TwTypq7vdpQWRdskCykl2P+
1LfTnS/60QwXIfSeh8XreuwSrX25gn6LXEUl0dv+nXTHUuBLz9zsQ132xw9X4bMn3sBO9l3jL3qg
sd6VD2bfGwPPXmJX3RC0nsToj8TEoCg31TItMg1bgNeYSRffGqk7TFuWUbIQx7LOxs8hn9v5ulnd
yn7uZ+VYHF66XB2WxV3nZ8+t2vHukuFoXslKxUFF2E0XUI0mF7G8nUf2XBqYJ29ZfPcgU5wGtzRK
KjIYqI1XpK2uQLWyGVxp2cMbxtXOCzAWGdNmdtoC1a7v0jOYhE5FNDKU+ZxDNrIvMmOD7EZ/9GL/
yW01H1y71uhnjbs67rtmCDL8flbQeHAEZkjvu1efCEkJ4i2CjTa8oVasmQicgfI1D2xW2QENsWxw
ewSE1HPu3M7YQxkOVM+Wk77isF5UH6iJITbdrhoHO8vDqSM/nDpUc2Zbj3ozBeWI/k32A/G8wvZ2
dKrMIdQggmQgvKGLQ4KSzS8mrxbHcUqTdu+nF+034fg9t5c104rvGkP2G9SCVUEqi1js/y1WszYv
0iqvCOqe50hz8kYF65LadzSsahU5Mebvv0Yw/Zgs5CxWXTW1LDea/5Jbj864/WsM0AWw+x2Tapfm
SLuG9zWzs4dokdl/0ULz49C5hrRGP85cd8s2qSEi+aN2I1mt5b/w8P5JYBUtgz9+dKQwY4BIozMh
eP66tMmGYzWJhgxE2bcITsaYMxbA9TvjNEukWw5YudDCRsx8T//88l2oov+JNvoBLEto0cyZ6N1t
wzTTMspwhtwAD3Yh9RrtR3px3r9IGvgzmOoHFrTvJLeaaTpbAgE692FYmlhFbUKdG03sTKSTkkhS
UpXOS/0vrvCfQJY/phPl8GHsJoa9dTxmcgzEzmw6tOZ/8QP92bv/QJ+1TPSTburbkCPVe9HrT5PX
xn8NnNV+wEMp07uqTWJ7uzD2I0j7ZZ+p0vyLb/4DYTbo+lA3yrG3aNAbGqlZEOsoj//8hvqzq/ID
HhrPYzbYfuZsE01I9vQxDvSU3f+vvfsPT7tRtCZ0ENfFWCuyeQefKZNr8/DP3/xP7tAfo4mcXq+m
ds65XVLXNz4kmtIUas5iMFfIM6o2aBU09hVOIbv9S+P5zB/zbFIvmVxihOwt41DtZ6vr5W2uI6/+
8x/o18X1f3i6f0yzcfPFRBZKrG3l+SkKtF8vE80V/vlc9MF5sqi8+S+1pdfOLmvzx3zNHnXuNPsq
lplKOask6YbpjB/zaDK6ORhcSrJ/fLp//zb/r+SzOf3jc8i//we//ta0HPaTdPjhl39/bCr+9x+X
1/zXn/njK/6++2xu36pP+eMf+sNreN/f/t7obXj7wy821OXDcq8+++X8KVU5/Pr+fMLLn/w//c2/
ff76Lo9L+/nLT28fVVZHHHr67Nvw02+/tf/45SfoQtokF3fKv//+L/ntT1x+il9+ij7LNPufX/T5
JodffnLdn01yq3Tb8ajtL///09+mz19/x/kZAMNkuJ/uG8wQu0xhqpl8mv7yk+H9jAxhgsjoPvoF
esFPf5ON+u23LM3gVZpj6jrvaPz0nx/uD9/Rf39nf6tVdWqyepC//PRrgNZ/31L8cJ7hGr5l6Q4u
SxohPyznWW0Dp/m0RbIeJRtopaOhOybTSzoO4x2g4KMSvTjX5kBJTMO7PQK4QDTApxaUpHn5WhX9
+EZVle3jwmcgeOnY9HR9FSApDNsMYOx+drT5zNunFH9Te0oQeT85g7xPSsI7rj5D6HKUL6exmlPr
T/FjZ9Af5Swon83Gqt4aj2BsgagcyLgoTktjn4umHI8ERIJamc70ZOaOttHyNQ4SmjSRD3Dx0DT+
C/KaFeoTRGZddPPGEWLaaTUc4WwYWSRlS9G2dA9aZaYXULfBNTH453YWRaTU0D1YFRHaMqEWTyZG
kHv9YF9BsXQ7+h3TM5sryI0Rl99Rz+vr0UzSd8+pOuQJObyr2pOPuTIqUvtj6AjLwcdrjaabRXk1
C53+VKx/LXIkcGacK45Xnn896RAzIZHhDacA+h1fmQCSEQHj21YWgM5qr43u+oEWtxMAGR7TJuhH
+8YeGLwRLG7hPXmilMe00yvqDG9tRyzVDaE8v97k/68f9pvsG5Bo83348Wn/wwLx/9GSYDL9hgLh
z9eDLwOng7+d+rePT5n+fl347ZX/WBQ862ePxUUDwHEc3zcuSP1vi4L7s+abGFB86x9rgvFfi4Kp
/WyxfBge5RXrkn2xtv3nomD+DMOi8Urft35dMP5vFoU/bpwuma50FZkI5Tgai4Nu8hF+X4sP9UA7
SdnjjlgnxBHVL3d1g/2H8OSsfxf+WhwnzSeE63cX6re16fdrkc5d/Yfy9fI3W5aj68C7nm44oHl/
/JtZDgqgq3HcoZrGW+Z22e1bZdD8CWhWWGAFrV6k4AmTeimRYNfNbDVtEXouVsUwRv93dlqJBBtK
Wo6vcRdnIDN6PQfEKiYDyfdmF2oIW2lYVLFUV5Oh133YKZ2uAFl3Jtx04y3v5tQF5gCOvzNM032t
rGp+WxrDf6q0nDnEmjGO94u89GmKwcmOqJk0laga2zwcdUO91JabgTjZI6R4dbSyJkP1pZ+8OqFc
63dGByHhmmO0NnoTybj5NuKvIqJxyu99hhg8+6vDdJ5Y5Nd91eoXd7eFZC0SJ/4iRnCGzZqIZr94
xhzW8fLpAonvWMK28Zgb+8GY82ia0pOXKnc7ztXK2aMpQqHXT4yDH0OKo56f1ngYPeEGmW+clwpU
3M5Lzv5VgxPeN627up0ij+ZFyPBREF1oz3DqO/uS/VWCBWo1Ynuf0z4y3lrG5AWJbx01W0YypZme
mEzQisstkgWwfryydJnIx4CUobQ5n8i0gaGJ5XQ3IYxea6od9mvc90FcSrUdGkWWOfIqaBZynkoQ
xgamoW4KzzQjOSOiD3ai9gaK2Ra2yd5bmgvvSqdjo/dKHWJNZjtzSo0QGGINlV0bV0Wcq23cJtUh
rQpn59skwvTrgvNg6gWua4sNR+pJua9rYX20+phcoZyIyBWOuKVhWO/1psvOy1rKIoJesqIEdZU1
eI5BVvJcM4FYPMixyPJcuGVk2xQA0LTk2+I6BdjgavK9Z+nqvibK8m7cJdPf69GoPgZ3yd3QQ1cy
A3IW1DlpimttFk0Zgcxnt7nhd/th6Y6AUeJQmW17SDH9Pleew3jfhAnOAPorpkU60FO2htJPhRNo
WuMA7yVOc2IoRIn4x6QCuilNUUdGZdi3nNZWLZx1s7wuZaXvZlqX1a4QqfdQ2aKnW1ZZWtQ59Wps
bKEPGiSB491oKBlTILtlvDcEkIEFqpIckqRd0Ws0pExAGYjb2CjW2841aUF01MZnaAqNznWGwOR0
SXWNDcqgk0DqHly+xzwbAmgem56hmoFHk2zhYoJNBOZiTSju4Np3ZtWMT37S2ZeBTy5ADakUMGLC
6qeNZ09Jd1iIq/xsOs7caIT6U2GmHY3QSre+184UY9KD+ugBbzoqeAQSW5wvVMrW8bv1iPCWF+jZ
Rm+GdafhzjHLPH1URlYDVXTi2LeavgXlbs3QTjL3rFa7nvh8ldyWq7iL6YQ7SYGdOb3Wx3zXaoJc
veUi341GeTWmvnnnWEATDMa8vqRwUSQ4xbU/kM+86jh1DCixqAJauMrb7rZ2VnmidfORFroT9Lhd
wngokystd9ub2nVplZHuunWxYmyTys1OKZ3NHVC4d4QbMzbMYGjewfjgiUmSu9WWPMmiaomn61gW
8/cKhdkKEFqzo4+LNuUG9ow4XOuFDJZ+sfV3N5+yQ2mo8ui77t3sVmDgNPAGMyJaUDqfsKNYmmAk
AEe9WlQ8l+JlqBJKdHogtaPbX+i5uFtZj+qePrbW0eiLvQhpbDzAtn22Zsf6IRvL2qZ9G0e+sbgo
61ZokyCAnDmD4U1Vku1p7FQnoaEdMpyEbEINP9rZLa3CfBzF2tMZWophD4Q9fhtEpW4lZWWxSRvO
wjNHCdwMYxouQwNTn5szpKUdo52KMXn3RhrSora9K9Ob+cFsV8OUO3E1KA+/ePQ5jjbfY1DNE+/A
6Kt9MhW3Y2zhMUriK1UC0jeVfRjK1L1pDSc9cBz/zu6U3daNz2CAvkvywOFOkfvcLOCj465INv26
akuQgfLWkVi6/iMTC9gFOJB27Tq1jAMjzoknSXuRz4Fnj8nNnI7nbEmK5yHraRu6pveppbra0W4n
9dXngdnZ3eiNV1gNcmszjqN3S1xL9eTyPYXjrPdXUJn1hxod6yTnLn4HetKtBwlEosJhraFsmgHU
+cK09XnUUh00gdCTflO0/XqD1mmGudLeaaU3W8iVdVca+niEuSKHpH4Rs0K2xp1qzOT4FKYbTSPn
l11WKdkFVuth5qMPPTxOhWGlCBW5detKd5o3i9MbQTlO3Wnx6vvYRFNNFZkDsq3ECdolvp0JzuRN
4zAjd0yTfRbpnHQjg1QpHOz7SnfzzeRZ/RG3XSjsHkCiyBJ+hPQGre8DgPYbOIq1n6RLqaAZiDAE
VIZi7owrIWIwvgT7iWGU161XzptV9fbOG/GAxYlBalia8CXDOh9zO3liRE2ygS7gBognlufEpEUw
kLUeVmJNzxWe902TZ1sxxWTrOfp2ICD9Op05gJZi0FGvUeTnxBhCyL7hBkjQDC6traCZmW60yM6A
HGMUauvSJOIbmjbUgmaIjKtF47x+icuRC1k15LI4XNiyq+ObxmN4SSzbL5Odike/qfurwbfVpdRw
g9zph12DcWXHCgQuYbe4uIoed48yOMAxGunKyZn2leb+SYqFxxem4G7me4f9lgOczzhbO0ES9qaY
3WTXe8USmGQu8sBnln2kXJCvmXf5UtHQ7K2SmTw5WQtSqA/SA7mMp1ff1cqzC7dz1Pyy+E7Tz9kL
tpy9Djn3nLdYGZQBzrmdbK3pQ1rTdZS4Wvwdi4C6cuzFC7GeMACAbTbeidHDs9JkenqCXWLnLJJR
OziJNe9mIzffcB9Bh2rGfFf5QzEFoq1h02JlOAcMVpCS45hXBxis7CHxdfuoeaP+uHR5/FnKeB2D
tvaqHQBIVrAw6fE+HzT7ABB+Sb2ac3+TmCJD1Z8l7spkGZNdo3nFrtIM/cm0PIwFUBC4zJYZvtuA
2VdFrY24FnwC/8e0rk5kvYhHgzG9V1kql2M+5+vF1jm+0OWoME4tNcYXygeA91puDan8+jBoWuFv
7NRcHwvmXHyqnHZp1HpFce7xZp39tGnpMGdOGlHaMoKK0n6bx4V88pZGu43Tuj6ksa7tFuMycXxd
Lr4E7oPkJbM6K6oqrTzCW86PI7PVr0a6O/fCNweqSSc+mbLxbkrd049D7bkvopyKEGmzeWHQEkYd
6ANnSG57L3euDS8R66bDYcD48cKqqNxTTSIIaHpAyGx2beEBDACamD0tyAIKpjibQwzXMKJKzloZ
lJwbsBPacXUL25Tu/LLuaLrUFIwMBjg7gyCqtuUT1PinviCMjUWAqmI+xvEEIb4K4nlObBHsbypx
x4UFTHeiSno4R0pgQ3+tcciZNRi8Y3W3qrDy0C39N47ZOj5RokIyr152iPbOtuva9IOipdwIp8VL
lawlJhqFtL2r6Mft226Urzy061n4kmrTnqHw6TRHntAMbK9egZEHl6VTmcmpmXvjdsK/NL81pPV2
98vMFJAHcl4TnGftmsecRDjghTHe3ykY6n6OQ8sYAX3o3gkvcABYdjhQ8nNlTckjaZjZ91UUxs5f
nKTZrJOV7FSvyft2MfRXxYjMRzVPBth0b/gvak38dZNnWf2QVCL9mCcnP+DiNd86iwYGOEQG2zC1
znym82l99uQDHJIJ12pQZXN3XpgAf+WsROpSsEmdVc1G39510Bt10EtTPTt83W9F7FpfbAeq4tGr
LGe4jZvOMjcrpo16o0uP56fKYTzNJddDz04W1JoqAXDLlL5k+1bnJoxUInCYKCa5bZgG4ehBWfD0
WguOpqhhPzw2eg4ASoejvU16N00jZo4bsP+tS+MY98wSNGN7aXUq8xUfXbqrwZSeWt9QbwZHorCD
aTr3tnWfiTFK5lJG5BV4x4FB9FHCfYjg4mhvuZtOX5Paz/cOdPoTY1PFi942trdxgOBfnWyZD+Mw
LdvR95o7YzWd+wTYIoHkmuMrKy833dIWeyrq9Ho2LPredGeuFJfwbXST8XpohHOy0rbfMjtypw+N
e5ch9h4Gx9AjjLb5ubaEdUMaGs5p2x80PezabAlmr4MldcslPjb92rPiuPFNknpfVZJ+gMnN96rV
4hqHMkhRYNKiD6Qz+t+Vh/PiklmzBUqgZzoZ6VPv+ep5ynlySlEPz3mZJFE8O+ZNrYrmkJVWdV80
1vfESrXQuIhjHeXsqaywz8x4jD8xeK7soJNxhanRIUnNHw5rAukBPDU9FReFTooivZWxnZ+g0MwN
vAPWxUpvh+sZGDXqBZ1OBkyl9+NFDzTbDAgQk097UpxJ37vFsO7Tqh5wxqEqSq/p70Z7gkR0u2el
zVkTzQCnlAcVeUUzY/DCflqMbaGG9S11cBoyEEcLi9KkBiIe+AW+zbhhqF1xLPEsv2RuF3+NM9Z8
O6FOY1sdz0vSLF8zarHbekjWzUqv4EbBajwMVHn4Q4Frtytd3APhcu1NTBv/yyhZ7922UV+zrK83
8TpkbwveE9grnyO1Xo/ujedyWMMiyNOVsauA2GYe8hx7ijfZY5gzAAa4syAhOc1vanOMn0pC8A52
G+dPouG+ktjHOQmOdeS1SxFVqamfXF8zDrE7TpEYVfk4L61xg9W4/m5hCO1ICKiNR/xaw61WsecF
dKjND9BzTliwyP1RS6QPKRDnyZXgRtM3JtYeHetAoZ5xgg1JhH8Ye/Hcwr95/qw/FPbSPrq9Id9y
kaKtuIXq6mj2uxpHQhm/TYNWMnA5YX05yqZ3Tiur39Pa14VzneNqxe7oVFa/zQsvfkuGifOVrTLz
fXRq56khMCAsXLd5m3GPREasuc+Ng0hjV0NzzUQLTkoTawcfKK8inOflNhtd60xPXd/oTm9fcSXl
Xa/L8YbsBKiBSo1HfSRWWRpevMEgWV4tyly2ayqba+mxYEDAtC+9q2XbpKjE2S4LO8xhvAPdDQeW
+Casm6b+aLDlzLfw1ql9JaBYcEH6y0LTP9Gfak4badAWc/YdDwEMSK8tmyVfZieI1ylJg6ZelueC
M2SEhxnR2M0EHkVc3NQEVsyB2kilVW2pAvrrRRvTV8PP9Ec3r7mBGMLGZxCyOS8NhAZCUFI/WVX3
XRbAbbhXlhrTYrx8b6hB96ktWIZiEtXTqmsiexRi58zZe5EgbGHKY5DY8lbO9hINbM3hhIU+nNJc
uxRjTywyzWHp5QMjnYxdojJxTPLB49sET1d+aUcC91qh8FanyjsPmbQYHB+DUyUW/nATxAUzb1zs
bbzhx8mqnT2NYG4Hgeh3YGgQJGOZmpdtqtoWzdBFvlsGbFWSJ02sx1kt3k2WLGmE6NHvdD/W3lNu
n/dWh10KirqpeH3ZHZ1Us28w9ddb/LTDGUv+aVlTfcfePJ2LWNQ15J7Zh0rY0GgC/gEMpb+zDe3u
ogm9Yha32gB4UTejQtT5HZVdBT3DenWTup6D2iXtNAmYHJeEKufgGbjzaqG/rUNkzmn5pJFX7AT4
VZx7SoPSwm9ZxHfYIrRgmFxyRmC8MFubWWRKTQu8eOG5LGM/GDC+x9uBbNKaTa/pj1aPlhhayoif
uwT0CmpAvtLz0whzUIUMnBR0S4LW3puZ6nBSEC/adF18SukP3WitqBHO/MY9KnpNV2ZT5AcjW+Sx
HbT2mFmZdybXp93Wk4OSZ+DdebmEot4hrslhY5uSkgZWp9h0o6CLuFptvkms5Zu/dms0MJUTiNHQ
PsSaFPsxXuMHprnFAWETBi7hdjUCZ/WKbZKrBMRbW+98ifqWGqCkgZ5X3s1cDO39KmaMZ7Cb/JYw
6ytSatY3rGLuobXb/ItjE8zB4s3wP8PEfNgiXukBD7W840xg4AOBCIw0baTmcq0rU7KZDcx+IF1v
5rinkyRhiC/eMEpI0qkB0awuVHWbzriqyvnejY0y7BZP7Jky3R4E2Q1AVHX3VQMojUTS0Ayi0cJi
LK84ru8KveruRq0Ztn3hoSquMxspv7T3g+VV1+XsTlu8260b1WlOsgaO2GFjmSnPeDMiNzgMjtup
out1Nh5jvNUBlp8wdulYt2qCO9SSpwHK1ZrgVsFk4gIack6esvaxgIbWthmJGEu0umNebwXgZHMc
09RAkm0JEQP2Lbgh8V2I5zq35MHT0hztmSK6CFOo1zO9tj47NiRIP6TueiGtfYHYu9qOPUV5l6nv
uQtNv6rJ+Ur4g3P2cODrW7cuRbfJ6c2VW9vEogjPlfp9UDJEWIXK98yz9CxK5MnPjDEocIM/K8vM
30ehLSv+10mz9rPsY+ewIvU/MgACD5EZTzuBqfFuVmaWBIndyXva2cBwOGW8UzshxJmjxdSKYni1
seFGsUe3Udd9/6tozHTbLnMKneqaB0kD/ymXOTBb7c2wv05qbMhpKBFShj1XYd2QlTHfOqB12NQb
v3kYhhEmKl6IFnMd++ARo3IyGcjRRzmkx3WiVgCHoTO9D1QDepdJbfgFGB2tAzETphPhaeqv0JA7
7FNJM79kdCNtDiPGckOSs7tR6X3WukpFSe34j8UQ19cJ0QlW4fRFhDN6vokNdoIrbPxtFWRrOrx7
aS7hGZdZyWBuqnEMUJ3te681gejbaSn9KHMXJhIPJkptNDbM/Y1MbJpbthHgecsf7k3w+2eE8+ke
y2K9kCNT7rLakrtBtlBkBWw1zUxrk3lMddw2mbFgZLDzO3rqGIGayXO+Dvg9XrPZKY+D0MdTT5RJ
hwSpp9axwy2o8RWU/Dv1dPuW4B8mBQyuGF+WdYBtcCiuSWWZ852WZvPdDA/d42BiIGBYcCHuiRxZ
RZi0RvIRE1erwszS9YckRugNskqrHnL8kptZxByggUJttlO85Y6fcpCamUxz2ze6PHdJo52Nyazv
MAjUebDEWfe6zl5266ywhsHYec6NJsXFjVkzFfKKiDr9i5P6BuC37yRh1WUafWeF/hl4eeUeiPiK
v2VFtb61Pg/PZkop2HD+MYk0Gte0jhycDEwf7MfymbttxH9SZuwEqJ7znSSj9dskhssCx0NkMx76
2XVNY4+Zbb3RjJpZlCmhHnA/+NyQs0Mlfe1DWqpPSYxh5wP2FF8ckbV0xXv3MCd5d21NAzOXzVR9
x/Oe7Rxu2y6YmD7gBrSA508Hl21EqlLEGaLEee+Qeg5A7R5s1u1odJvywZoJjREGHOhaLOqjzjuz
DVdwvR1+pPoqx9xCjZZU3ZveapKRKMptzhyRUL/bWn4pRtO796jOvq2t6z6Q38i/etYhmYzdS8IU
KI548UK7I3OlOAyFNm0U1/ChnuTwjR2o8gLsPv6jWHUzDpklZ2SbRqYnVbny3DSFTfeAtYWReKDs
R5/cm1NluuWx1XkRIXoZgQ2Oe3LmGjVBWyr1dUVWu2zIo3HjKSDc2OVUEiT1VJ6LFCwzJErFaB/i
uFnv54IWW0pxc61pmXNPc6veM4wsPUvDbkOjmG1ipjqOGlbTb/peJ2QsneK7alycAy9L7ni6xfvM
/Dh85s1LGo/FRs+a+Y0js3er3HU9LXP10el2VBWXHIm08UIj95cbh0ktD9lkTru+cZswT/2HJZPG
pnBKm50R6XI/SM3OA5NIjk1uaM4FqqeucFwenqUdIqvkuQ56IaftyPGVDo1C4RBZFe8Hyvavbto4
p1jTSMuxzLk/WxT0nARKW4wBIVBETcw4x7PRNitS/BP5mhRzf0139RsWO6MI2kHadyl2ppsJwOJ+
Rs74WrueZeOWjBPMlYr2Taq4myYtuWJVjS8wiUd0FJpC0Svje1vH+MUk8fV1SNCUyEJk916PCmx5
VYj5Ozkq4dbPZsKWhZ2bkiVF4Sx0Y8oCi25LEyi9faKfOuwrru8m7ZjLPqf4ADQXL5+3aOSNg7pY
7KbJTNNqGKqvjhnLG3qHalM6i/d9lLU8TqIo0YJ171WDT+4x6pYkkICO+wcV2xSybk7fylwVJxiD
UKajhC7fGVVnRh7dHOTe1n5rbau2wrQcxD4mRCew0EgIOEPHuBlmm0XOd7t2Zl5w+mDX9HyYjzY9
EkRufTTTMr9n/5u9M1ty29iy9hPlCSTGxC1nFotkzarSDUJSSZiBxJQYnr4/2v/QVp+2o+/7xmHJ
rgEgkJl777W+xbH1pZkG9L5+fkNggDEb7oEUKOj1zjR9bXLmlytWhfiNFilHk6WkxluZjMXYDAr5
R5n3DhtN3ifnUVjWd4RaqtyOOurppMxsXHMV+mTMBzgfe0cAsArbCfm7Y46z18fsXFVcH9vO0y7S
S7vC8R4V85dG5TZzmyTc2fj+0IPhnd1iFKujdR1hBNj0QbqchzRi9YY0lN8Fod8BYsHwgP5+Dn5g
xE/p5VlM/Fb5VLNb2amOxEqGs3fRZZqguO6dvOcxZxfDTuZnBm/wgBs/nCZ+TJ67MZIzlDfwJFz5
WpiWOYpd5afJBKhr4E6II032Mth4kCn4C7gKEAyG1H5lZovDf2QgCh618rxPsGnVRTNBfWTz4uwC
vGBYRR5b+7G3yhvgzV6md/rN9rbNM4Jhb9VVqfplN8ThBL2H+eB2xBa4mdLCOisIVp+5W982sSLc
4e3EL+fKwUQ7DxUBDpmwPC2lJe+mqpkus8XEG7EvTfIyweuGSWWrlC95sww8uWx8RH394CTdSHXd
vQ8cwgE1VMVRiUpsoXp1G1wH5qfUXoZ1oE3J+2J1jpdZbYLAqu6F0fY6Mvzbknk9Touhs94t0aQX
iEj5OW9He1v3FuiMZjJduna8/j0Z9PLYGlPd13mjGKNLsXXtqDwWMrB+FNrAbdOqvS9Bt18jrF+4
A8gR2gzFuPzoYic5xDIMju1SjwfO67SJa/xHf0q4/1cb9A9yQRotzGKQrPz36qA9Nv32219Ehv/v
q/6PXND9lxsgBHN9mHW29Yea/E9lkK/+JUMonswR7JsC8BZb8H/lgu6/AkmznE3DVt5NI/T/lUHW
v6RkHEhCuG1zYib+4X8gF7zpcv+iFuQnqNAiGCKUdsAz9Vd9Tminxu8ofra9d4PfLAtNjcSmK/Kf
bsq/UQL9VcWOKDFEuYD0iJGIb3Ndv/2Yju5xNnKa3vpubr4aS6gdhvWYU1qfm32MrWT/9z/wj1Dp
v14YSiwvcIHsI6KS6jctdYgzB/hF5G8DOYXlCiNXkdA7SHCBV4FTbehYpc9qCDLwoeppQP6E+4av
+lrNTDmtJszuQJo4d5Lu6Bb1XnYXzsV4xn203Msp1/+Qi/GbEvjPO8RH7nqeF7JH/h71lAUin8cJ
TCMh6OXnaOZ83QWSf3L8BiAjIrViquADCFX1Z1tby+cwqfFtjjOCu4dbP3cY8tcKezHr/1L/+vvb
af/X50T5gQOkE32rwzP5m44Lq4OlOR35W/Z995wuktl36tXOJujG5DRnU4Agk076qeidaWsJDh59
bE9bfmd1uHGlvthzXF4p+05Sauo68TjF0itXERso0KXG5B8I7tSeWXz7UNR2/X2IJUM4oiGf/v5a
/shG+P3RUOzWCq0X0p3fke8qXXAEDY631UOR3M9eq9bjjV65mSB5341tOuTr0rG8rai78ROhSR3B
JaioIasStejkh+JxmKb+w0f7yV4qq/syF977JPNd13nnoAUmWQWpYQol4isUMXPs6wS9dpx9aK+h
8o2895CDwKUHV1RVN0BTyqR/phect4V/QepJDUH6nb7Jh8Dg2LAjdrTMQWQEAQeUWWFbwtZ1ZodM
PpXfxgvbjaNPnt9w6AENF68SVqMTJ/5xXmU2neBNzbDz/e/v5R8v7m/3kgOd5zqBhFyA9vGv6weo
JXz+3extZeSU1xpXNvyX0bpHHL2HB/KLbXW6kvIJqxV2ESL9oS3GX35TtN8Z2PRn4mkMhxJKeCiQ
RYE4qwF0WFVA50Tk6Ic6qbuDMV08nWJdzp/hMMpnmpVARAvkKdLJ43u9APlYF5o+3Rxb073Kh2zX
D771Dw8OK+vvi6XizbxtCSg2PV6F3y5WWezHt5egA15ziUsbCxy31j1qlvUHgZN+10hG/5Es2NQb
FZ8c7XFsY4KkDxLX7it+1flnO8bWj7//HP7N+qpui6zNJ+CjQf3N3FHEMHQLb/SQTdjg3Nr6V2Lm
o9vn0wYGwv8od+2PpUq5oW2HFqAUyZL+19tQsz+Mar5hwGYy7yywjre3OPsHyvjvylGu5i8/5TcX
T6Gy1O9uDIzcSdOfFqLk+3mo4PS45Mbu/v72obP9bRdUKkRqe9tRFfzS324fj2Smtd14W5ym9skR
5fKJYNO/d1uHXsXUsexW9RgiJres6iHEc7j5+1/g3zxZoYuIMABqhWjf/f2WitHTTeJ526IPzJsc
G/iL0RL8wy5s/64D9pTk4OB5iiXchljxm6mM8G2p5iLzt8ZrnzRtYgDC8z5DGjBhAwnT61Q5aywC
nzfJ+pAU4rrIIlqxn6hN5uDjD4ehgxPo1o+4ycd9EPc9dRZF+U2qAK5sq9MY9tGQHHFuM7N1wqUl
6ar5SbPmH8TFvz8fnlKe67JXojG+naucvz6Fi7vkzUDDZduw7SAGYfDmo93YLH4t/uHT+S+3LbTA
ZgBU8DnASE/99ngkC73mYBAhTV0/vovmXBwCazGnuK2KndNFw4FbHf7DD+Uo+Ptb7Vvo0wKOS6ys
gcfx7K+XONq9Z5cIKremGF88ytStE6t2H0bT+A6SCqOVnLoncEFHGFwfAc2vXcCg9FsWo4yj0Dhx
9sFCoAJmkP5Dp6mmWNxuzhCUbACkMV+kH5HdfdQGYZdFlx04YLci3cNeNUUPrmKcjl5u3FUbdNZD
iK8ZRhEQm3SmfSY8OBOpNVs7NDXeWdXRtIkRvGlbFLtgQnQXUqPivygfB3rOFK+x5gV6wtOwZtE/
5q5CrlMP18X/5urls7KW7lotpbehVozfu1oMV9Fk9m7MOibYSyZXJYxr2lZBti9gXVn8ucg+5kVI
gFNplazDqTOfdsGcyU1cKvSyd9yPKbUZ31nli9Z0RNV+4DrTLJY/GNsBtYUYgmAL9EIAOHdhluOR
T9bk+bZKQ32YCq9cozEtL26T5Q9y8qMB9BPRSAje2HPppvwE+KbOJW2xXSpjuYnSfIzWoTSgykef
dl7ELvWVuLBxm3bkrjPPWCOQevYYi29oUzOkqsjPgSwB3+6EFtd9jBLTrIN03k6OtQ3r6VDDTYHJ
6cAfw8yD53xyNxCAw1/z6Nzn4/DSmOFnxunyLbXhYaC5K7ewK7+USXPXlVO364be0LUGSdZkmfNo
ctBWq1nXJd+roF0eLiEi8eaxDJe3KR7U2eRMZXqNgjtBu1EwGaCNg6reXFvQkXtJXOBDT9TfZ9Xx
sQ2twkgdJfEvZfpwHy9RR4qj0o9doeR71ejiy5g6+yqD9b1Ls0k9QMfQjzR/aLpMsZWArLEb+tmZ
gdsTLzTDo3kANg/cvYFE8wIeTe81Cc0XoZv4AD9cPOUctC4D84x1ZtnWBpB3wE/29SVaxLDNx8na
IsuW30Qk22MNR/Bit7rZJHx6hyUr+8dkKL63Jpi/Z7crHC3gS21kHph87pf6xZJAtUHXXptoPkci
6PaZlY3HWub1DwKIkhcoa1h+HKIrvQEZi2pyeSeCghFb3/SbJWRwCuHGg5g0Jpe8qZeNpWe5BolQ
/VJWN+2Ecee7UrflFcXqz6TxPiqM6SGqdQhUzL/S6QuSyvrgxrA8sNQXnOkmKPtdshzVmAF7a+Mv
jBa/YLEaslUPE+N7Ucv+LVa5fyjDptyHzlxvdVTZayqfDvdBC2AjbP0DGvNi1woVMy/kl5KWzwS6
rcQZ/Qw9KBnxP+fVEyvsdGggph4RCqMx9Kt4D2UMzbH56XjxCdaLjwcspAFVWc60zmis720m6s9m
gqBnJiN2uaPUFTkjHdhaqGdnmL93yqufinb0r+BS9Ip3cNm48KuORek9LNpyHoek5DOxIfJs6MgM
dy4cGV6qPtkl4TgyuXLANNT6PsgM2jLHp908Jwj2oyV57R36O7mjl5Nlwbj3amijM7MG2kIdIzi/
Adklk+xbR/bbvQHXckmXqICHVI9nrPrlVgBl2iRFtsej9dEkCMJjP6s2rmDu3VvtJjcQvCdRAonO
aQHNYrJ/wBvGwK9IR2ow+W9S5MsPtiix1kWUdv7OKd03J2qAWToxcqmEuYQM8ivGC+wB0XySGDkG
B5Rdnr3giau4Yp0/okqU62JO7U9rmYonbTJO+mpc3H3W2fQV26XK0Ov619bGrw2cfjk0k/Mso2mN
FNReDUME5BGgb7WQ/wfVA4NCc0poeyO3/k4Ew23KYlyGGD5kTWE917mmCzWZc+WZCCZznTXgEnT3
3i+l3OhmrKKvMeWZWSXQSncoIkiI0Et76mUfM0Nz4Fbn8WVYINX39ijXUOUW4DkwgVaiaZk5piFq
SK+rXGT6LgzCMaI/59T7OsvyU+0I8yBkCh/Gqqr7hOQviHUIJVy/eUQ5jwyMwee31G1rFBIWwdFR
kL5FlXK3PSS0+zRqb7y0ut52oC8vlUmLfTipZZ/4OkFIKkjEVBajf5+ds7XnhvdChwcDf2at+4xy
kFnapovr8qgdL2Xp92hPt7l1LkaNkaVh8c7S9rGVvyCrOQzNxNy9qD4gNkIm+sEei/kJ14A6QQma
T8ESZCfLdeYtzKvoS7WE8zvUWHqTdiGfAJg1e8Al7IXwQPZuSyNfQQxda3rsOwZhATA/yzqmSVjf
ZU7MdpvMDxaZDJspR39IZ6ffWlztPUxP78Ss3LuPHLCbjDusF5sp3mOR9rdA+FHdY/LEkRhm8dmU
BFhaXWhwc2SfwBazl8QrLcZ5sXXgEd2SavtdlV6yq5CIzqsA/XuGbiIBOFVozv2MXecjzICtI9o7
PVw9K92WnV9dxwLwYqwn1a+l9qOtoDl+dhq/fuqX1Pv00qZ8D+zKW4P1e5tBYm3qxGL7a3qz926I
yhUiCsaPblgxS/dLxlINzh4HbZEbgFQBkNetA5wsz8hRXYuDaRGaXaC95Ng4gUZs48LFxjO/WdyS
Bz/qW6E3U+W7xywmLqFS1hfl9sGD4utRfQrxiBawOC9p8+l3ttwS6Ef6BMTf6hn88QW68yHoMJuo
9i4mBfEB1qu/mWaT459KsqNxuM8xyK114yC0oB117mK9NXEEOLmNdm1UjpoGAbkRSLDC60jMyrXv
u/iVEhM5BHNIuYPQ4yeroDPtBW9x9Ba0gXwqy9462/2o75w4ns7TNHWfnZdaJfPRJHkZwag9CMv1
fkLoDn+oNKnu8hQfmZ3wdTIiY65FYyVXKYe+HUI9B9fW5Mzf7LAL7kvTzQJLV11t2zConnQVVMek
yczPYpz8AVOF0CfUh2bf1dpBlyhT+IsRZ5IMeKtCsMl+bWj/1Ai/mI2SF+myVQ5N9OJqOfDhI45Y
dXg99nPjeAXnzMbXgDTgNtPcL95qL5zQZxFos2m7okcdwow12maDk/hk6GThBekNyOtcjBuse1Bo
MMN4H3HDFkTsTfGBeCHA8SXETFABTotxLMNzWDSaXx6bdcl5JgMpqUVD4EkjluuEe4sjU9vpq56T
7pwZNLf+8t0Nsi8DjoldQqzHXRtHmMSGBWmtzQu9lNBukxytgLPUWybHFQNnthvLDgJOt+3S3FpE
oG9KiN26UMO97bSSKKAh2QUgd+4QgVa31JEIvk4y7qISKhAA8x27K4gm7E/lClZSdhJTqt+qaTkN
0ScEvic12i+tMt9kkxzVHH/18u49sV33UMaifGyAER46q0JhZJXBfWFU3m+KOsViZ8muXdWYtS+l
pdtNQOLvoSwEIO+gsDknKQ+wntf2z6LL842sldPh5bCHS16lyKs7AP/I9CqU1fwKw0MTefFjEU7P
EfP7Q+1W1QfwzgVD0Wg5B1pL40+Tgb5cyqDZz1NNOITWwQH2fIxWg23vE6wX+vtSYuN2/QiksaP3
vMkKIURbPypk0QdjyfijqvFStHJAiFvHhCvF4Z1T5frRz2m4MK6CvsXIRB8DLFpvzF7YdJQyDmrI
mHmwXy/UrBbeIHBafvqLr6m2BRkDetPMAukXx5jERbPOpDsfFUi0LO6uDI3SZOvSat22dljeGzcR
aPN8cqsYLQb7jKE2S65bOxDibTC+XaiexRRQMAQ0DV/xv9cfFOzWiRZFjZHCDnm5h3AvYsHQN1oe
wU2j4Smrz56m425yeusb7zD6FmeMDvmglgdhLCSuQQhcdBra+uhUSpytxImylTWB4S2gUF5bDh84
BXKSeEh52w+RSjep48pTGSsmctadXXZ4w4Y4RbnRJM+uEfXz4sHERE0yP6Zg9ijqQv8R47L1NfGK
8GnIbftsB0gi+Zbxj9tS+LWM6+R5GMvG4y9zeWozBt6AbcLXYOn7lyAP83Az9OkPFpbikphxeh2t
Oc1QtuT1TqIB/gouqeEakvyQxGq5L/o0vsglbh5NO9V3daado46H/pLKsl5hF4i/pHqIrkhKKl4g
ei8jxqdTyYHtSxmm+ApaJIp7zjxaI2bDua/KKTw0JsCPQZchvdIZNG+4EubPSczlXR2aLlwhRese
0UQEtFOWdj5UnNdOftH7P0fZ2De8N0lqDo/qIyTBuUK3Ndr20Quoj8HdCnnIW5qyqyodi12TqeqQ
VGP2pevK9qPJXAtFrcXgYFU3i4X/Px6z10GSGG6rWW5d4hoBDZclhY2KS+u+SUxyEYxgtxIW6sFE
2JmEI5nwouh6YJvMdpArCc9iI45REKn5DWNv9SpSQSgjcuENkjyMfE3VX/LgJnxDIrJSBlKw5hIE
jC9d/eKPrr8e3YKjZT4rMoFD0TDrmGLlPYkEqyCJUJxCMHGi8UNU8Cp7ScPUsjjf8Z8bZo3RtDWL
sa/SlKQu4AmhkmqF+Qa1L/uARV6120h6/Y0oiq7tyUmSfl80DofdP9GHNcDKVRvPT1woLXTdToKi
qnT2bOrzfgr88pA7wnLeyijqfhk7Kyit6RxWd7bLcHlNYeCNp3AGc4p8WQbzppgZmm44SQtx/ZOh
KGeyQraT570P5VQSEoaArVic8JCKtJlXpanRtnLCz2redk8jiyKR7do3Y8NSsCzDtIryNEx2ZQV/
C70hh9tgUXo7d+1s39Peu9EXU49BlaqzZeWNjThOjVfDXgq7VzQZUMBu0qSxgdnQCTX9WnS4wD1E
yHO3iLr87oEX33WabIb1zA6L4GU0zn2JOO+LjZjrF6Yq9E2LJz659OZjiJCloiXV/R1bIcvAf+Y6
gv+dL13tK40whOQK4xnrnm5YzHpuymLcGKfAfwqw+Jqa0LpAicy+UlpSLgZjo75nkLzprrNwf2mk
IqlHOeMp6xNFPOSIWBKxq6+xu4RoeLUbvTNS4r0yRUqhl9bPlYnUfdR6cb4Tyvle2DSgbvxIt3cZ
ntDP3N8gknlONsSy0AJbVYuIcTUGiNaHqd85lo5PZIHIKxR6QeOjHdpgNRg8UHO19Edc6vZWi7Tt
t6Vdt19gfphDxvb1Ri5F1LPCJ37Glcjurl2y/FvNcWk7jnV/4FWNUbQN8gFKrPDJPMHHBAIEfNq6
nxDsradpjjpI+kSzupNZzpmUFAZUw99tr1FHuqvxyTbTz06an20nXi1KgFWRkUblyGDaqNpxdxiV
xbr2quGt1XF8hzYyvIdMn/40ECKRltbpTCpYyM5QcrBeKWGTcde48gbFTLFIAZb+CfoXQzSztV8o
l8bux+1HoFDxR4wXU+Im3tbHEIRj2KSU9j7jTGSpeKRXWoIFJEbLX9VzRAm+vHltS7pevsBtxgFH
zp6CBDZFwYOBynnuWYM9LivapP1ETk6IoPRk+mY5tqMLIK+ZPyy+i78CIe9uKEzyPVKnCXF3rKZN
Oy9f1UAfLt7jqPsIWjVesX4770iXuXK24RX9xf7IjAtfUlU6b+xOa1ckDaTXCDGJAHOy5iyT4aXI
1eZG/cQZ15wAT5Ac0jf6cy4m2m3lAOFaU+uKidwspxn7aB1VqKVrQEvcQukdMY1RNWs2KzxTE1ty
n9vT3kd8iDGvKzZl65NjFw+2vnS2qHaW25KyGNixtWKlk8/oJfwftDKycDNmarLWmG6PC9LDMmqT
BziMqzIUXUENODjnCGtdn/Eczv6Mr0sp8gL5xHsQrrbL0FWNPLFJeKpN+I4lKXhLFt+/y+dWr3O1
SFqz5bTx2HvvMPA5Z2UGf6M4rrwbiVui9MpyzeFAb+3JjOsUhOzKDcPxPI146egliHkbOgnTuor6
6hHdP0+dGc0JC2D6I26R7egiapGKMEZDzVq9lkRnvcRoXJ+EiIM35vXkIwYQg9GnDg3SqxghdOFn
qODdqr/BY1KM77qwn/uZ3B17TiPSc3p9lAsSPOSpN3PNzbbd5KZao6PqV6E7lfAtOEvu2aYzDH+B
Na4FBj4Ujzf1vE8C4FeWUQCTviARBYjzyNEeKkR/ZAqtlpvvVZe7Lg2Gp14q61BwvK9ZTVUzUnbZ
aIZDbxSPaTFnlwYuOSLest8ndYsDd/T8+8mtmsOYYwZQDYBjz3TUQB2u0jbKNCld9QMSJ+dVTtGq
au2vae1/CyHqoA/GGEH0i2m2PkSFblO1/rqfi7OPmowcmsR6wu3lrJvKUXflPBbntMtfKsSlK1mY
5FcjbfkctAid8UpFR/xzy1Y05jmyR+z9kT8+jeVo4RMnxHFiJwXUVN1oQsMT9oz42V/Kcg+Wyt/Z
JV1mGrrOeazcYe9hNsRJW1crhiEfg2oxzsYFmRAofUCFBPsBIglE6P5XT7XyOYNxcLSY1jcI5Xry
yDkg6WaVIzc+WnaNCw3vzT5IwGgUADKxktAd2C7OkrzAj90BQtg6EFnJKiN/EQ78D7crl1M8js5V
DX3rkY3h4jcTrKQV/ae9G1nDriY8p0FcaKut7V0bCMxoVXNt1q0HwgM/hk4wEWWlhmtUnMjTI+dJ
bMOsuphUDB9l6H0OSsT7QUzyOFcIoHpV+I8opdbkTNzbS38Qmvqu7mP3BOfzSu+3ZnZwS+nMHmvh
YQzRy8jSRDlsj+VEO9/MJxpgrzDgaStYwZrBw9pOU5p9ZtBHB0V8jOKXWmIqPgnSTNcwRL8uS3wP
aAvhZZzWQECkHRO6pZXNdiCAQXuUQIuXHjEVdoBJQ4h+eDOZZHH0CE6ewLcNRwRYaDEHq9rxCFaR
pAVEt3LCI0fma6VC/1Sa3N04tU/RPky7mDUX7WOcmw18rO91WbnPUDEqItkTG5XdKGx/h92xPxTz
rF16LXVy54kUcAlgC++jNVLE3/BCEc6mWu1T94byBaQ9oaKjoduWz2ab897qNbX0dlFqJuM01LQy
2nR+jIQbPTcaCwHE3zrcB8o+kqG5iRHH3zWenTLANOM4H0ywpN+igFxTKl8eqTaVdfYiUqTXLhVp
En6L04iFWHpOsLaaREQnP6U+QdvoS3zfYZY/hjEooyPj7KxYzwPzEQa02X3hmWW95NMEJhVGxkx4
HnZd9kMfvfltPQ39Bn9y+pSNJn8mYY7VlnWj2jvZQk9zjKBDw8v2gw9dFcONzuN9/kFTbt1wKFfA
8IGFUdetbQCgO9JQ7DW0Vwlcw2O7Lyw+aopBQ7UYadQlhJ2+0yhuUeiOaPenPrjDLEAPH9MEYF+P
1aq4oKSEJKSbqwNmpyv1t8RCMMyc6woQhESn6uqI+IQ5QTy78gYtcuMqfvQ4kJx54hJ4RFlDRYy0
u4shPczys/Xg1MazrQ8FDjWmS3OzKrNwb8rwq4nNk9dM727UTf2KF5c3HoTMcYI1FKu437tVW19C
4HNrv+VBL1OajSBsbyIbOTyxd1fskDldsozssC1lAJVqL9wpJlXYlD8XA2K1dZ1ufUuAraqEvKAg
omZyjYXKBGDKWofd+AxQoH+NER7i93RoUhdec8kQMFhFfu4cEW2JjSUwSSU0Kbo6it6pF0rsnzJo
NgHBI0dTO/3XVGbkJrSkCpxAD1rYXrw84+CbMhZuejbdEvsQowqSaxBbZnF4mC05bCxKHZv1p6wv
VlF5z80YgvwZ6Z+mlmA44mUfXSzkfiZWb0VvdTqntddiG5yW9zmgaivXjLLobJBhk179tnwfR+k8
xgvS513XO/NXbaX5YeB0fMZU4RMmvEiaX4z1OBIt3rrO5tA6T4WAXxIE3Ab0YCLbl10cXR1aQz+o
TalCMG9fUpgRNCq4f9xJkQRyG3myeKWEw1yE3z0nFmYspXVyQ8G8oDP5a9k3h3bQI0SN8a3vIMcB
8X9lgLzXUgWHglnSdligJlnzjIHAaz163JkgbIORIutK+opnuEAxoqlMDA/aqvCt9le1pBfdBPmK
lA0ihNoNovl66xPSSfqCm68XldKBT/Q2saFQdShtiC6wNfEKc2lT46OGIVzSS7/bA/p5RI16PACh
bt+tKqS36rvN0cvs5rMiYhAdlM0DMqZtlK7ISDDPhScBUzWyz4Eu4Wr6g0YeJKp8tSefTKOBZl24
Jmlp4fcKwHZXfvyIov/SBwMnC6PTOyYnjBzssjhMbUg6cmsNOCLcclyeFlgaB4Rn4y1KRNkHlVsA
pwChMk4gCeo9Y1X8sUiMVxXimmdfR4Y+8aTTk7e4LGFeYB7ItAxXxo4o5GpbnIrUBpGumto9trZx
ARRhL74AnLLuDLEEBJIRCMk0LYGyjAz5BkzvLRvebc8tXwt7eMu7BSiRWtQ29U27H5XMONYRjRxo
tsEx8fagc5Zu5fm9faaCq1dJy1TRbJpmeaz0J0ml4idpCGLdBoO4z28n3nGx0yf0evXFCc0AZ6bI
HrJl8Q+8Ss5DSDvozcVlt1Wh8DaE5lbUe16/shf8M15OKoqbZaxbFfHE6JyA/QSGs3PUjCdW3Glt
OMthn5IjrKScuX8NJWeVN5H8QiqixlAcgPXNw4RIHscHdhSmZ1KFvR/oh4MI3BTo4jTPoOYMrkfK
wyhIY06GcUMPydnc2DS4YUX/3qaJ90zeNeMYLXmUYpDXIxldTx5SLbgNtzw5LIibjEWWBpVxjxbw
Jbop+ZxuVO5hrih1vscY3n9pIta62nIY6I8VyrbVTAIOMnQxEKFUVBgkdBzAzQnq5AexnfaHZ1R6
ne2ugSZD9qONUHFVEzYNMC40a5tEZ+5UgWujcuZTIhRbTlwbPp2xbtQ3MYoP8qN+xiZwzl7oPPBA
0a2nm7Quiz57SIQsh82QtbfKwU3K6YJjUhd7Mki6YV+zeCbrpO3Mgce64fjo0DIdS5UQK5fGrwHu
S7K2rdRYmzpE274W3FkkA0t4XxkZHbygbH/YMYgpeu5R4PRX0OjzsbKILyTJ0rQw0TLkM0mfRo8x
zaJnnq70S15p+T7aTrHxAzLliCSKdwTYLVe/qrFABgP1ZTQbxs6FtN5RXfav+WLTmFJlQzt8keqY
tDaYPOXHP8N4URtNesoWh9b83AD9u6/KqtyxWxRbP2i7O6DamnqUmBnGL/KPKnlYT07VnERG9WXH
RXHnzbE8EvMGc5Y9BD9pQew2htblQqMF8luSi295HPtvTsdBm+RA6Lwi6ejDwv+YUng6sve3hT0N
nwKK9hFuVSRXgT2CoiPb7B6L9fTAE1lwpHbbj9o32Q8nvCV4J/HyHAS2GVcz9Q4MdcbHKBg2dI1X
6Bv5Z06X5GWGpTXg+8D9srZM3z3Lqewubl433sVSlbnroQiiXRLjsPWotQ5NmjBBJ/HtYXYS8mWF
X8pDKJNiq/0ejYrUdPVg07xExrEviSYAw5YBTZvCHnmfefV03DHEVEvxmrQlEhKBhGrp6rOoxWtQ
iZ8O0s4XQgubJzLFo52op/R2qiWhx03TN4sYgOsM3+TFmXLzJMB2Acd5HGm17mw3G97z2u8ePOlM
7wI+3TZDiHJy6lSRQxEN7ywr7z5EhPMsbueDscwvTu7ap6rorH0Rw9uK4ZKtI8/kn8ZE3a4ZbWvd
lialVLFYHRBYHagNU6xQ2u7BKQauR/Bb1+xNq5aPMm7aedXPi/2jdG6ZV90No1VwTj7hMCFkw/Xp
y4KS33R+QF6NHkhMIyF4Ty2tWJoAQpTap+/j9/vWCYY7PUb4JX0p370QLBcNTROVqyYt5SPN1vSE
K9vBCd5nfNdg2tXayo8xAOQHHTTdtgxDuYFVABtN0tLIql+4Snb+xJ5RQM/fc4zG5Do7LjlwGZ74
6GYkbHy6xr6KP1SSfKJS+qnotq5hre3SSO5gIaXrpvMBvTX1zxzAH5Yusa/StliV4O90Prt4oQxW
0Ph+DOq3aWDZmZZgQ1oU40o5W8yNky2v7HqQ7sakgTwWRj/PnTygGFoHQAAOM468tTemKBD+g7oz
243jWLf0q5wH6BQiIyNyABrnouaBMylS5E2CFKXIeZ6fvr/Stvf2drcbbeBc9LkzbJEuVWVF/MNa
32IrBGpqYpHl94x78pZAeGkdFlGfMkcd+mS+UjXT79l22QjxKw+tPyU71Rn0yNUS00z2ffLmVXOz
s+BQXGNESh8l+68nXdAxlkvMKDwv7f3/WC5Ao4bV/daD//BuRZG6pgUWuwVuxL7AcfP1l57xv9ox
8t+IE0u/eEFHI8H7azPI5j1/L/7jvfj8j03c/xEV+68f/s0TIr9gt+Df8iVC5Md345+0WPEFRTpj
Phteq3IJw/6XJ0R84b94LIaBjNjSD3gtv9NixRfHpS/ATaLh8GEl+TuekOAi5v+jqBtpJYMBF2Cr
raA4iD/pDqsGEbYqbIXGLf7Ze+6NB0CtwgqdhNwMqJ62dMYTI4nwKTbyvlpcBoY0/sFbNPbZik72
HEbLc9q7+yrWO9uytgmeqObUjXo9ednWhMN1NIpnGsU9D+SuwqCfLM1BVIDZQrQS1dlu1m7v79yR
n62LK/YaB1Vnx9R17t1G32gX422t7lVo35AsBPzmYzLRbgZT5mf1o29Vj8sU4pVjhkr+bQq2Kus+
luxxNtjhMcrr6RIVPl57lX/soVdia7gp1PRcwSusuuLO1Uxx53mf5RwvqIFmGT4tc+Zv/FA9ta45
wHa9zUPSdYga4DjUzWEhJHnFBX7fGaANDKZxSAxvXRM8Cb8hW4O3jLINDKx7rC1m8Tkha5RWTMqu
LmShPzx5/wfHjX35kP63DxH5KFcPzxmK9X8Xj84YdttIWGRG1vXFyL5iBXFlxvpWz/OthzuV8vcy
TfZQabDN55P5v7+AX5rlf3sBqGahtApXu2jGHf0nawBmbb/EX4QKhJu5quIrv2928MBseDkonZG8
3CrSHFlnLndJvTyDKHOu8EJZx9yF2+utfpCm0uxAXrrrgQ3rzrPDfIs5+IrwT5hLabrmMLeOgqS1
fGnFWmkai30xziRFgYthdJttR4eBwATWgyEj7PzAOddTk6wiL0Qc2Mrv8xjOHMILYyrAsW2MjEHa
L04tz7Tn137Sn/Fc1icQpOb894/I/zea9l/+qctx/E8q//8fhH08Xgol9l+fkQ/v6Oq66L344/n4
20/9djj6X6TneoHCaUQR7qG2/s0vF3xRF+U6Xz37Qu3+g18Okja9XxAwePunle73s9H5IpTSnI2O
I3wb9fvfORv9i/Pu375XnNvQDV0aisBz4Mb8ycpWAqPAD9q1O4GFLNtb4URwITOUnmFJULpojAD0
rlocniiXkqQcmYDJBcOZleY3xNQgDcil8Vk+pc5uRM955dZBGq/zGcXYGjJFxRgNzw9imx6HyVWQ
Tzu2zQh40tojC3HGkzBCPISVbQz1K4I6FV73DPGbTYxD6BgFQPC3fZ/n1d6dk/R1iadp3FA5TpAi
Ucs0qxRCBSOIIjRXkz+4H05dM6j0gnE/AT67W1K2N7XlW9u8WtI1BGs0pHWfPgzo/L8PUljvMxmZ
+VeRhe4H3ufim8S33qxneSH85iwKop1RrfkcBPqajJOuXtVCDnpVjRDt9ywvp8dWMHmOZ93IK+HV
/Stz0XBTLfP06vg4uFdjIaobqDcNHuDCTvAlF91CpyQlG2e83iTguokBfTjkjCpWQ3Mp0Q0Ck9u8
sWt0zXYfvFZkhpp3UbDNXcXlzLFL8HRPEoFqmhsMzfrV72yUtN0YXYz6SBNPbetkHb906BdIIcHg
nP1hbot9CzPKRv4LugoLCiytvktQqCLn4i+QZsCHUGzkCAaK5MPp+pQbT1V3Wdyoz8i2p6/kYTNz
J2gTut441cWpShekSw5xi9uQZftz3hbZflj8kqx43XvshOa6xE2x9PoZEXb3XNdValhjBxR29aLK
B9sFNrHlFUzPw9hldwUmknuMykmzC+cuOERx1+6RkJpviZk8jYVex56/AYBMm+97/fJCiNjQnBga
2ASoxpNl7/BIzmBU1ZC863ag0g9KQEtn26uAEulGFHxmNvSAHOPlU1sPCA5CnwQ80iGSelhXZQvw
uZs9FhfB7LfPTJ5oCPArT6+J2/lXSRzgpIsDgqO3QxfmFQ8sl+sa1hz5qHYTF9zsednU+3BMLgHz
dU4whSBica8Ar121uZL3PYrGr2nC5jwAHcEysYCxsw6GfLmDsOBkF2kljAKy9w5x7Tp3drR0ONZF
1OyzttA5mjy/eC1kn549WNYWUih2hlUnPFC0uW/tmt7pTnE4I0sQE7dRg+5oGxSl+xqYBAJAjiSu
Xpc9pLtNNfTByL5GZju3ls3RJ8Uv2ZVN1O9EKZDDjYvlzAhdO/Og6MyZiUdJ8E2Mcf2SiMz/cAdf
nb1xABbADBTuxojvU5X+Sw9ODjKUM6rV3Nnq3dOxK26NMqW7ZcBJPxxMWX9bFwvenLTv1akZFNqN
hbC6ZOc0Vf9Nl1H7ESUG40TmkWNJ9zXRRcDy7p0DA0zC2Iwr+D+HYmB9ELLpjc7cdtQDJeu7Eck5
VoY1pscqYhPVG7GNU6e9tGrVeD0v0wXcW8mmgxVkh2DRQp+veSS62V+lIkjR9vHAvpfKit9TAHvh
QQZR9jnXvb1LAuNcFXzDl5WHXOd747rljYeccz8JsTyT+4GsW4aO+t70eYJJ0nPVeVog/dyYvhze
rAXxdYKoAvl6GVwxozNfeaJIlcwDnsoCV/yOy2R+Tfs5u6mNzxqzEfSTxNAZudfELUFg9YbvSaMm
zEywquZozgn8njDO9QkG/jMRd4N7ZTJ3eeSw0fkTAsjw3U8s/0YaHoid69XEk5oq/RbPDuYQv8N7
Si5jbr3UYkJZhzDjZz9GDAv9hKAilmp1xk7ZM6BNZPnZOXXgcLbHUux9FOH+syLjhBElyhlr1yPV
9C6LAb5mo9KAV7tiAYzZeDMqCAKKYBXYxC/bY4/6peebotq2YydJAPwZAfMbpJf8gEqEiCBZ9WDi
+gqN10AKQMs+Q0+a1QbHWc4Mr2YONlIQpqD/M4nJdEH7E5DGckCagO0ttSSG7WUejoxO9NHL6uVb
hzGqQtc/+lu7Qu5yaMJOxY+Cdabmz4bxMy31Ilihw/ULuO6P6SRZpqVqqTiOWDJ/Mr/ybhn1OG+X
QOg7OdvlzgHH8ZwZqEB3edSx2wZJwsSfNXjxhmxoOhBKMznrfqziTxdk1DqKm9LfWksdMAjFLuU9
Gasffk5eLPMNS/j6TTcKJmnXtkAiYCP2iBfyslvHEzMRhoRevmVjkzFOHmb4YHoJ7/pmWMSW3boh
9oGAVabvlu2+tK6ruLjT8CAWIRifBAScByH4+sCbztKS8mD6AXtI3gMQtP0B/wWovDDt+lei1kak
kHkJK1D9QutdvofWys+84koPjYNUidksiKmN49YvpWGyEF5IfdGF2VfGOjzHTtMDAm3V53Rh/JGO
A7gG9+C6G6p5o+b4LSUqaRXW3g8NJJBlq7W34wyrUWhy5PfUuAQgmkm9dL9gg2XFSbyKdItkF6XQ
6ByVq1MSKTE8VcfxF8pQWyW5EY7lEoBhspnMDeNlPYrGxm+m1RT5n+UvXKK0O/s5qnxrWVVQaUA3
ppk/3Sw8Pp9kJS/IjgZKHRVlecdIGUun6hLAjYFIDqlJrK28YB0xHg5n9ENgNfhCtBuIewnM+Exs
YaJ5Dyk7mB3mhGzDIiD9nvux/OnHYfeaoWbdTMvcflgQamhtXBVvRpEw2CZ8mS7WLbEWB2Nhb9Nf
1Erxi2AJqR2Ak4pizB10cHFJcMOFfynrmHlm7ZMGuM15YMwmr4j2oXm9QDWHxkzHKracm9oeFkjE
kwNdp8SE/U16UZocg8Vpf/g1VrocyRrPjl9lxzxvMa5wIgzeDuW2f7uwDpuJJW+C6xEl2ZXo5Dyv
O5uIr7xqnROaH4voBRQ+H4zlcNl0ASBTBMhdQkBpx/i8t/yF08JgF90D6c8vq4yeOtS42YJ9XuPK
Y2+cXNvoU/EOpY6HBGhCwpI37ANl6Y+r0pXtM0UUqR4pc4vvREE033oo/SfsOD4LA8bsQDrndILN
GyBaxmEnrLVna4a2rWMnt71nR9HKcXW3qVwrWjZ2igoCb02cH3Vj+wnHmcDJNzaX22/x4LqLSfD/
k1m+XOuMr+kav5BPhjGSgTFYymcGHp5HZkRcAmDxvG/JWPfJobAjxKRJZcqNb2TDMi3mV17FJeEb
MEJDcz0lLS4TR7bUL+RA3Msqdx/CtvGYkksXrTlGADTteS95TgZNUF3qZL3YDW2yQfUEMqyLWJdb
FKb38GNHNNm8PeswstkIcYzr53SkKubIIA8d1ySYv60fMWx/MTopf8gmZ8uTdjPHhRkv1VGCqqHa
h32XvVMokJsxTLO58quKgV9ZM1Jd0XGYfJvmsVeApUnktOKAnrsNo8vuOQ0V+0ugP91tjxLsXPTD
sOUr0PzIe20/jOkQtRu7CrL7aJmsr7IWwTPCNr2XQxD86HEofJ0tfzz7Wluvswhh0LG2Xu7HMulf
OX8pF1TdQX7M/ZY1aKFmGuJc+EdRmPkFiRuUzp475sVFMgLcKlV02SYTSbovu5jNkQqcrF2zBqpQ
hSBlY+Fj4RtZtTE+6QMK1vzkeoNdr8ohco7o/0ERshHS8YY8lXZeqSiq533ooEI9waFLz7pXc33s
cXzBkE6Q728QAQc/h2LIv7eNj3Y8G/tCblt6qWeFjBY6YzRODdgOojotqJCIvU+wh1CeOVZS4fta
RkSYAN9KvEMlBlLmsDLzS9DhAPSOUZGQtrlmh15hQyMnwf9WA6v1HzTApnYf8KRV4EYnW4PfD/t3
DSO3nbGE7caOBWQ3ZVB6pCrR8zAHPyIKkZctrwVXMnK7ChmPwwr5ZmFDoFdOiW1L+PpJcN+gngzn
8J7w4BoEM7Ns9KLpEhh5lSnXCveY9vpsm/tYd7BA42xYO/Dr6FRYnTdzvCqiuq6vo6WkPKrKuFcb
aVe5uukSpwhPGmZudIuCrXdv3Ria+iFp424DWK6477y0tq58TU3yNGdCLvugnrWza6clio+ayV/y
LTZVkx80INp5V6VEoL3lyyzegzhJ3VWF9CN8S11ThIBUje1RJHVOCMiMZU4Tr4a2pcxspjpe2xfV
WXSRRYg3xx0IIWg6PEXrOqwkdlk9B1dc3/V4SH0bpx+Z8c1Wsl89lEKm+w5tjaYMdKfHqOjy/IhA
OBGXiBFA5oirmHyXyhu99ZLbZQeoSbLdsKLB2nRmdPdzjqnmBBJh6ndV4nN34d/3wlNRkxMnV3En
UVxyM4BLtSw3a1+nlHK7qqc5v0aqIL21hTMfiS+STb86FaKYg0PoBxHrEJ170TOXlNse1dRhSO7F
OF4NIyM51rNxO+RfI4h9yQdz1qG8R/k+bwq3iolWIMmK1q51B2ZfQfCaUNxhs547AKQkqHiKuKR4
Xg628b2BTaZasq0fak+tFsvrdkgAkGctfmOd4zx9DeDDUJHblbmL0oo7UYXVm+VMQbTKBNO11jwk
Qy36TROnoOqyYCQ9aHEItUknfHEbJD/1WXY511SB5OfnElPrHYnhoDNixMAemUCU+ftscEcd29E2
FKxiaE81tuPH3q5dFnuwqGgvZ/RsTm2xF1XZAzlPnE2EzadnQwKEpGoB9ggLdNbuGo/E8AHTs8+o
3n0k1SViDjbAtMLZIW4bVrktTNFnIFesWSsfphYx8ca+nV0nk9eBKDD789PA9FUxkOuE5hufQ5lH
OCa7RpAdYQrvs+boj7dTLduvra3omFKi199J0CkIrMgspJIe0dgVKVXrDlCmu8qMRoW45Nq51Zlx
Huq4VHsiOPNjImexQFzm7XBHtznzXHZPvPPBAW+d4OdLDxTeuLTHikTCd4Mo5nme4+5lrg2uNjux
5WlAXXzswUzbazzDGWi/wUNJ2uS+wCNpi3wzDhofQlEnVnYDbqHmXHL8HLwZf7Hn2qTBmSjrGUFb
WjJbKvyQLJWKZh9FSogNiTQe5GZLnIhhM/ZAbDcskdx/DJf/q9c7/50Glyw6JBPqvx5cXr9HkL7a
qGve/zi6/O3n/jG69MUX2OxwUdxAo9Tmm//77NKTX1yN6FCAj4AhwSXyr72O/IK2hImiD3whYOnD
D/02u7T1F9Y5zC5dDhoXitXf2usw6/zz8PLX1BRUD1IQlyGq96eZvAQcNHXSIqSnq+RwwOkQcx0g
xQCfCUIq7Viadzk7Bejvw3JxsAwQPm0j7HNgeVaM6Cyhr4frWn7LyQ0NboZeXP5EwSwdo6eN8Xlx
jt6EMw1oRDgR9OAZpKJE32XVvW7i+MVCh2QesWqO5T3BCSQ1oAfo0jUuBfYnTeGGEoTmZZxJ5RT4
LOVdsrW4NpAjBTnC2lVAXg77f8D6yMZ1Ye5g+ts/7aRUsKFdCTIg7YNjzQX3IFNQ20SCcLdvwEcq
7NcMblJS6qrxCh1rPqx0Jlr+As146siF8TeNLofwJsxntJc44UT6AIXxG06H2d7j/ZgoYD15SYMP
XVYLMZ0nwoNGJVfc8TZBWX4b4WtJSdzZlENLFgmRUdGT8q3c3TWExQp2SXgfaYW4Y29bPCdbE0/y
q1u3zhX2mNnsME8P2QFz/piemqmij3RNy1T5smhB7tAGGbqLxFf3srNTaBJC9eA4dLTpEt+sRgiS
mNvorqj5o/vJNng8bOu7bjpQ/S0HR79JgxznQTC23YrEaXDwKotf+G3EQw+muQu15ZdHnVUjyTL0
SizioCI84GNfzHVhQqSEbtarYEU+GZ71AgbHtBthLCCTZeG5XGOybayT8fA3rQV2devQ6CB5QUow
9vueBG1oFM00B2vNNSk3/ij1XTFNNhp54IvFlS86wPZDAKaEurGyD7oLFAGqc5wGR6HSqDqnqNQR
ZbvgtbZM54qDxL3SMefGnb41C4PZTTc4VLOtQ07Zbk7TITsK5PLzNsoDzL6RV+E0UviVn9oosrID
4if1gW+5/gogEh+QaZrPsg3tCYPdSMyQyMOZoJOm6yaEwGWA5kv0R0OqEgPlxVuatbB8cFYWSvHT
JUDwowrsfjqgnYIGGk2mRR8WSD6xuTHlyRkZvq7iqkmvSDKO7pvYu/PIVPjatj2hel2I98j0dnTy
x9ETUCHy6sUvEvsBeVT7hpXcPQc6PQylZLyOeNuXj2EzoKLFJ9PJp7iBF7eyBZqXdQ954pHJ6vKZ
RzRcgxbNuM5gStq3DZoTkj/KVI5bCSVgQIFg8usgCRC0kcYJQFokQ/7aMVy5RQAj6k0TVIRZhUz3
UJ5rRz3Vc0SBLCQ+WCwcvtNtARhomvsi0vBMkVXjdrOMfe4dzoRVa3IFucymXB2jcsafkOTxG50t
wDhvJivItckcWtuk3mA2RoRM8yzCZ2vJwj0AdehsE+kNWWXh2GkiQh5CNb0EA1+7uk18clfqJn+d
M3OZvwRtd2tQkK4Zt5TngqL7qaVypzCaGfbEmFtPsVLOXRPoidyVwEkO/VAyA4ztDFsXKqj8UDMz
/GrnaXtu5/HixpVRsMUSmVG5TzFeO8+JhnAfzPW466WJPjD+YEZLUDMS1ovqlccjq5+Y3TpHBCPk
/qqsuAx1XJIQVei52Welo4YidWE6EIIreO5tU3yvEX4HuyFzJrPHNuZXcGY9g5V3HLaKSOebqC5B
3pI7C4zWlNn4WI0AEEgXvfBhoqxgydMEeW2fXKSRp4HMxX4/zY5N+MACz2+TOspFPBryrK61wHQ5
IPO/JcKyRDoVW2+2Cb3iq59A496ME18Uxu2B2IRWqfXG4xr0v+fW7FCXLc5eNyOPZ/SyxJb46PrM
3vqyTLYqTptd0EeAV1rftTjCcUGXNgXKGitVfXBVq/mOQufi2E9Nd6ohnRRPlOts4m3AQNtB1eFD
PltY7eeUd9SVozeA6rLjcZuhibwXPRFF1N6Sysz3tLLOjNmTd3cIy+FgYtGn18oJl7VvOHLWWGPy
bSVjSk6S4fo7eD3myfY55jaDmeyO8yLGEGfrmicx0PiIIC8G49dgJj6B88qOQ2JbiMfeLpVy77Op
tiSIDsxO67jHkbkBQ8ULkTqqHuJaIqPkbCA0M6piF9yERQVxvOSrwVHKY3dbcJoFa9uLp3PaxeLA
w7xYlIi2OULgrWJ01QEZBhKbHBkTtQ6YfSZMPYlneSlwUNxbQ4eciD5r+Z5CKMH/DUtKcz/0lwY3
xyq9hs62MLRVaXpocf8i9Izneoboi8cJlevlTWAXglMxzZM7QkRnCgRK/XfMN1x0flHQIxJUcs3y
c1QbIMlQolTK0Ypo1UF465n8ZnJLPKF+NDyPcxngkDKBsxOWtTyQvMKQycD8Hq7TYJmfGKv6Dd4s
9l+XjMQazBJajx/eqOYD5EL7JkRge/EHgwRExpSO9aoYzcLIZ6B3tuMpCm/xUkzzQaFkDsgZJDMM
Ey/5gJbTBK/ky+l7wHzn2kli4my6/KHHTny2afOjTVjYZMlyyG0Y7FqHBJTwyu+nj6TKhjXcf8Zj
ok0dBsY5yxcjF/+li3v8exUhGZGaSvYYEPUJ7BjSo5jomThjsHnGJnmk1+sv04nEbGBGEeCA1+kB
SLoHR9QTcj84FyGGIdMtQ9GyqmxzEZ2F5KhfwrzQfcNIWHu1TglUC5eTVZOhuxJGug8qs/L0LbI7
c+UO6YgHC9TLlIs+4Iy7NJTV6OAG4kVjl2YcvyKPmVTdyIxnKxoNayz61y1Uytm7yHq8m6G2GmKK
lflUoxu9klv3ZNlcrNCtDFgWb8CcE0/wqPPIFQulh1chv+QsuujqFjkcsZe5HzTaldjbRSat05Ak
R1vNTJ6a0L9Xkp5Zp7H9lLlO9QZwp0X4zIrwJ7v1YqQ2SGV+63YR3VaUjJa705Jls5x9vA3CHkva
f5VOH4Y1yydypHh4LsOxuMD07fKz1o5o7sdQQsMkHs4LTkSVme4qDmzeRmMC1iFqCKtPxzBmobyR
0XAMBVMVbucUMl1ml3lwKshkeqyFj3Cbljd/HIO2dI4wjfLlwWnqhwGZcckQth4uLLtxvp9hvuDN
WqJru5viA7MLhCfR1KBqjLiyuqzLq7Wnoqlcy5qwvhWFeHcXL010ZIqDFDaxYmQoGLEQLUQjhLKx
hFwzEXZdVtk2EJnhLqcG+cTIMX3VhRdte2+UG680gCXJjHq2LCKimcYKvzv67EEKlvEd2aQctMET
dnz12Q9kBQBcaIpbVqD1c48AZp1AKLFPTjpnV63EY7DOamO/SKHsZ2S/1k1LAvM+yAbD6AGHJeFZ
eLKzLamLzooIKhYMTlqp71yQDN491yd/2recly5s32VTE8BN9gujQiPT6meV1vWLHWvc6XYQeRZY
JgQKayueC1rY3jyNZXrxNLugXxER6cexJr/I50mu5TdS75jR1Es2fu8UrAVlERRjhzTx1OTvyKmZ
NszRY5JKJMjS4eRnPuQEp9pBHcJOhnH8VWpn6bzLs6JPbuISxe4mGC0s+5YisOQgK3ZSO/6JeYPg
LonWwka2sYvrvtq1Xu1MRO76HdttdsXrWBr5yMjLjklr4CqP5rR6aGZmKjz7C5r/Bdpeigir3xRL
39/FfqzWbJ6rs8haZycR0+3iTP1Q7mWOzBbdoW70E3yuSTtHLzmJhAM8IDLMSS9qqAgXR9jXlVP3
d2qcNlCmKtgQfbyt3Wg6iTzAhS3cdj20mDB7lsi7vl2wjUWZh/TXibS+qaegexjhx+6NlPG3ivcW
P9DFseu4RVpilg8sl1hJhMc4vSOHbfNgWa9R5/bWCVtYEax6J/e+js7gMotIlO2s82Yov7OtRsUW
ctHeGHVpzkqvRSjbBjBCyM4jILyMg4SPUC+vTkzWnuRVuOSyRCTd+bzf1UahjNsrp5neammIR4vt
VN3GkYOYAAQWQNUFfju2x+gUOuX0Iw/reediKT8y3V/iwxCU6pqmwQ9P7KfkRwKhZpPZtDPAKSP0
IRGZcs0vI9rbRIgcBN1CKcmnGLIyZ2m9DvjEOjLOnDTZ8mVmMD2SK/bB19e9atOMIBpSmLjd8Y2A
vo+irNoMEcnnFzs04ymd30pBMbQNiT6yT0Rzh+6OjljgtouthK6K9sZFjBYzUlWpfNMdF9h66Xr6
VwhLylxCDsicC93Anb82IWOpAzrAINmBB4w+h7rR0GJ6+5WA5gsRHmVhWnHMLxK/40r/UlCnXbkl
fIHAOA1DZSUJ7yvIM+7Rk+TSbd+UBTbEeIPeu3YTPTfICHzmr1WU7sKEDcvSdCXju5I0tk0bhBcy
i4HOfaFrsKoZDTbuQRrqGh0V061fMe5cIyAPPmPkho8OAKMoCBBG68QNSEJjJcTonJWWF7PEToV/
QvQ8rnxVF8cKts2dN9RiU7HfxwE+6yzbznHfPjThaK9YZ0J6iIu4/Q6ZwO12gQy65uB1BXsGO+o+
q24ZbhHtlfAfpWA7rUucBeywGEWrbkQLxOfwk73E8jBEXPBUo5Bb+8i9Z02kVnkUjtflgP3VA7m8
yvBVzFAsh0Oq3O8tuoI7ZtjeKpYFPpqILokNyr5NMirewXVeliX65HGbeI9JUkCQ8JkNLLVacMc4
PX3e74QKebLxgeZWdcp1ywsayurO5xrexV1j3qgpoJ1w+LmPKn0XEvFjzHNEoV+AtAJMt7VVqY+E
yhJ+ggZl3/h4QTg4N2XZOixvGWP2GViSUDTq6FTpYSl8EkPcPiUwdqqKXZI3zmMDZwrgmC8+CO4p
zoQajO99g6YKlWWe74JuFtMhw0ZgthyS4/eld5F3FCk6FqIc/Qtri6KLQSm2zmG06nedEnq1Baah
Ie+StYjvks0pa7l9kuAfq8KZdn+o0rvRd+YbVyssdhr+2dU4DVSF/tgtP+akTdn2U0Gutcr9Jya/
7tUsKzQaEODoiTPg21UqiFVSyY/Mmpp900F05DLBdtj2NpQF3V+3Lodo5yZlsq4crcN9XgYQxu15
X2c+CvYuIpDRqRh+pDitv1Lu1gwosPeup189x1Shm2p1+tPH4spGslwexjlZXmHfuA9FOcMFIWqq
XddS4QgrBMCkWHNcMrnZ6zI7jtJU+4gg21vSZdmfpxMpJVKXBcWOlaud05OVYbxOXw0Z/Wnvqfrb
iMnbs+cCxbT29EMWqA6MQzPdkzXJ4EhEuU+uUvqtzhzxLRQ58dA9ojSSZ6DIFORdVvoyPmvHTVWA
16Ki0XcwIl0UK3F8qgSMVmfuD87k3fiUeWv0G+o8a2lTSAXLBqxsvS0kTlf2YPFVg6tyO3AZQ90T
lHfEc15xUCVbvjL+S2ERQ7oyTV2vC4ddr7QNWyHEbyw4h+nJhZa3G9sSJGwd9PrWNwgjVyZx5+sx
sxBG9ZhDSgca7tyZ+oQBu5LnyU6qbss07TiHUftqJb540m4NUmmql/brwvJ+LU3qvNRTIvZengo+
1UUcKpfPvylMt/XaLDEnVnGUIWME7QR4MnXOknofU5G9uxZ/kakk+8ftlvzHMHvhnvOhfKhZ91EO
hdZN5hCnqMLxpUu4WHu46qwuMe8g/9bEc2bTQ1Rm3k0FBRZiLu0AJvCI9gYhgI7P0OCKoycaotk7
5458kXHdToQh47iZ71wFCHyyunlts0dA4Qy6ZLLKfTQl3dGdWKFgwVvcZ1fm+hX8yRqFEzcJCYxn
r+6q/Uy/sbVmCtubcNLzxxJnzlcyvsTPsemJZlwCfdcv8T5x9dLdVNacjtfRgPmQ3xUdSGX8XmPL
bLeW004HSu/5Z0Qa1l3aanmoBwAIjciBP4n0AoaY8RL6HRQukN0RldSijaQchra+ThN4+ICGxv5e
ODliBM2OPcpWf1/t/FQCkc7/57+pln9FV/xTw/yff7kx+KPS+T//O9lGsFDQywsMHn+9WjixWUiR
RH/+cbFg/+snf1sueF+Y8SjUx+icBVkIENH/IYz2nS9omxVjqt8F07/HiOgv0vcuUmWFZhZ/O/P+
32XR9pfAk0imOXtAgqNZ+juyaM++bA7+qPZ3ufgd6fuCX4epxfnTZkHkIiGidEZyYisGoSgq8CeR
XuJEkDh1jz0YCc5La2aRsaly425btak/rA2jUHvTthInRViB2hjFiB7O053edfS81/7Udzt7jLoH
wpqgzKI1WyeaACY20Fl8iCDEnnlB+SZXZOCMaAaRJWp/nK7cUjRnlCJFDGWWBCH8XEyCL503EsfG
84gZSvj6P9DIMoFa8hnlDTQohwy7Gl/0vvSixcFeGo84rYxG4O0niX8QAWjUQ4rC8mHodX2AMOfB
0puKb5r4DQQ5od1/8pcjKNJvw4zRvdM/eaD1yDu3QnDqWMbDPcB3L1lbI+kSKJ1zBzatO5C36dQe
ZQM9UImNO4xv4s5G7o3IVaG68KoF2FsaOpcDasL3kPikcx8SNj7ioMCaEVPcqNi7IAxcAjqiwnor
+zCgRoMhe1WGZfJe531MByjAZzZl6cXnCQzcQprW3BXr3PEaGoMGiQRj99D/ZsgTes3kZSXuks/5
QyJl/Rkpz7LWFjAKjJrxDMwGDBvbcHpNnNUBcyFdTenBtuR4Zy3WcJ84Tf7dySNmYWkSGcq/erT+
F3tnstw4kF3RX/EPwIFEAglgaRKcSZGapdogVFUS5hlIDF/vw7YdYXthh/eO3nR0DV2SwMTL++49
96Nr7NkIwFmQm7SxCd4MywlpCLajnMRIp6nSRMDLXyoKjIEi9WaPirsoaO93qvSPqk2cd7AC8s/F
xXmAc7kBARO6S7qjADCRKG4txvDUZfuDhcXwTwIc5lbUpQ6stmtu9WzUt1i37V72VfMU84bi6pSQ
fk7hQ49BDkl/Q2K5/jK7fnowdSqHNcKZta5qNzsabW9tKLThSjHVXdAlnq5Xy0zVfG831bZyxLyN
6W57d2cI0mZU+qhvWfc24dR4B0+OXV0uHmev6XkfRdgvz6KaplsZKdS1ftL0rfnjFbdxtqHAGNtc
3WSXAbYmdVg8nm4OciQUEDRwfHqktkuqiDv+SeNCs9UM0+NiDBEyWtiGR0EX+d4qaBIruQLuHKaP
txZ1FeySfFW0/HIPx3fU+WA69UlbfAzu8iQlgeOYPfka4EeCtWA9Dib+cS/pTk2IMT/sk/m1jpju
1DBMR9ljyKWeVK8bbqjYKuYWabOw+f5nVhjdhCOWR2lpL4AURZslN6odjG9uhTF7vB9vtPtH7KBW
kGJtel6icXkz0CL2uXvHnYxp4+qVZOB9y+PSerfhCb7R3Tb8DHGbvmFHO1BMMextUuzX1AwTXtdZ
r26zVTSfDYzEx7Kwxdfoh07FpOf6zzQ+QsaI88SkHnpw2C9ypqC9pTIlOTQvQSSV9TUuKWDJ2ujs
V8tqoqut8yxoR10QOUvdq9dK9SuNjY61khNGgVadRgh1w/1cgxNLiir/63ahz4TUmFS99oYzX1O3
BA+O77H+sZJGvN0fhBfJDukndsexZiFm5q9LY7qPczHdXGxNGp9lX7RrbPwjXydUIngKnviUMooN
+EFTyQ04z8MH+nsGistk9hROSfRdMM+wOcR09p75JcmGjqN5L1XGDSKVofzJmIZZC0J/j1ddZgGY
90thrVEcCKLkTvTUFlH5pVqbTz+wPog5OBlvtDJqC54IoQD8fdPZ4TIv1tFy51zWuBFYeN9pFTAF
LY9ev0XxDLTt3JALscyerYfdHhfTIcHd5q0SQSmGBTaO5zC0zvFw84TMcSZmfEhqrhYASXure4qs
nPqCaoLvDa+te05pvt0oBUTFTGHySJWHT1Fu258h1k68Okv4yxi7Z7MupjMWTtYttTmnjwDQs2Jf
jYBXdLdYtBDJaDjQsogwKIwZ64uYyeVkXn/JmyyG1UqLKRC7yX/wLYfJO4Uwzzcit/HRqS4a91bS
98+hmeQvMUDxX1bKVKx15J7AqJhQS9KRNZOvzlQHF8ckG4pozRavZk82+deCDljWeJNzzNLWaPmQ
6RKTJQEBeue6XhlbL2mADI/4GS98FNgVI6Y+Rk1KOr/X6jj7YfE1dY3/ZeRy2DU+6OfVKGX7V/S9
u52o23vRIvE2i03DlNfEHinmtv4D7nb88uv0bmeUTs99xCAdA4tubPcKKRH6KQZvWp/LHzoAW+p9
mTb2A2oFdGppzFwyOodSy6k6pyNxpqq5f0dnlB+ofU5FJfY8H+JYZ4+GaxsK871X1KjKGe9bD7Hv
wY85XjAuOYzf8ajHL0PmLAhjoCVPcT8PP1JDjLuKDMQIz52dad6ebnkJE5vm3AHyUVvMKW/2tmsf
S0zc/rqrMDLDa3Lp7+541ZVQFnl5aZU9dN0Ubd24qI7YnWGM0HNs/XWLMexWMD9GYuJSJuxU5/Fe
uIhxUrl58sY7G89ym9Q9yDif2AEoTOeU0xW985Xjv/oxAUXh4spekzKKKMu1hjuCJFwgd1Ny+QI6
Acxu03fpaWmANp9iOsbeSbSrKZicFkukUvjOyRcddTc2J3xE1hPmYOtocxnZhh1eW+EBhljA3N6W
suMb4nPornCC9e+O39D2Ay7k3aS5fJf3aC7d4uWwhbzyyQ8b++y2ktrQWXXqvbeIpZB2koxDToQt
+pC2tbokcZw85GGTvVe+UBcGtsbehU05kNvCbXD258H79AmSYXhQHyYB3d3MGiig/IjHObKXwG9r
+wUMWXaIicWxKETms0HrdO4rsZ+h3NTQdncxdI7PMjLHN4ujEwaq1dYnPxb+Ju4x0+N9tCb2+Hl8
hD85HGacqxu222oXhsaWJUxM73yaAo1PRv2L8Ap9wQk6zjqXbvbp3ftIYU1JjxSC6T1wO46toBGm
/g6xt2+GKV23DEYbs04wg8ruq0xqbz8i/62GPnNOovde7DkE9+LrZ+Hq+r2183ZHpIb9jquBgC8p
q/Mdpgf8J1Ue5ahF2uQCa050eulln4xEGDZUZSVP1uLr6TgY2B7ICdV9tOFmbX+wK5p/1/C5Eq6H
CffNMfc51dMi7Ib90qECryM8SGvwcG635scMpQkgFzjtoc4/CTONfBN91l2zxetzF6aWWC/xkN0A
2fJJxR0eBuTcjBvruJfcjNxbRD7wJTFTZPhKst0Y7HEIMMvAzqOU3fiuncJ86bNU7tN85tVbRe2W
Rg57nSdavow2nappul1sfntBu1lH8OsM+pmeZVSn1eTj9HHLuDgAQirX7jxFt87r68BQ4sEtEvGg
GJVXTWuOjyFL03O25GKbQbeNsbnzjoX8ZcFKdZvRDVjYWltWdemDmKi8jSDY4spEAi32BavhC8Rt
ZqOW68ybA+wKDyO9ajKw5tJQJ6BT/dsQtcoL5GRHb9AocNnAwnuqWaCkgRyYEreiKXPs1AaQnRU6
CU9nCy17nOf4hn4DbdOJ5llyiE3L0Wt189EpoV49GmvPKneRkzEbqjfMOM4jh51AX2zM+JMPsLll
wVIyQhvgx/nMlM/uMkWXOnNaTtS+YgWx1N7R4gv/8ZUmAMFaDqJWxrx5KGGlJ1C88EoCZgOnta+L
3tpKzDXc9fNalpyas8AJ3TkhnIjcQqlZzIKfUh9FZNyHzk02ricdC3adbXwB2O+eMeosct0zswc1
jJfrQmjjs3IJ6wUstMrL4LnrxmZBtQaiyogzAwq7ep3KPzt8Df0mZrleXBGlTYIDDQitwIltnK2+
EZIqEHrCBmSWMSG7qUbC5BPhF/tQW/576A5cdLQbEo3PXB7VdTE0XQUGyjYy9KwZG5NaxHvXGXa0
65Xpnfx5HOkPsaLklZaQYn4kAzgPWxtX10/XEnmDy1G08zY0e6KReO8ioOcRD8e1l3fPep5XWHQ8
bPq89HC48q6an/jMgOWXRTfRWgW+r+X0h5OlYXQV5WnypP3OseQ8Kbrn8JqH/qnUc/88zVmXMU0t
7+MSuXgW4mQCFFWlOJdBxNES1CiwI/8vkZA06uf/pWVVEMP4n9SRfyn/xu3XP93ar7/fXfxfJJJ/
/Ml/V0fsf0bf8F3HR+EkG35vdfw3dcRV/IrpSEVP2H+IIP+ujwj/n4Vi3WwK4YJfI2n+H8ZL7JqY
MVFHfIfiUuSb/0PHqrhHwv+LNsL/BROiQLdRtIf993Y+ClYNLYa0J1UaMY3Gg+e9LK5RgpOsfHW1
Qal1gSGqZgsLqtraZp9CLo+c/6VRzLLceynaf/6X8M+gFITgOq4sRXnffwuvm45WiTH79BCLrnvD
0j8ErKHCg44K62UA6XqeFLYYckZFCHCsrqg2o28Fx8Dk7Pmfkq0BAHhXZXHxC3+LiV0cJwmMuoQO
7Ch0buQ+w8NiYembfX94iOkDwkWFoWFjY5N5jLuWmRLX54EuyBZnvbH06ynKgUS0GcxLx503JbHK
dWwO44ewbNdC9mdDknIBPLHwYHD0Sc6vU34/S/AB1Ci25+mrMqg4GlL7oUiksfdUSuvE0vXyy3TM
/OIwVZL9a8isIbw3p4kjL4Fc+FvKnuMia50XyPgoPrOEDJWN3S1hUZLi4MqSihhP9bt3ve4wgIK7
xnYvjmYlLOIr3oCabve3iGpzcLukPsxUHnMw7xOrQDJGKnrFJUuwLGWvAL9NqA+BHrOulGm9xiPo
6KHO5AFcWcjULS1o8ZGx5bcwZLgsTqsxbvcd8uI5MuR40HQFg2rOt+UczUFjN8Np7g1KsKhu2dRj
U2/cobHYPwD32c6M4BvSmCTW4Ii9OI1ZB35yr2yN6AjIy9H5YFsUblhltxvZmrxzOrnwpTUAADhQ
C2WMl6igjmgYJ+N9HBu9TQmD7C37H9qRxUa6YpEjl1b/bYqU6oYiKx/Z8pCXDpUxXMa6aJkOpR0I
ZW27CSJj3Oy90jhxBcFpOmH60KZ7pSuDNIWZgTVfwHBYBVEBAzTixs3QOTI5c2ntFKvjeM73KjaC
MsQp0qXFplMdsZkE134cNit36MqAqSTZS7ocgrpvm4c6y/oP6h56MEeAcpco6sFUG8Zvd2mmjafL
+aFgnsIfwPPEjQca4tBlm5qI8/2/qb9RS6HZyALpfSHbeQc96fkS2WiCeVyJR9Lh4jYUerqaNQaQ
ptZTQJIPcqJfXpM70D0uhmVXR33/mOcOA/r90mj3YbppFgPsg1TVWqslucHHgzcKrHbDBoYqyiGF
5cBCih1sQ09KaVpr7fY119a6fstLKflpMvGVeRZvSr/4kWMcbcToFy8hcZiVO7cuGWb+drx3aq8n
H3BKPNmHioveriwji+33TKdlVeApLAzf37SR6a2nCQ2ujbBJtD3Td4ZiSzbagbyNyaF1sE04mu52
BOUHul9VYNQTe/GymAsKyHN5nGMyYYOc1DXpDPnEkMCM0D1M9cI+XFcORYH2vEsxJwa2VuISefHV
55BBJ7Cv5lAAHWQOiMwSermQyR84hvFPQX5kfTcDsxZdwvMsRpNpRjYfEaf+XrJPJ/mu60uJgnRY
Su1AxHLVFZu6uW7IKT1FpS2/rNpLjirtnX0/DsMfhvvmiZPZg3NWtb8s8oXc41K6+yJVxOuaTqhy
5diRyg5I3uuJh5+EqDsM885ZGE2DOEoLrIugMbZhnMH8pCCkpnPKHMtgaCNa4rFiB3FrpFvqh9Aj
8dChcodRvMZv7vZETE1JycOgZc99ZFRAw8I3SfHv1S6SamHDiCeWcpz7HdxP2OV9FsIbHg2rUpAn
zK596yiHQCcMI5xULUE7R2GslvG85Uybdx2NqcdxLuLPWpRa3w2QfK6JRvWrSfrZdqnHEsomTGN5
jplUj66NMLORtf89Q0CLKLYtm8049OXRyzvnw058IJdpVdgr3ct7+sRVuxKw0bICzVL/JFU215sQ
d8GP23kdudWl/yiET1WFqq5Ei7gqjd2+NEyx4p4JzbZMCrLCd/8G91O/5/O/2J+5m2ErUHFUfdhF
mx/8lGuCj1PnEI4A7+aioK7ICsc8MODCEolvwhzEw0iLZRGO9nRQ6az9c12EIvuGUN4NTyIt7Gdg
e3La9rVRf3V8FL7C0Crfqjw2Lk2kqAEJK17QGwELn0/vMr7Wqd2iczeh/RZp/ZGBjT+hUE3hiQ0u
fCo14kVyMG2uzUSOEg2U55/MnHwqJ6+gMrUsu/XE3v9HzJbzxKuw8w6jm+bpIzn06tC7Inke2oaR
AJu4CqRoLOcBVHDzExUEAzZx4qr3spnkn3n05gOCu7ObaWw/YTH1vv3C5f4RWoSnDU9Q/ZXaE10m
zdg8c6NSl/JefJ5lubvTAgnE7gyy5VSiN5+FrZonm9P6mQqGZp+Wht5GXWQBx85iNru+7U0XuYRy
f89qsIdldiEJ7q56PbpvYKVy79rRvJYedfZk+No7pVaKaI1/lwqtKqzXqW82JmJCm3yOTjpA/K0T
CAhFHvVyw9Xe+aWoqimvLOpTDHBJeZcgc8/c5OLenwIlQzwKWuE4bg1YsqMzfuQ4xl+lMcrnCqbB
0Reds7XkVF1DWrZfSxQ64CxdxsVC81cwa43c+coWmXRKxh1elx6Iie2tmdKMR2e2KnzitNmW41J9
4761th4eqJmVdKhf20nQq5dBHrtjZ8g9z1lh9Ztl4SpDVEYXDtxAejlTuAvBGEUH5LHpN063kdwe
pq4ItfniyqhYw9oDXFvYpL75BpMx5f1ZQAM0aKU7xMW0XAkGw7XH7EAdglkYzGLeDkRHHnOoZkXX
rWmE76cTJY6ILSv2tNbeJaU5HrsqjY+MMxWBEkHEhLFBvdjdEE9rFNpyBD/kilvWcF8ZqRZHXKmw
jaWtbFGXmq2TzsmuHe5Vv4VTBio33dMY3dMRFVXtQdm13UcdKrj+qTODOLX6bZi1Ea8jyRahYUtS
CTffAeSKroRjWNfZPKM23razIjIJjBu7EojL2v6OzcPUlh/KHL7IMCI7Z0fL/WgJSuKc1uAHQF50
v5kvkQwFu6OgpGPtHRBNc8tbWs2ALSC5Y970HuDAqGU3m4NKgy7zd56BCYZUHC1BoWPvU6xBbDcS
D46L0s1DlXDYes4gVmKAXD+FpphvFExYtBFVi3NRfqFvsRMbkC1knp7wUGYvesCLZ+WmuXN0lx/S
zklvOo5ltwHeO39rMMbuGpNt+u71fhiUdCAkgZ92rqSJVCq2JIRQik1VeAQaJqxhaQhWouVVq+9k
bq+bknUKPoVUeVhEe2dCZFmqtgYf05bn0h3Mh3R0CaeOQ/Y2oXCQG8SbgI1OsFXwQf6SVfFSUjKW
hwwtFmfPl4wnWAtjr6UWvwdSk7gH7/aAFs7HM6dN7PDgDgOrlikJg7bHDqdDfcwin6JPD+tWlm8Y
eupdFJYALh0kJwvX0dcyhn2306o3jqw/v5B9/WsjXUIZwEDz76F0o2vGqcjbv6fKtp1sbg9QjgDS
2GZ5QUFlejO0+QaX27/xgmtOFerRyYeZvTVtiys+G8hVOlXhD+H/fJMJ6V4nJ7n3dLgDWt/oCk7R
2ngz1MIZgs2Qdku/Ls0dWOWOUmaneaJpF4GKbJt8QPvz14m/TF9OSkJj5hTf4WWjLbhnw1PgVYZG
1H23dl0Q8SHOwkal5s0ZhQydiyDZM9J7xFCQjPIk+Qlt0jlzNzghq9facu2N4kVDEWKTbookdC9z
nMdvYmgfGvACW+yQ3S6vrI5lGpeb870956Syls2VsvJhX3HHCHxKAUgxOfOjPcFsJw1CkWr+ilXk
2wi9a6/xlWUCPF8zZeaWNe54MFDvRYtFqWJxTUCmX66A/Yo/em6Ha8X0tcLeEZ3jJYv3YPHGoyt+
Z2jrfd/bNLBmCIr45aVhx9ylaFm4g262ghdSRHTk3pyaRBF5wGFe03WxquIDe9BjPKszTpxTtiTq
ErkEeAjEgQ+jC5zYSO1gWQIFxchY/PVG7MSrTo8v0PcZosuoAs8315QIZEmAPp09RjMTbdjS/uD1
g/1oi8I7arPWGwhcfuAaXrKDrJ6ehtmlJVlWrWAEJVTNY4g+SPHTBntYTvvgtA9zpXaUCRwp/iH1
D93Mi/H+aJ7peT2WDiUxwk+OuHqQfK10OrWsbQIka9CpS4WyLNwC/hB6NTZpp23XRdbawbJMe5tI
SmMyQyy29tYOZkr4SGl+CJeC849gx5sI68pYxwRSNlUXG6c4avwP06ntXRfO4h3MBvbfJsqP9bQg
tBoiuuSGY28cVGXcwqn1y8NK8Q4Vq35iAk7Zn+Btz8rw3v5WG08CV8FTtjQZZyX0DQTHNj63fRpf
4qJZ8O7V4x8hBFdoiDspm+LqL7q4g7e5P09NeqK+2wkAPfw2J959gKcWqlugxBkvTcpiwpo14X2M
7nsDh9dhsgb/ggvBf/YgZwUlSyVa5hhgtVvKDXAPL3Dc+mzGJSXBFFYrKuNiaXOLNAtC5VPGnFC2
X0KVJAUMGa5trviHTlr7KVuMo4nJelOKsX/o/b47AtF5gkgF1oMchGW3D5V1pyRdhsykvsTbgjj5
zOLxWo4mLWzx9Oxhi42M4gmc5T7MxP21pGjUFXdqctG+t5H/URRUr+nkq0XYWOctebWIGNJTOg3F
3u8VB/soy7OdjRbPMRV7vpcBw4iLIwyc5UQxoLHB05KjMHs7eybShkUhx2tZJgeYatFOknE3ZYn7
Yy5hjOdc8BZtNBkPB5gVVphqv8RF9kdaaXXOQPUtaxwjmJ4HzkjLNPYA/mXgwK/ZRX4R0rPihqd7
r/jGoOsLxjQ3/RV5b/cMTDVceZMb3POfhzbP8l3iHmDBnERh7RdZNJsaV/1rXbv92bRd+Yrb/57K
oHN741iEM3c4PQGWApXwhjX0SocoKdWSxujngSe5oiwK8CfmmfpEwlE/1y6OMccknefw+7Xa0EN7
7Ivmu2QxdSmy2SgI7tBdxwF/NGt6nehr2SIx1Ye79WTdAKsOrKydL5jgNYByy/wj+fqgowxZv3bL
yf4AUNMcdOp5NxgADvqtZtvr+qQAc+Dr7E62cJlBZKBrw6P/kNj6njDXUNBkTT4yMO5Ji1Share9
41m7MSnvfZ8m33rqQcipjP5mpAuJxqjWOcMvIaBUq5E2DsrLtKwuETV30yK+bUmeq1vco+8/T2YW
4Dm/zQlMnj75PUbDN3QDJVdmXTGIWw3FWI6Kmn0nyMHw2jTWo5NT2GEZ5qYyipFMscbiTCZ6z5tr
nwlnL2AVjTaxe2DLK+7he8qk+EBBluJt+61G68EoHX/XucveMcTJYWe3Ytba4tb7HKwRfuIk2Z81
vA4w85rzgwzjz0Fay7qtjDdCac61SKf+i8hlvefX8e4ytrhcIA6y4TbGiGI8T768VBIkQErxlVvV
6twQx1lR5fjBAY5p2GycN0nnDPhsNQdUFr4VrvKDVHm45tt4ywy9butsPVf992B21krzal75AH5X
2eAR/inUT+bShAAmpMgm+p2Ll0YljJcYnJJGk3XkBb4twhrRX+7ycv4wao+Y2R2+mIzsyFe5nffP
XLK7bW4nlzTUyc4X/W1sc0Y9lsc3Vgqv0BzmtTtRZyFyk3lRoBi5gpSa7JItaTf8MImVI+UJ+2Ga
VIeDSZdYl9IwcLCyW525URic2rUj9NHOzuTuTsQjcYxV5fOQFiuW7MfQ73xgE8ODWvypDbphoOGy
EsUL+MDpg8KzY7p0tB5z4cDhPu0VOZVdX2MW3+TTXB2Snmokg2qcgyFia591Qt+aRUe/ogyAMZ/Q
L678LxKw53jD+gEq46+LzvUyJlz/aJwKDzHK0Kac9Bn2CBdqIFlbc2LJblt5yt1kuEYFcsswVPUb
oKVln6VA4lcJIduNqOt0Vfa6DRryuGcLSvOGa0O41e6inpd4TNahuUyXarEntExLNQelUiAg1M1C
5ZjOhku8xh/TiR+UGeHEIWTjWu4MXbKWyat2JvuB52wDNuA8KxrhU7KJGOJMVK/DklIUxZ/tPrrO
Ng4WN8VNJc2ZXPDi/qGysttrf3z2w/SZcr945+LW2ZEczt4M3OBB47S3AV/EKk1oj84aFQZwGKGQ
8p5nTgYwmca2zRRePymTdSf+2s28uKQnTPJ0h6XGjNSM4ydhfbouOMUPij30BZIN3cw6NpCI84wS
FeQbpuVxkt7ZjWoM7uhCMFZoO8mCUCJCxWWMQtU4f12kLgwws3UrVTo9Ak1pRJDd9XDfdEeU1GkL
ezR6p0QmO3deVR6xUk31pmNvROcYqXVcefNElQXlxb/aFFZrn0kHECRo0CrOBhyKvJGTxQRADI7K
MjgX5lzQRuXq6KzVfCqd1HgLLZp50pqrx6YzhHjxHYxkbLMy0mQ5oJ/z1DGSsYoUe9pKzBPgetwi
7PfgU02zch9cqZJTGHXNnj8iNybelDN3eest8XPnIHrV/GBFZnQM7e48AlrZlYY0H+nljq6GquSu
wU61I/vEACRUI8AT4JwOdF04Z1P3WJ/IEQnfalcpKsXZbx3rGVRtdGR9bL1w8BM7w2m501FzJ1pi
Kt9ZaSEb4M8FwVRamulkiEl9+oIFLZw5IHdOM6CEVbMVf3mK82KV0NjyagnvMhDBRcwcS0A5kFHF
ZH+HPtF6U4oqDixPhn/DPCkwT5WfKXl42I7tozV0L5ZPGZe+C17DMu6xotTbjNn5NE0mjyvYiLWn
Sr3H0F1+1XBR914NrAE0gbnRFdGaCHmQzEy23MxBT+Sjcwwgs+shm2VWz0fLRqBTuELvNUxVktYP
HpWL67qZXHKX/aueY4KMVvueCJa1LWzeXWY56mHpo+RpNrrmlx15cADN0B13EugVMX0biE6Nw4D6
y5eYiM2BSBvjzoCByxtOFGekHHhTepwt9ydh/L8n5/vgnhvmJJhoQtaD57+QXOdlQigMiGUvyrO6
wwzd5aYi5T/GLpUYQuf1tuqtPyWm8VXrJPIyFczGLYVU9F3NxpdWERGnyv/l98LbAwnSeHI9ez3T
5cHhQTsdK6I8PUzaEnveulyNLYCpZvma5sJ5sASPH8VK1CISldhzsaO1tQWNnhABn1hMbTHBnwWD
OmYBTRwXVXKjLdg5WVcaD6zffUQM+yWucfaWWcF6pSVIElPtFwxWioTf8sXn9d1DcIVMYJ4FLlYq
+pz0iFeGS3GW+ShD4MT6cnoSFuYlPGEuviRSkFboP89Tf3filM8mH6KV6YzbVrv+ZuoxnObpw4wf
hX4KsAaTRWXnCibyHUc3EFCgWL3fWkw4nIVIo/amp84H7AbRg5NPNRY922Zr8zCPmIGE4kAWuGNe
ZzJ3fyvHRbWsYnxKol348TrdoeIxDIi90oIxL1lNKWOZXvq4C2/tsizHuVfexfP7fJ3V6asTqUfV
0bkIfeOLmsdTPgGTQ+3e2Q4m3HaWjz5z0SmJh3Xb0BNdtG/zkH44ukJo7YC4NpW7MrLHEDZYsLBg
eW5ZkGNNxgktzao9safvySmo+M2xUkUX8shIM3UAJFsyZItwgyaubcwGtbErep8izseJXdMlGuP0
mPJZ+yowLofrHGIwCIgW7QWbNMhIiBBiIA8PfJk6MY/G20jbXjCJ9iCo2yXp6ZB38GZWgji7wB6m
7szrpMjpd6NEwURyxLoqm8Lnx+gV1hv9dPZ9AKqdgzfl5W+B1sDnZ7CqM39peqTr57UHeYtAaG0r
zreLP2P+Xht6Mv6QIimwDqbjYzIu+hDRqErcv+3NDydpjRfu/fKMVcV5I2oC/xaNPQaxG3fgd3N8
ztFg578I4es/sdtzr0M08DVLoSxzlhOx0SRDvbWHN6fvaKk2Jj7Gc8YPgR3TGD/Qb5NiOe8Txkzc
Hf4L0aLuQGp44bhqTQ2Yz3Veh1jE5S530anKiLARSqZtV0yDVn6NHM8o1zKf6DlZInq0+JYk+Hlt
y01eoS23B9ZRjHHlYCVbbtT23h2KhBx3VVPV6ZIYXPvZqD8wov6JIc2u+7n/w7UcnynEqzQwG+tP
zsDHwm1BsMJ2hSSCddTDHEw/Ed5x/hMMddldZrLojJSm81GSkjVX/LLZXQyput+QunCjd1ZYbetB
O39TBvLtooHkeWGE7SxHWoVhQFBcsxPGnNVv6yR3Hgdlc6LFcAXMTePy0yPOJ/eGEbbsn2IYDh5r
H5SucsWoqL/57gzbsp/IzpNt38PhflKTzRoyD0W5Tm3HWKfkHi/4e6ZnlLV421QFncWAONcePdk9
rdAK1vCMvysKXDXFAWUD1DhWTQ9qIzebY2fAO7d6amcsVNm9O+Xymo9GRvlq6I2sovG4AEBiqiSr
ZUoShWY7JVs2iruGbkOcsd4XRpqIQtMwvfHgN5vF8IcDsBrraur4y+9Q9AAzWPlqGPWnXffDurNp
qyDYeBtiTfNSXZDLBQe+CmNrXit4ZUEzf9RJkHWU2UmL8sDEBZkwNOI1qpuAZvt25yfe8lZqsENT
VMGFT6n0ArTjrsIc4ggYQRo5qN7gFhhvO9r/8MyYnPWD+jWFPbjTtASHa/q6vaQe4teEBPZkUwOX
Q1527BeWTcs2jtPwcSzHZNtPxvQZ9uI7XxAdMj+0r2XbFm9lwruD0LeJhdJPHgcyHjvtKBrAW7/B
rMoWRS3rdMGBkyBLcuvI0vQlHsz+iZrOotgQv4yo6bJMat98MpNcSyFPR5J3sgMGCqPTdLftiH3i
DJDCcepCrb9v1ZLDbFesTqV2N/c3tcvFY+P6RbmuMQSAYGhMqnzqloz1HUbZa9pV6YAPiH3oTeXU
L9zMmFJ6u915ZI0v6ZjqbUH0JABG8ov9W3hiEKH/kmlyXTRcaOakUCeHnrg1sSyyDuz+LnkaO+8u
2bEiMsdtmsh532HNJdlbk1FZRLLNhs58ikdL71gyIHP29UhQlaml2fXlGD7HelIPyJV8KSlLQbcp
aVHlebzxXcV7RRytvgicgmu2a/Apq8W1sFHAzTuXy+T+zABK8h3bF+6AbN2m49j6mKrthacHLfUl
WuzhKof6Ztxb/FDzLs3Uq4Odu9hrTeVUNK1GiHENdCd+Q6uphK0F5QBL9dOMik7rUbFScSs5/KUz
xaCYMv9X9s5kN3Ik3dKvclHrywSNpJHGxW2gfZ7kkrvm2BAKScF5nvn096MyGxUZhc5CLnrR6AYK
iUpkRHjIJafZf/5zvuPtoC/wenldGFvBReFozRHUdGze4g4bz9rtgHYsfJmFT3x/MXSW0XZARODo
Yq8OJ1kwtg0enP8a0ylZzADIAc5mQSh6YSHTIe6wv9NXRKOAAU1ma8P3B96AJ707Aie36QjN2tdm
NEcMkpyPlChS8xUwGFRmfnQySVM2/nIOG3bm3P8hGYXXplQlcnFUm/Qy8oRucv2OXcMm7Pn5TeX4
KOj//Zi0NHyo3cr5YAPnnmQrDmEbAV5g3sbdqegdBdcLRmhZkQt80VjI3uaiJCObQSAeI9x8egwZ
o3fneMHgdTGAxNBGCubO8I4GyuRhlOatD/kTSsxAtlth4mPxP+zzICOpUQ+WfvTTkI921LBg0mbz
fKNhfh+qb27AfQNMSKcfUZ85bbpIRu8eYiVjAsiPLTnTCNqMpGs7b8tnhKHXMJi+94ObcIzb1aNp
BMk+LCX2WI7T8EUwfz43o85aB5rvuIOhphbMGtSsg7HHHcDMsvLdkKLaeMguakwnqr2VfQu0E0oH
VjyCy/HcEmsqIl21n1ubrKBo2+/BqoJ16xttOSbm8mvAiZElNpNTXdh4iUUV5qQXI5+so9IMwvCB
prZaORiX3NK7k4Pv/dDwPLpi8tAI28O149I+3JFfsHagwPyXgGzKYxkDmiOnDZnFTHTMHPQcbGug
yNAs4kqcKYtFd9Ihv7DwauplX8UrqNuYiRyfkyDEqJ+SPIgpEOj9VaMJqh/aBFZXRjBhkU22Uaxy
GHkru7SpDXbqH5GAuNrkHrb6OsLOUMXJtDZM8eCg7S9DXbhbm6fpmv1uetIS40522bSZ/aUQhCbn
PFYlFcY0eHyHA1VSgav6ma3i9bBxJc5Vsu/plSUtYRbNGu5YYNvfDRVkR2202atleneIKmekks1P
wCLngboHsKrtR7N5qdGh40XVVtMN3Q/xBidNteUoxe8Sju1ta6RXzHvxaeDOtYtAWqysXj3hwgxW
NcELrpJqiB5J1mR3PcRhMtStFT2R7mVHAJUac1PYFcvCnG4qfiCWWewB4YWrt6+DeEbbBgeZhsiR
nlKHSMpzQVB9BXhC7YhkZ3u0jG450XnNJ2LoDzQ0TRdapNA3Ce+lSzCi5KazCtcHvMNnzTavqvIe
yWL1d0HlZyvHY4qLCT6v0h42XjpEl4A9YYgbamcp3OdgK8YjOVyU12TIznFO7D6r4r3JdfYCKgfd
gCEK8/vc/8bwZN4UBAB26H7vqi4eLH08+oQXuYlJcLIpSxsdUu8u8gb9JahKZ1MnqbuVlpU+itbh
wdWwk95nUXYQud0e0QTwhFhyWIXCKJ8SqnVvSAw2C8bkUi0qFtVYfe16fqQT1MX6nWx8YIIzCwpb
x1yQmuplsekpYAEA1Y6GTl/m3N1p6cmFx3RHxMGKhzUnR75hJ6kfW6P7LCqB1lP71CGFPdIeNKni
zHNLLvF/jQf8BBbbaX946Bp/OKsMbDCYp+mKxTJZT6Bib31XZNeSy8W1b0aDhuu0ALfWAVUL2qE7
QiWql4Er1A8Y/d5Th5l4EUwMpSjSRAz45EOSY73kPmcUwK+KMEc1CHJtFVNtCspPBvuI9Mg+DRzj
IkI7PJtZjVA+BXM5c282d2gDwXvSs08Gn5dBpkeIxO4g7CMhB+tFxP3A82yqUQ0HCctldOmmiYcE
31bIPkFa7nvpudaBi4r/jkg4gyxmKcoso0vIEE7pSdXKg2peZinoWfdwZWGt15vXCRj4E+pG+Io/
bbpF2zDXvkvJ8lS50SecXnEdB5vNgZcnD17kBWvWAoz3mTYDhArnnm4jfRu0pVxS9BZcwbYRcyys
Njk0QRT/oK6mu884XlnMjN4t/ZyStvaC/sy0iay1FnneoU1Nc1PWnDUMz5l+lyRj/4rMYt+wsgIT
nKsWMEhv1bdsDKz7tGUA1/Ixvo9z7Tt0dGCOFecnDu1D4ONrDkxZ3frlIABbd8iKMZ8Z+ncb6q6d
UMMYVKVYbCYasmMSQcgz3XWaWBcvjL6tVknmFJupQsgoIrcnEWaIH0akvCMOnSIjNgfKBWxKG9zZ
XA42LOO8A/SGZNtXZcqPLaM+ozNqAdso49rDW7xGLowbHyPAQ+aF95yu3HkkszTHr7kDEuywSwvi
I7CW4dHu4WBBM2XxpCUNO2uutZRMt/EzAcsRMZq2zJfOctDc3CTqkR3Qtyd8NTyiQi3eOLppHWGS
T28ZfLatCtje1U1qLl1GzqVLMRnxinS8Rw1rdlJSzNBPs/Ze6G39A3PNSOjHl/dTKejFBuyy5PtW
Lxi6XPp9yJp0rOjJf/jlorHSHvmkdtAVRlsj8IRszo8lG2yaZruwucAfbnDGNd0GTrza4CbjzumH
lFCyurmvu6FgYq7lTrdILy5rJXrJUDmqHxPNDJwUU/YYB7wHIPVMkEN2vs+73jtXUVtRtVbHh0Dw
9/cnjIK48i3FWy4+eeBoN5031s3aTkA6wUNNeAb9J16xKIqMhAwr5XCgxVT+KcvcWw/SS16TZqRr
JMQy/Ggn7D8k7qu7LvOib7Fbd2dpsnRBp8UMG3calbZWlF3+j9jl/y9iBRg2uuVfOeHv2ix6+/6z
A/6P3/K7BR6jO5TEuQfZtJVgQiaD/4cF3vxNKRhYStkWgOGfWyVN4zeJ+91xHbzD0jb+6YE33N+k
ZQhQ9NiubRtH8t8xwXM2/eI9R7GwpWEaLqsA/mdh0C/e365h5tf/9Q/xn77vx3aYGdm2bbt6V5Hp
I39F8M1Hwr0zE60+9iXrgwTcFykMFt8yzfx9NajoCOwbXjbb8CeVjfKD9omM4IqjsRDSQd6zhThq
cRYQbyTAU8GHOeCf9Bf+ML3ZrXVHhJ/0D9lOe0iPGhmUVe8qNKQc5xFTEEGxulpS4vFE/8mHZ3FN
InV4iDF24kVOxLQw9XjYlEXr0HCmwnWIr+oxkSxhEJuD5GASqyToM063Gb6CdwZP4LHKtr+PoRHs
eL3+tnBHbWNYGs+BwiacZOidXFYa1yNrbEOIql78jaRjwqeTV0V78lmohUnx0ekmqD3ugM9WWmMD
yWYDt82utczSSxHG0AjHgDWVGNN9X6nhlnWr2uL2YX7C9SMGyt6G9i5IhmHHoio75n7fsk6v5bC0
M4Mju4mMx5H9FnBMIF6R6Z/rwCI+43X5VkudO4PE02Pj6v5nSZnZS2j3FktZoAS5rlxoZyUX9iov
1qnNw7qLUmPvGuNTBPIJY1Uo7k24Qnv4OO2RIp/w1AUqe+q5Im1DnVzRUPvhih8NxMoyesPCHp6D
QEHGK0Mh4Bb0TndPVj49O0Xw6Vme4uEdo4y0dvlig1Faagy+7yjcP8ZoVNPKcYfnwCgwD8hD23Kf
CAshLp3CYBCqiJic07svFnubkxgL62iSYdu37ZR8WBDtWf/MYlTNsH4eM1M7w8PFxqpbrnwvyERu
IQzBfhpwq8cBwOhUt7xzn2TlzkmgE6OUCzCbmnFTjs6nVx2F8WJGvDK3fPe+pm/okDBwriYvc7je
RzQnTf7oz+7rIpsorEupabbzmFjsRO2ENo2PBhLkbQYYaOlbOUy9ehrPCXHfla93OiAlUuCk5Kql
yR58BRuAmzdee/cm5Wimkz4v6p0eeHS6c3wtEs2micpS54Yo3Lo0SndjNwDmg9wYMJfmydkmEMcd
qVy5sWw2YehwCuEjf3BjHKLcQoDuBFq5sOvQDJeShgqEM1+sowqbTEnYdzNxVV0OYwsYeMRaZbe5
vkZjaBc+OZGb1M7HHT5rZ5tEOonBCdgsxKcU3wvy5VTceLSrMk1ivGlslj5DsZ38jtwh4zq+7JHQ
2rI38u8yGLcCYvXRl4NC8NXjS8Gta0NGv9rG7KwtoHIb0Gf2lp1mdlSGrl5jEnQ0PdEbwKWy7K92
Vrxadvo9m3zqnupTnTnvUZfZd5MXq12hVdYGs4PHw2f+E9NKmfj6+mRZwI6qrasSIVptQjVsCcDz
nrm3WWCLwt8dQoIdwvTDlPm5CqdhbTdIMaK1tWtuF+1zkPfGQhfxtK1i6txYjDYsCzJxBKHSHEB+
Weu2KZzPBofFhmYK86ZqTT5MuiPWXui49yY2i7U1QLWzRvqu6q6jik7mIA2nhKlTsCwjoV4Mzz6j
1d50ogCARF1voKflhwHLwtKJOzx9eTTuY+xU/oI0kE1q2J/oqaGOVfmT3PgOqWWC8Q63t5FrQ8V3
Gwkb8w4xRWLyQbON3RJTlufkC9pAcNm1komF4NH3IqKnh1+dj6CtQf+legO6EPfVM9mLadmR6z81
bt8d9HJgj5r0ahcQmPhO72UDhY1qcuXG+pUPOcCjcE4UJP18WxqM3nwkGuwY6NXYR+JsaElzWoE6
w7dSCs1dmZuoo5hx8Gz/Awf0o9mX+GbwutJKQ0wwrneJlTsrDgz50mXa3CV4HoH1eV60DLowW1b0
09KhR4jopfJTJLtERctobJpNnkdq5VWJC9zZAONmVgHBXLfl89+MclnDBkask6hFlBzHKAOLwHcp
J/ToBXadUxvhskG/9peAl4/RlGOZdtV9NnXDUeac3UhDVnPPkos0Vdt/xIznuz5nxPTgpQdZCEjF
trAlA1ufZkZcWOvWpsn7aWuCzWCJyBNcotIsBw/4V5tO3afrN5egI+ZqQ2VAAzJZocYFqnHEY2Ph
05Ynd53tcekl4bsEsrKqyUptG72eQFd74zcQ2fKq21Ry8adzC+xIePqvbLaXQxI+AJs4G6mPJabu
l7i7ieQ0WC1l4mGRG2qMa5oeHaCLW3snsqke4it/lqlrvtZm1K/CUhEYl+Eua7zi3k+0ajuWLWw8
0XU9RalBVrwMk+MfS3tsbh06Uo85qffP1LWwH0vW6WVGDU4Sp9mmJi24cqbavdY2C7t0aNcMiC+M
vGcvSo+M3tNZpP4NeRKDYxbVxsuzBtmJfQckk4iH6iB0mLsluzyzPpmwotMB3rQRNGJhReaWveAW
yh4bjnLW+bQ4hfszNfuKToJhUFgwLOyU/KpPUY+u3OAc511MaqO6N/2+PBXqE0NL/yPEmwRoJlZk
n6VxlCzWsm3Xhw2Br7xv3rCcVJ/RBGmlGHSSDdDuyXvbCCsrhx6ChzRTzQPliqa2cmdj+rJPwvIy
djo11QW+LQ3IF4aztJJgDUcdcypmaYTqYVuXWc2qYuy3upGJFZgAwDF9xT4Ve829huMOTO04pVvb
B9q2MoN6tnNySJfqFpUDszHlmE9jyN6+yLmi+HrxmRTD8FCkEGW1GsmOvRinNw4j94Iu/TQ43V1O
c9M6y4JzE1Ybu4X82pjti2iqx2pKgeBksXkRRF02mZuNG4499ybzUjhlwKIo/oLVQEjJ2PsyfscU
sjVzn6R8eGzY2fckeVZ9j910NVkpfvt4dl77JM6TOlrnERAKoZc7GIJ3AMSvsR68c6A99UTWamlt
iaMgO/k+WBJhuUs7ItIox0lw7nILY3rHSuTgjZrGG3AGACLq1FqZWBbOngw2CbiXgN0ovi83sFrU
eewxTlFCtdTqqFhFUjcfePyq0ziBoiA9QR03V/gMvgi3Tis463kcHrWh1lYhLsVdSY31hVvceJ9H
ybSxGLzuBM2dMo0+LJ8LbDpY7bHlG70ky3iDLE6kGuVkUc8SpayNeqUXpouGg+gIhWDA8Nvpy7zS
3qLRLnZjmSQnlEaOaLBL64bYE3wHMBT5FMgT1YTijut3eVBOZ+yKvAe+50XHVBvK1zYanCdseWr2
Wgb0/4wa7remUdeqVMWt6wnaMaL8TSVoUZJ997rn9AFjbVN2Ho7LumxeSrt6K4mArYgy0Wiallsb
7sABT772LMNUvWQpde8hwP/HzKpWqV34Ld+OEKQ2b93nQMnRmhulfSGu75PHynT6X9OqPthlnOwa
kiyMFvaOXgWbNzX1T54P4MlRHFLQ8Vfm3NpbBE15kqGqXnMk5VUsywypzS41HjxmsDT6uN4Ir6z4
2WGHjUnaW0J/16j5hNI+wbjcFsQDHmHUlBfA3DgiqXK6mpRRnTEgFXvuYP2VBW2GN7WqUaYgZ2lS
jldDS3Wk4yb5yFPhbEuU/h9uUXjboS8s1hTcoCGCWSfSzZCBJi1L30IjDGiFnJuPRK8MfPNjeI/i
mGA3ssvwqYZnzaMW9pTRev4ZnxwWUzPVz4KmV/Rv3yREVdezd1nsdCfzv2XWJEgMOcaq1/r0wypb
96yh2z+NQsAcbHp7YZtt/QrJy7/GZZTc5/1gHHpK1zjyRNjx1hs2HpckRKDBLlPX8+GaBZc6slCB
ZMCFjWRxG3jWTiPxiRmpoyukL7OzVTfUqeLmXE+e98m2sMJVUeDqy2CTbQqkwg2VjepVDJXJsik1
r8SragwZojz6dWRz/7QlUo+U3xhZWZ+mvvtZNLTFzBa2fTCq/Nb2w/DciSDcSQvufWNldLebOP9y
zXI3Q1YqsTSIWmp9tqYsFRcCwPBDqAmZLQ2wE8ZU3aZ6QFnqQP6BuGV6UBP2mkVhuHNci4J6VgI/
+ELLtYecd6QtlyVUgsAPyGP8Ib3pvcE2u4B5hKzXK38lyBIteBXgvx2+FJjU3tEL/HMXx9wchXtj
FGO8shU8yhrK1zPB4RGNKXnN8Yfiyo+cm6IlCiEniDd6So+wUffHecinlSv7LPtiK1XqHvPGHaG/
Be6qAIvyFASGBkaP8pdVwGcOJi0lP5A1SSa2laCrJiddYBjZo88F3mOW6558XUJHL/X7aPS9jeVt
aEPciriM8dF3l4h4ouP3PFxGruQUn9LnMZ5psy43jQ86zByBbln1d348B9IcaXRu825aybGqV2VT
OszctrWtJmFiktBnHqzJD2pCb1lTRfZtmwSvU6CffZ6fa1x8FAmVKoQopIEtLTRjzZzn7SBcJuRK
wurSFWxg9QDdsKvdaU0EhxWFrHH/dKiOZZeqW3RfPPmTA9NU+jedg8eR19L9Qzi0WHcTg0c7TZ2G
QfuzVxMMcI1nA7ftQEjMKhPYtoQy/GVeYCbk4otx9BQrmgxav+tPKY9C2me0obsnHpS9psQmKKgN
hPdeedmksaPHI7DA54YPF3LchVJy7TpYMm3SfYVQS1FwAAhr4ht/zoninaMmEt84AStgn1BxJzYI
SwwVbAKmUAz+UmjuS0so78mgOGWNaW7iywmp2Mb7N4x7FhdiS/FxswXUb1+rbIhn61C7l2MurybO
kW3bGdW7XZHNI7vehq957jbvQ8q6tC5o4506Hp68Ne7RKwXpRP6SO9fA29ABuVuGeY0tyKisF2bp
/qlrw/S+KXvrjBkY6indiphL9IoEM6EbIzX4y8BQf/KN/rNIImPNJBQeAszft6Pg/7UDMXiAlkQ2
bMkevs40cctpK9ap1QEr8uAGgP85aZEeL2hXB9zExYLUaKmB+hBgqglJo/FMER9bvXCde3h42pqC
KDjzAKlvIFKujWpSBF9omyuoIgVp1cUHtzLZIjT5w2DHb1XR30xjiNm0Dz/i2Ir2TonvvavMpT4O
ZbEwh+ea4QfA88IxxYgbcfyWl7TEh1EQ/H9FU1jOXwma/7Ou39I/6Zlfv+F3OdO1f9MFciGivmXb
jjtTQn6XM5X7G5wPfqkNacAyvv7L/yKeAkm1HQkklX4zwikzh/QPpodh/SYMgB7KFo6UpiPE39Ez
bfHnLjVluboObgQRCkqQxWuhnP6sZ+aA+vRAA37j0b/ZL/RBC8S6FZ4ZbfW8/aKBTckdzcT0k7qu
qbIlQasG3w0s4nQZNE4HykjqTrWa8kZsMqVPtIOmss3xpAKLh0ZBbZZyq25tCGF9jmKOXGvsJQ+W
TJgtfdxZS8vtwr2d+etIZvWdhcB6cfHJnbkt2thltOw0GG64r32PlI1h3SurqJe8g+NWLwQNZcRi
b0gubmrahSKrj9bSNg9Omi6dom1XU9VPSz422cKYVyxTpfKNgyV2ZcUt/ABJXCwv3RvuWeLcabUP
nDn4Rr9KeBwNRouIsCaR7trd5NL8YDUEw66r38m1qm1chHS71ZJ22cEb9yQrm8vkuv0hDvXgwy3t
jlIdUR8y0bw5g6a4wOjVBs1sVm95TRXan17niDMK1sfUEnXRB6qkrEg726WDS336jrNor/nmCt3x
eSjNI36fk8VyHrDcIbXENgygF+Gk0d6tXPUbbzA/EshmNWBJOOLjrk1Gajx688F3sb9i8Z3WFJp4
kE5yQNgiek6QWblFOy8Ukp6iSvBQ55yreybzdijXrl8qKiq17ij6uloYFDGlaT4S4ba2sC+wUSTN
XVwVRCumoU7XFhSWHbfB72OvkWCrbP0yAaC8pWmVnGxltd/S2oA4kEOKfTdman9AHuQubk1WRKK3
3quq1bZJy7CWprAHgTCMPyq3gX5qhWaJD2eYjmQm+1MVxLe6KMIfVtUTeBoLeGgUci7SmmFChgnU
/bj9avi4itI9xC2XKeELdn6TRkk59gPolom6i3PHXfX2dFVBfokdfav5vXM3pWG/lx36XFg21NbB
oDbuYD+Uq1CO7zTuDhulJd9SmttuGBlp8UioiO+MOr46Tgv2g2zlcdAVVkSbZGpU9CQkzGluCByP
TezcCjoErw0XTXFyHCZ37OSZKFcZ0FNCJ1actpsmxc2w1JIe7LnjJhSTRR1f7CopLD53kd2yq8S8
nSbIk16K4zqMqMLStMi4UjFMh0wENQr/eMh0ukps4HTLlhKDiMXfUPnr2lEjIydduTaew9xzVpB9
e+ILkeA+2GoZQPrMr/D1a1aYNjtO1aJZBkZcg8PhAlM8k1uuQi7yzPITVRxq9pjoOV3uncpYoAWY
gkClEK3iNA6SfqNIioqFj5tOEagA1b+PZaLldK2Ek8vr4n3fgBhP3KWPx9bmBPUySrE82ovXo+vj
d/Q7XXJSm/ZooJ1g2lo32OmCjZdqqv7IKfVIl7lQwFBEPmJGzsDpUjXuj89ZzyfGbSIcyT7T6Sry
UFAXAHSCfMe9hwIlo9Nw1LEsb5n+uDVRDxZzgwKTqxFPQ9Dkr/EYR/p87SFEZISEFeIoS+9rNM/P
HjKcRSALxgzpOxpBoNdFKdA5oLZqnTZE588BJQLjEbE/2PrdQBjfII1OjbitJnM1MuhRXt0GjtgT
om6Ao1daG25cWo6hzKd0CnL9Fix56TUjVdsGVzeb9DW+dF6wLeIVCZ+OL7QIHLCD3oB0UhIsSfLp
YGuGQc9xGNxksH7e+ixvLdgvQ3nT5jWEkIBq2n06sEFW+ExlAPZQt+uHqHEegmZ4obFvWNVZOb4q
2ZdkB4LkYkYsldrQh4GTZc295cB87rpavfpGybbcbKzpm9Cnj95uiWrrbfbkadUK2OoKXaFDi+6a
o82fWy3sRhcSOtvQdylSaxeb7A083lFywXO8udcweGBxvR0ryhu0AJbg1u+LxljlDs5uGv8QX488
tZ+6xhooBwjK5j5CzDGvXlLSxJI4DhZtQDgsyTMAayMO6eEqEwLW6KiAaTodAM19QgH8BxEmIRd9
mCI/KTjUDxUCW/cNi0MDOpGcI07RDtrlovQDarzicYdR4/sQRJ5asHum4EORUIDAUEzM4DXR3aHu
7pqGandLI6/RmcNwo8z2MsYtWMLAji4KiQ+bDZtvbdId3ILJ8FoThLgUmk61eweF6qGeEoqbvCpN
7miPyb9nppQ7KkH7vdel0N162hnfWF6Ji4adb+EYjXs7NFSqEKmOFAVUqn1OQmAQQHgkrKEKsTVe
eo2pfqhkQtYb2/6Hx5a8XVIc5yQPgDZYzzsajBBWtUGwdnI9Sn6EymYojDSmnJir9jXPhf2M4gGu
ugsNZ+PSKJCcBLwPngpjsNYyt3rI/bLwmQz77NNwVP6jgzHx0pcGQf7SYtizZcqiB7Ma9qJwwFij
5YQ56KQEnU4A6ovJWaanrBhUTEoxt2ziPFoXrWHEqhdapUy1jGp32EYF8MWDzeLkI9eq7mLHhnoA
4p6cshAXI15Tz3lMKiG/TS0nCD1iPCRRZP0Xu9NIDzFpgkQaE/JmI6E9ZTj2zsPmuxa+FISkjWbf
WQYAV9/CmyXBrWo8I4DKbhQGYWiGdCGAfXKn+nEIhHbG2cVgQmcmzjnbTyau5RrgkNnsnkFS78oE
OLUOKgxH9JisA2bwQ90MrbGZTLOWlyqiQiStfX7o6IuZ54yuYxFG9ANsCVOWSfrCaxuPZL2hVXgq
dM6/0icTdMGbqo230sZmfdH0EVvwwI6m22hYfBX1gA4AxQJTiI/ymPjxItXi3lyECt/R1qdI0j+F
ACnHZUeh7UWwgfIP9BhK/dRH0UQmyCXghNkqv7r5UMBSirSxvXolfVlPHmSRARwH6bUIJ6kLBCaL
+ci7pIFYP0H3iSHZbfumdB+8IbUvETcXFogez30E4nBHU7i5c6UaVlQcGjvOs/TWnPAPKadWW7BY
zFAjptmVFtXTqfYs1SwyfN/HEPhDuSxIZ8HXr7vqfVA2zb6kHLk+MKrXY0+apPKuOh/4ZVWH3rqx
sX3WSdG9KNGWxzQK/ccIoQ/wbs8SQC9s/8GSPlgqbjcZ3+Gc2OCoyuKE54raFtOyIndHiELxbS0a
Sfcl+m5zZ8DeuFXgNAjOB+aj1TdDuU1CDdxkDk10gORg22AkoVPu6Vo1WV93cKfzcXT8Naja9n5g
uVDsxajwvBiT/8Exx8PSq3pMil0fmP4O5re3Fswfb4VAPRmxzN1NVn5XOgKZnMAbLelFsqiySZ5A
c6hV1spjOUmsuEbz4NthjKqDlNPDjHjjwIjufcegx7Mtum0Zl6Lc9KYWk7ZDDVgwypQfvp9xBctB
7vqgnXdJB4gf2StwCL6EVSTWOpu/TWk6s6uNBDIYWpbj3o0MAJABnMX12g/wYmIS9suyGfP3oh7f
m1JjFdOIEPRxrhuSNjAzYZWB3Y4Sp5+Gs7vfOYH/kbXpXR5mDaYM608Ojn+deH7peDDJb+s5LJq9
lScl205ZV+zutOjh778MAEfkIBQYx5C/QAq7Kc1yeL/93hmqeZPp+1RojqXl/JsvZzac/BOGOH85
8/dXIDLoTIT8658HOOFqRkMAq91Pbda+RfMJT5EME4E/qoQKIi0OP5MO9xepgNRQ/+bVjfnd+vXl
HfZjrPiw39i/fplh78carKhmb8GW3pBEa+4NRUc0lMCJH9I6uaiS0GQMLu01HnM2sNwmOt19QBV9
sL6uGYh7yXzxyGzu/dNwNzh5voeGjlFM132azCi8xOeq9WFyW1cVj6rcmeD4UnuBDd09/fX37V+/
ICZh3WFk14UyIF3++f2cWGg4Cajj/RTWNSmvGD0cf37Y62vIiZTF8RhX5v7vvqip27olsFaQhXRm
z9PPU3gFTQ29yK15UX86mY7JXbrBDYnK54zl21+/2DzS//lbxosJ3eUL5E+iNu7PL0ajKX3lKm32
PSW3a1kZH0OsbVJ9aP7NV/WvnzQQGlxDlHQQOUw5//efvFJGWosiL8NsHxKsbW4tUbBC9jMh291f
f0W/9LbMHwJT4hmzDa6JBuL7L980P4akLieZIPdhnw1arhReOwT+CfXDpCccQxdWFAyT6MpBX9/G
fWtad+DGlhxEwUf7dfsrBLEpkn4elaRf98Pq667413/Vf3lPhKCvRncRdnhb5Ax4/fk98SEFN1Wu
wn0cBLqzL1Tb3A35wLD0t1/H5GMvqdVFB8FQ9+fXQSNn+UF39D5DwiUtT44Gh5KXJIev15nrjfzP
/I/Haf3ngqNf/vV/PPw/WIlEkTOfm/99GxJ+jrfqZ1Hw99/wB+ZX/WbyE4ssZug8upXFd+cPUfCr
BMkxbNuAbjt7Gf/xH/8UBSXeFgi8iHU2nsmfTI7Wb/wOW3GRwr+OXfBvkX6V/StgFyORMgVynJwP
FF3+8oQoOzupgXFSa+IJ64Em3WnVjkGG64Ylccd4vO3K9DWIU0j6tCm9hkht2Abwli0a/mFtM1fY
NwHNt88IzCEwycm+EW7meDSHNwHUlC+Af1jZ9rMxzeT6ngrYkxcDmVnEM/s/phd+6899AK5p5z+m
3GmeAywU3DJMHiW2ow13xBQoH6npFcBZGG8AlhiHoeqMK16Y8mjNTQRIb5wcEDD2PsVq0L5ZJz0D
4DKsYzE3GUSJiz2IVF/2gCQ26XseJBoOJl5oKS18VISnEf8CmXqP3J7LbSo1ebRd+hMo4SS1F9HD
yyjujOETjef6o/dVu9CaPn82xZ+U7CYRrBpu/saHO3/82GVioKtqOhzk3OYwGVFlLSIW6yf9q+6h
mpsfiPhxEyItWl20Io9d0v/heHHnvgiGvewm+yqR0L8KJYxuLpfw554Jdqra1fsqn6C5oedS+FVJ
oZHKguM1lufgq7Si1OcCC9rGiVb5c68FfryRNhZsBu1X7UU2N2DA3TLJuzr5iSuS3EdCkKlLLd3c
pKTpdtikSKMP9Ch9lWvYAdQHMK5WtYu+6jdyV2/hsDY6392gdalumBTpuJp8AFlGCjzGRp97aoVz
L3Pd2XQmRR9jk6AmRTXzfQvW6r2IRf8qGspBUEb8I7JEfoHHZTzilahuYhlHku22jodWFnqkrfFR
sbhnA+KTaI1szJM+Cij5XJeQQ1asQTgzgcucvgfkYOdkzZUmsmmQKCV7UHMuPBE2XEeC/AkOFYms
odNwvMsNeCHhNPelKO56dKfIgdjSXKhS2HNPiTPXrEjsdSdZwpXBDIDRwfOAdNFrSzdL1vOWqq/G
FlZgBDT8ucclpl3h5EHTTueSF3eue/lv9s6kx3Jj285/5cEDzyiQwR6GJ6fvsm8qKydEZWUVezIY
bILkr/fHkq5vKa9eydfwxMAbClLqHPKQETv2XutbRu44n338QWeO3sUhFkpwm2orvFY9N2rl+hXD
MjnQO1tX9LsB2oacxrFEg+Sh4aBpcwftbB9b+k3YNTwCwtJpUPdGDZUlmDJSCFNj48rmVcIWhZxd
l4w2B4OoATViZK1P5tgjSu6jmrmnc9Pl0AOYZOyYykEXVc6nCFFL2YsWJZmvAG37ycUhHB3HZPMV
8GVzXXrqoVHye5i2EXEkJD+FfbeS9Oy7GRlxScPFd9ELWJlHFJLwAE94fXlDKi1PPdX06O20EHm1
aUC7QV8cJ9yL7bwfzckndSfD1YLYYa1Nm8raKQlPCOeuvODs9ba8hsMTPa7qyjATjj5ADPeF0/X9
XedRZhERUyiGkaaBvic2xuC1ZwSKxTHoDAzyXZx8hSZgmhtWE7iHtTl3IdPzMUlQp3Fz4EeQ78mc
Q/Ml+SPXXNV23KERsXVvQBzsVILFw8/f6bn2u97KyL3xMpfHohv3VolcxxwchI9xg8pWIUEaNIKH
MkbrvYrRFDz53Np13zFb1dKlrwBuS23AieHGXHK1t1XW9buJM/gV/kDzISD64TWwGqhPIlXDuRQC
BJsf5beRCKKdmdXpdwmxqEPp5WLLnjtz2ml8RNsUDOkIpNSnSWoP/WeJRfzQ5B6StWHO08MULanM
dU40b9n64opOPrPhPEwPgOHUiyNoL0ZqAtwT6XhXMvrYFqisH8zCUi9G0edMYDjxbEQG16HtOWtx
/9vbLDP7YW3jFnqLoRJgLQoPc+yeceygszTz4kWJuMWTNh76OTceOIvmsMWD/H5Kya3yWnO+EajW
9gG557dNdZFpd6QtMoFtB+Au0Go8Makadi1cYLFG8dMcAVIY12ZLNu3Z5mm60VIVF07pGfFkPdoJ
RxefCZjrPvtGnj83aV9fcZvzuzKfndeOgS4qB8y8wHqgHd3ECSihZJhoJIp4bmGkgYPVUDTXLWwv
AHdzNW90RNi1E/bnYpod8pwHl9QXAnyRywdEdHFyf5h1XuyKuZwfoplImzUYzfxTEI72dpJjd0Mu
BkOsopzx4xezXLdelr0j1e+PwPUWXaHhpg/MlHnKls/209S+7apU7MCdTwdhSe8riYPT3iMVWZKK
jNuecNOqJzV+7EY20sq4+PhXF7xQgXKP7V6qZmdllrcD4aHvk7BFQtoZcb0PAiSO4TzFe2Sqcp1G
UfHJqPr5CVyquMy4OfKVBezzJB1MoqSR2dYxNu13sJ35xrR0jto5aPIt6RPyaQTcEmPqwxCxCRvl
X0YZZFciaCf6UqytYO2+2C3kOtvPs+vMUfENOTw2CJk5Qg1U6jB/JXEpJYePUA9jO8VVfYcTyOJI
06TzY417AxdyXfYns1UeeOl8eBoz61314FL3adQaOGFBH/hhG3/z+y7eVR7OWtJo8BtMrePAGdYh
kufCFs8YT/UjBiv9JRr9lEVXDJm/Qj7AYMLPXPnkT1nxrbDpJ/U2LSkkf4wMys76nKDK8A4qw/7c
0ZDCc4R6B4Ev5jYALzNG45cwit8Wfh6vVnBu4ARuSwFQbTDiQ9VYD+bM7zxltT5NTXRNn79ZmRls
w6DXMxZMOYmHXPGSHHryP85jlXkPAwZVhHu92GdV2JFQkFF04H5ukTOX13Q1+aEmoY5CGu6+IZGA
BF5lZMRAZ8WmcoW+I2+lpd4z2VpLILmSPeWJUUqxswAProPKUreF74xPuSSSxctJK8yLCnFCW8BT
qV3jEfjfdnRQtCpTBHe6dctrBZuOflCafbKmSRwHVfZbNVTyvVJZDmuqrRj+DNVh9KvwxbPL6Say
vPp9aMW4w76qs5X2vOmBdjzyOGziOynaAznkySWpezjhQ9K8hlU7n0dMqd990AdrGbk3UqgU5R/b
fcXc8m2qaBrCLglERDZzC6ZoGoz0XJQcv6kk8/F7FJn6MgM7SDdjaXjXMLlYSDCYviGnEFtttMGZ
hNBur0ud3noTdZQVR+HO7yyISpkvr5hVMcdMK0aNkcOQoB3fS28mi0E2131gdzDvkLqRgkM50BGv
CxI0v4CYQi3S6wtFZ7rJwsq5KQYBv1GyrNem4YDTyfemn16mLnmjxf4urfAGEl67K2uk07zBqX9f
SwmurpGmtUsa48yaWPawx4AqE+/D1LOexipdm7rPKCPCZj77Xqd3BBMY94E52eZnLefAPw1RCyvf
kyG/fV043ymy6n4PXsd6ZpNqkPpBxvBdvWQkl42PqyHIw3eYTZa1mxW7UYvk8wFKl79x5n6+Mlvj
KrcyEox6fzqhdGE2ZLbQx1QaUs0tFLuAritD+NhCwKQh+TwWuRUfSrR2lJT0AXWXnW1XetesCN3W
bYh99mIxqFUJ4v8FZKJ9ESWC4TV15nytugCrszQb/3NBZf1QK6EuvK/0HSwSgnaqmYa73GhSDQkL
LJFjWNhEpVfNYhtR4TLtBnyHjroqHmaMKGgDQeB/Bq1TXuw2B6kEydK9tmsqlDxvcNVSrJYCmbxX
3+aiQ6nTlm3kIWjVxA/mjYrnbTybTKXzSCafzDxhEiFlBxzGdIxT7FNiENNwrPOivGa+6RWbri2v
xOD5d0FsOhiMfBsETQYf7T2YUustln0A9jn3P4PX6Y/MeiFHAH8B/FnGSZ6ALKABApM3sEOaviMz
txpICFR7HTyiHU66lWIqux3p6iGArYOd07j7EAL1BrYOvAAD6/N6yhDRs2p9QfFJprToaxi4TrIn
Na7EHNLtExHfMsX93tA6OURVbRzHLIL1jTXflMnBcdNrVCUo9j1J0DxD0gdTK2NbmQpKLvL6TW5G
9rpw8r2xHDEwxB+4EfNao6KuqQ35JjCNq+8mM6VNGhsH4Y3EtSxhhhyR8xWyftTjdfIpVHhacIQ+
EpBE+mERPxmUHSuOgxCxsu6G03kFgzm4ohHUbEp4pnYKCo/DyBvzkEvuZpsqddGrhciofDN+7Wpx
jgFgoUdWYoPVyNvMGvloXifd0c8XQ4W2hhXjlXmDV8YG0g7/M8cCjQgaYL4XIknQhdqVhdiYxfiF
SdwGqvmhQ8+xQQNwM2Omv9V2WW+9xJyJGZmdvbQjQid1aMEGncgl49xkn7Kqje8jyajBifC3x83Q
bxuz75dkysUALIlJmUmxoCg1pmE/Wm7EoNC1IvKw88nGBt8HzcovOnXxgGilgKO5v4ECqZ+PBpMb
2xkOjuFHz70l+pc2qyBLEJ7NgSXrgPCN7US26SyG4a4wszLZerEMn7GKjV8AsUTn1pu1S1gdsbE6
d18YzJI/QD4okXHWj/g4c0mSQwY9gqqy7fmAH2BcsXGYn+KqLR46M5ZIghRq0L2RF+3J932i6oYA
G5S55Nc52EnsJdHO7ILHriPjjgWGgdWSezcWzReCSmxEFosUgHA8YGQhhFny8sTUL9F5kRlcxz15
epyxlmg9kwi6CZPpYnImeq9W0fDKm5WuGV0hCCjLZF96o7cfJ7Zql2ndUSRhDENTjIcuoEuwIp8r
3KZCybP1IwBwweE8I+xH7rrkA6Y/ogJLv/WfAgoXB/zBEiYYLbmC/9V9+z9J27Lx8/5Sk/eQ5nn6
J1HeH3/yvxtwoQgWD6+HAZ5gK3ppfzTgAvR6pieYqvwRpvWP9luA8I7/EI2bY7kux4h/avL830w/
pGnGGATbskNT998J2kIR+FN/nr4ejWx6bhYaP47Njmv9uXULi8qsOLmIgwMB9IR4LQfTn145IDVP
/ghqKGkIgWN2Um/ZlsanVOcxAjPsbI3ZJRsLxMmKKjLAZtJiusKEd1+VPbgdQ3ZXpU+6xk+NzT86
wD8P1JaW9T/nCf/6fZdu4k9tfhdGS5eC4D2EKXCcycGFK6H9EDkRYeQgIw+LpnkVlma0//UH287f
3aoPXW5MyKXEtDAd0rhNkZ912TUbcrCbm7HewgmvN3NYYAmw4CyCrbwZB8XK04TlJoSgtc7wGR2m
uXJXNUaCVR0iufNVcsP5gZdecvc8e7wp7Ci+ijpUgnDJQNoTYnRo5/Reoj9QRboIglz03w1zMEJg
AiJWSCebN1Ojm9uabt8+6cr+YUC4fclRXFEtj+m2kKI8laFZX7nU7ldMaPXnpNcYXmj4XeAtEX5d
okpXstua1dcJ9NmxqOK90S1tNpR8mxjiI1NlptE+I/o9B5BgFY1xusv8/mumwpYdu2Y9lykozqQi
vmeuQUdmMWHDKkFDRU/rif3rpp/0XZNJdWz1RhfGC53T8NwVGT2yLPxE98rYu6C2FdNlgPueuGRz
fAWhGz8B7krgyxljuD7d25pR8xD4X1CdzJsBFySj/+yEdQKC+DDdjGbi7jiLddt+2fUZincnOYzj
DremQHmWXtcA0HajMg8qrh8LZzxF84RJWMnNgKVJGMjYswZ1R+TSxiH8Aw0aCgFSZsiaBzmGr9HZ
Cg0WCyk58JDJrLdcGLxserVHl/7FK3zqmP1L08lyLbRpSZne6T60T7w18Ij7czSFnIcDgVE4GR/H
wRjuxnLsOA0QFya9nuRnLXEjG49WNeptqoigBZoCrqauiYDqY3tLJ5Os2QRWfs48vA286BhU7G1d
mkRHx0E1EYASJnaMjI0s9dx12EO/G9AGPuJROjXEzxiwg9co2Y6zrexNkaTFNu14mkfXNnZaIoeC
kIo/Le8n0k4ScynGUhpL5ZvjV8SgkvCITHXfILsPEwQwZrhpPeiegviZjasdl+13OHh2p6lObX9d
+YIyjOmwVSDJIVt81Q+he3D5NVelE+0995kUIAQTNkf0xJXYkIo+W1jHwRp+6gZPCh4sPwC4i3HI
qkzzbMQOr5oe4fTBvlrVsvPPUy3zh8yGGTbREhq1A8wFcFAejMa6nBLQ6X127QWjWE1QcwBO9d26
y8xxMxlib2i1R9JibB0vvu8FlmkcmHinYY2XwX0aYE1rpvGxG2HryXTddcn10Fgkjbk0YwhVGNvn
uWhu/AWdgjrhPklk8CTodO8siKkVqS55yrnQixWgJ5L/ygoJlNqCb981SfnVtKpth2t/g0iMZHjR
JmuUDtfMKZK9RSx4mjUwOMOToayb0adciCqBVbwxBDzlyd/FkQfyneza9s1ijMl9r8wHSqtdKwpx
b7RAFSEZUdzSEv46iBgOVaXIu6ElEX5JCkKLSWdImZ+0KEwKjoBr3ff2KmpkscNWGpM4tnBbGrs6
kFJUHUUujJUkQmWjyty9CyKo/MWQz1eZ2fQHwoaSk826uOSbPJUAG9esfvo8cTp8VGHAYtFhTrVJ
HNnrxMJtXPg4xXXlL4za0TyGTa/um6jsbxmlykNak34S6Yz/MCMZYZhxoXWFMi9eE93IaTopYU+o
svPHicbaKUd3xiPoPPfTnGwVAktk0iRvMHEl7EVIdS0aiDNmgH2zcwizF4oWQJbPJGi1bXqMF1dK
ZqhFqpuC+zaxSoZ1676UmBr8aGa9y5x1OQfZodJBRlPQmw9K+zNJTPV3pjsHeoXdHpW4WBt4mA5t
mH62KUG3hL3f+bRu11ZCWPOI+WtFc2Hg5J9Zx1Jm1TW2qftf72N/Hsj/2EABmwjXwnxBuq3/UcJB
nIkFg9M61GF9V6eldyizRVmZuOdff9CPZMwPW/WfPulDaZF3I/ROEduHIe7dgxOF36y5HQhpF/S1
cu/NE0jDRtch2GxZeaWv682vv4K9zA4/fgXPosZxLWHjPfgwAIeQqznQzFj5mGQRrOIIY41Zr1kF
iDQ3hvJxkTZW/tChpTrklYFJdVlJEiinDObI3QGwpxCB14AzMnWXa2b9YCxY5WOrqq5dpCEoBE26
KDQZD2nUVQcxju1WYchFwWqeFOOvA+6i75hijZXRtRyZVQmNjqUl7op/S2zx+2/78+UuFcxPxVHm
FIWoc9c6EOAW3bdqtNcTbqcNDuR5/etb+2flyh8f5aMiwUPgOJBZ/vxRlsZZ2uUj8NDe/975oPwm
13m1A2JQlCtffv1h9vKo/Mvv+NOnUY7/fGFGip2Okag4uOlwO/eu/ckuaU1nOn63UkxfjZd3tz2p
QgDIxHzojBHZYi5Jy/PIwA4zCHP8kpuW15C25rijUdOdMM3ba1ISy00KUB9fqzY3oF1cwrHr6tbM
ElBcOVOqYrT4v2FuRcdoEAhJUdIs5YlDnfLr61wu48NlUvGT4uczyOZyP4zC81J7psE+cvAaF+KB
F5nEDIic0s0zbtMB0T+gWlq/v/7Uv3pR//SxH2pqAf9RmTVmajwCvBpqAftb7MwqoumhTONUTeN1
BCjktliqHF8DCfy/+AosSiEUpiBEYvPhRS1Ma2wl0ed0SiDWtWyJqduC8PYY6XUu/jXp3UDKoN60
vVdW/Wb36y/wF49z+PPnf3hzesJ9aqsCfNkV/StxGeN1V0X2qWxogk9G/Deyr+Wk8PF39gLT5Te2
GOB+lH0RM2Eo2mDmwbXb7MLAQq8YXnbbX1/TX6z03M9/fsqHa2pRhQwF42c4eHjxNBeIZRD0Oibx
v/n5/uqTlkuhw44ICHXIn19PS4Z9Nc+eeZgjrVc6sD4VXnhkn/mbK/rLJ/XnD/qwDnD+QH6MrYfd
BNpLqrubjHixPT2naAV/034g8h6TEGajBBAghbKQnbz69W21/vUc6JiIaXhFTbHo2j7sa1Ey6sZP
SXokuEgeZsAIj1I41jFNR/sg7fGpluGSqAEGJh0myrc4adZ+g+XDL4mZ9+Gcy9pgxaS6qM55XH7y
lA2zIl3GP3h/fv117X992BzTWkx8NCX4xu6Hx8CwhjwqZ8VXi/szLDCk7wmRwfVcgNwy5qsx9Mat
7M1D3+LAiXUqVxxCjR14U8p3l6HpULKcMkA5UqZG2wwGQCk50xC1Ma04RHyXUsdHsykp4YC0WP7Q
rFL8EFgJ6HtJI+22ciZ4Ajtcg0H4m0jJMp10U65Nb3Aubdv+XuL8l0zscZLf/ud/+/JeptUmbTuV
fu1+Vn1Z6GEo5/5zndghLb98Tb4Uf5kM//sf/8HFC38zF4qdT/PBCUznn0ZS3/0N8SNdKUhjDmeV
5d/80bSy7d8g+MBE9UlMF0wbWQb+MJLa5m82skw0Y5QnvDr8q3+jaYXj408LKI0vn46VRTcNdZpt
8XL9ecERPiNqZuCEMmPZ2qR+OzVAhTipSoRHX53OVtvMTMJn3bjB3lvaLRwsu42vs+govEa8m5Af
DxCdMPWg8OrLsNw74EJfCUMjmWT2JCPdLm++NuiGeE+bdl3oKb4msma8D8LE2NV99cOR06n3sIqm
/Zi0/j1TzlRv6fk6XyNyZ5xV5XjJDp/Xbgr7K5LHijPB5Bb8GK87NnNMuBBpnxNH2F0qQ6KcGTjK
MO5fvLgJ33PD48yVJFO0ByTV7+zKwnlSZMX4HqdO9EpIc3+a20xsXG/s9jOBlTAcQsySwqz27dj0
m1gUBDikwQ0yLb2diFs71IlpwcDvvZVuHJPyrZ1vtUcgdphhIlmVeN1If6g4E8xRKp8Gsv++paA3
rjrTsE8clB4hroQo6drg1vYbqnfh4qcVXh3ZqyAFXA7bQSl/GyUtqcBTmQ37YJrGNUOO/KVl1Huy
g7E7VbnA9l8OV1Geppc0IdoKdlr7UEiZgBNuyZyg+03vJffTN8AAxicRxYyt09a5xDB/3+Q4EOQ2
tq7xfaApeFVOdMOoEcsrfnCu08XEGTXECLimc61dwoY2AB3rNcPlYkub/vvoMFLzFls/Z9WhpBey
uBcK+yvjVmI554KselwFIJ4QHHOjjOrBKUWGiIK5SRL05ssQ09JvvKLBPgIwQva5dWUnSXvASNJs
tB1y6TFnVWZR7moY3AF0o7azs2tEz4EiUhI0SwkUuehWQ4u4qpsT+/M4yfzQi4CMc8cvl0B08jfU
wvfzwAtzatUlnOYWajtdC6E9tS3d5BuChog9sJLutWUN2RFH64of3bzIziwvup7Dd1c68dM4WAzH
mQQ9T6MoTkFCAK4msprAtzFsLsFg9GstTXHXNjbISCM0CIerHVqajurlewsiN1winq0+lrteZuJ6
tonFBHUxIvgrerRhgqc2NcPiqaCP3WxGHAI7o+SehZllcuiq+tfZTeoz8DF535dI4SBWB7tJmwp4
AKoTBx6rxTxG0rh5ziXA5bx0h5UyEOWpKdtoN0/2BKZUT1YwhdcJV9etXfQuWzMCdL9qkiy+hkAf
39qz5Wy6xF6G74yHYpRxHONbWzNMi8xp3cOUX/uYh77CLGlDxjlGw+Fp4djhnyZ+J+e0UX9trfEE
WS5bG6beCLMzdqrWMA/oRQTMWwHfeo8MwTccCsVRIozAQJl4xt9UWR9OQT9WPUjSrNMWbn0W4Q87
OeHRHJFblgMagWAoB/h1tAkJHE94HCt5GQlRXesSl3lbvRTEbSTbulHqGoINMytCauFJzgPGO85O
myqpinM4LIHLuLnyC7a26qVuGCK2vk5thmeJU2476B/RqkOhcx/+eJ/zH+82lCvbOVa8FzDwlnVB
uxMtaz3YDpQYx8hff9qmbn8vjX/u+vuLSPmnknmhBYjQWWT3Lro6Np8PK/5kdIwv8tjcW27MuL+k
lsrtByMYX7GhZSurhnDp+nFz8VXvx3C1bPy/4H95GpSkE23ErrKAFiaQq6cZrlcmXL1RWTF8I4Iq
fiRXeoJkoQ/OWBwbm57+WvTqNWhB2IEV2YMKONE7C9aMgr42dPzXPFvl7Ui+3xGJdLPBx4fh12qT
kwDSDBwuHwgiUbl9rGBjeGszN7st91GsI03+8uAR4eeGY3nbg9d8xdtVvYIjG3baI5ZHYPS+dmNE
tEVMwGCirXJfd9p/4aQWHb0S/OtUpsM9/+jv1NynL5llk2w96HmDsiyA9OO5e93LeV97Gr0CeSvH
OEF2uNJOF+3iTsQPEz6kYaWhD6352noNdzPZ5U5o7TF9eSR/gd0v6PoyxWSN3Ko2Us8djSUiREL5
nNkk0DZF5XyHqxNv0i7PF2Bcuxqlm52lW8Teum+F+2x0rrgJ58B4sFstiE8IY/aWwKy/kWM+PntI
RZ9dnxN3AkPqNiDx52Qu9CXbcpJL1JjqIAbnCExy0wFC3fi1AuVFvk638ntrvBNa67tRl/k1WUJo
wpMComDiEGxYTD3pk1OjHnqB188UM9OR2hJvDpPvxzpy6pB+8hNHfoLou9klEKhr5/K1NCWIE5Tf
l1l1ZOQm7XiucDleStLK0FcW6cV34d/C1IecqKxsIryzDJK1qQZ58aWOblpDyzvP1z4CFiueDm6J
pIA2VbVVCst7iOTxttdJfeUhUd8kkLIXcYk8keRB3NiyihRNRLniHzEIk15U3RDz9oCwddXooqQP
OV2NrWfss8DHesg2sZ5YqtplzYo9Vq9oWcfs2EoAZBvG92BZ4YZlrSsUnjetwH2issDFWLj7+cfC
2P9YJFkpHNIcWTnVsoYGcP+SVZGKmYUgAaEmlvUWqWb1NC5rsBKMTSpds+ZKQa4O1EYCafXEim7V
zf3gN/V5Nq3+1aWxsamXnltuKIGme9kYsmWP8JfdwioszhP5soc02GuMgy9mRuTdjy3IDCXw7dCY
Or3JrcZ/pAfh3rSycKAPLvtaqhjurILayt19awbqBCMYFfOyT/aks23QpLGDVjIO3rTMXLYKnmk6
wiKVZwCtA2so+a2HOsKLGhHuBlv4x5YOhYMflti5BKlaOuws9EckR7X8RP6PqmFaCgiDSmJeSgp6
oRQXKFoJoex9d5MsdYdJ+RiFnP+8ctH8RQXATTIbxzOQZKKgQ2M8Ri4qcuIIShSRMtkMyJOOWd+L
jrFL4mysIXTW1Vj3IzrOPL9yRZsd7a6GQRKXAjKq51zDBAnuq8mCDKXaBGpposJvzG3FLeMQ9+tQ
9MNt2k7pk4Gc7SEiuaKFhtv7RxTIBoMV4i2RqTjpjWeFGg00tLprz7D7gyK094qaDnmdxnq4OL2F
ewtTMjnJSJZQcQcs41L76g31y4vpSbkJEYYkQAVNdwdL1doH45A8+jEXjhROHJUhCS9JEGPDCAkw
CktmDMTVO8atO9f20fdG56HMau8Wk6vLFJStyyrT+lGChE/Rp6niaBspwctligOQXi0t99iSEO/C
MWuvPAnZxRt0SPhxar6N4dx/tetKco/RGSNw5EXbaY23eOV5MYKyGH3Vp8lP3T1YA95i7IHpyfdk
ftYqME5hM2ha5ON4ynzD+2E8xdfVeDGqesP8bI3B7YzN8BGlNzIlzvV7PK5gm2arhdJP5/QumUT+
St8q2syLo2Zlq7J7i10iT2XftVsTStM2rPNoz3/yZuIX3i6KL/o0lXcWMuThh99ZsJWb6Z3RLKEp
dgEHlVw8EA168pzblMuIYEPAF0auWUtvYbl8M2kyj2jZU3gGFADGBtcCUpy0a7aLse2lbnPnNExt
fwV7Hn265fdbjWmfP/bnoy+SnAtYoqwCCvYtyXgeBl/vFJrOd1Sxb9NI7iUbWMEBCSzo0VduwNuO
SmBVZbDw0HNOe1YeCusoN58zElQJEy+fLUeKF6ex+sPQF/KTdt3sU9Sa6hteHLT1mKwPQzeD9TKf
bY90+1WWud7Rdeor4ekboLALAXuECkuE7ZZ4rLnktVr0CeZAku+6D2vPRPDmyGPgdey7Ue6eQruw
D3Mns61FptDn1OA5NWdHnEdt9Lj0vOgr4k1nH3tBpskAXsr6GVDuSo8IxMbEee/h8+1DpwFriKL1
kqoyPcsJ0se5r4z6noQH8Zhwfhmhfo3dtyGXlIt23gaXqqlYbSALZg9E93gtwiXonBmRaDvghQS8
1rZLaSyBiBiRC8fWD5XH/5V87iIdnFXkS3USaDx5fxBbjEMRHeEvZGf4Nd2S+Cgn5oEGVBaOIze5
1yaHCqn/lgDrFk/VPHJwspEsGfl0HMNQkObC50NJ9V/KH8hQ5t7hFSjhCV8LWXO21fuvCSzxPdjK
bBUFRt6vSiZmeqUm0+MYCmhlJeuWtBmwh1F/Nfvm90Vosx2syPrSDYZ/Ezbk3fnysSU0gUkwEQv3
IlZTSUxOOr9n9sxrkATPZVdRVPfs7fMCV9WD0vvAbFpGsva4NxcIK3l/5jOxKsS1k7iQII0fFEsS
oaqxI4BW+BE0V7YSnu9igbzSnpgfYUZLuc5Nxnr4mC9oIMHB4pAqbouqFldoXpEtL3F6NoxQotUW
jqzzgymLVMN4wKlm39pWpb87+VvUEt6lgWUv+vvEI+91cg4qzSmLjOqqJAzUMRtvo4AA+whIs72X
9g2rCBhcd8GUlu77hCQr24U/2Ln4bCByh761kUN06RbELgXhuRMQbGDvBvlrPd9PAI+F01mrphLZ
98yNUZrA6w2UNO98N2o+83yxeS2EX72wfouF+mv+AABDwDdcopngAhMW23+e3VY/AbmzP0dm7n7y
FqQwqGLn2C6YYXaC5OIt6GG026RORgXY2QVMnGXxEcog5gE/JUwZ/MtdmknvfloAx25C3q6xgN3V
gkCeM88huBy4DvndZLywn/rjC2ErdP8q4lnWuOyTQwzI71jANN86C2+ZKL/xAQgnLEYDnTxRJs4O
M3Z2cPD7Y3ikkp2KaNoOKUxWakiYdiCnAD4r24xu3aKSR1ic4y4uQPvlZF0/qYUlTdQiKQEhfOnA
UeEhLooEslU6gR6I4J7wHRDpLYjqAUXsS/ODW92NAOWrtLyPAUdUK4BO825YNlziZpq9ZeVPhTHJ
ExSBfo+mloIsJ8GP7i9nfsdzHrFStdu5lzXqyQWu3S6cbbR8C3K7MDRQsTbnDcwrkwUbidWw9nre
LL5Kve7Ckr8YurJbT1FlP09V2gLoX/Kg48o+JDkrRGSX7abtwGMA6CkPqLUwSpB4s7KCPCPiCyn2
Bg6QXse5u5n6PDoLK4quUGkt4p03l8YMSP1jjIOdQfNZlcx1RI7zo6+Tl64kZjABzLYt3Hk60eGr
NpQP95zL1yIsNPe2HMlyYt53laA3Xpd68Df0CeZtOroJx6TU52we5MU5QUfHLYgsYhVqC8LYkFEw
tNX3JML742mMyIENSZeAGQtOYAR+pALX+C6KOv9cpY4qcMCL6N4xBnDGFNq3nFW6s0M+4RFRLp0l
12vt54wEsjWJwPJziXh/TUpafcaUlnH+k9lBYs08mIyR9s6gmktFENKhTUnZIU6LRDja0sIJZ2LS
MmvPG2Y/dRzXbjsDoXg1+GqblvQ+ktBcWSb2jy7Lz7VwT2N7mALuZ1+Fn1s8J1mTBPeiGsJ9pv3s
GaqHc4SoW1z8tAXNwSt4RKBwG9secpRfn4XFXx2FScAKhOWbCAE/zsqYaIsoQhe4N6ap3SLi976q
eGDs0bhVEJLDxPnXJuMW5EaF0l/lqIM3CFCMu0Ln05vnz1JhnnKT7QSfDUDW0q+kpwMqr8dHaaFG
mJFjVD86nCYGRVL0RhqEU+0Fp5SBEjFgnBCN38eQ/6+79v8fpdPABwiZpf7n/fjTl7Ls/+O/fynl
//iP85cW/Zf6Uz//97//oyXv/eYvXEfqG8txXLre/1CR+ti4Q3rhTBN/F5gyPP1HS979zbJD1wp8
2u9QF5du/T9a8uI3hCjCopXv2Kbn0UP/N1ryjvfnGaCBs9x3QFl85C5Uoo+tnibyvowUAUYGHbjF
aDDjw02Ha+nkXr0NI1A95B8QPLXqWyffEkjfnKdxiI6AhpodAiz32qvIkAUh6iNB68m8XKjkRhfR
n5Jwc3ELu0S4UCji345ssjPqbjqWKGdXRZtMn4hgbPc+h9Rt25jJoS5Vc0N0cv4pVhHDAL9GZ73U
S7ov8nMYkxOOCJIiZKmryv/F3pntRo6l2/lVDF+bBQ6bm5uA7YsgY1BESApJmZIybwilBs7zzKf3
R2XV6cqyT51uwDBg4Fx1Nzo1RQT3/oe1vlVEzZFxitiwdYhf4EfihwUvFYO4X8uydq3Q1Fqrga/P
d+z0sLd8lnLjWtUBN6XAc9hsn5c+1JCzrxVg+FkMMpU0v3RrhdjNdTyf6noA9NhgY6vMSdsFqgz2
M+WlSBaokUpScmoFVo0yNdPRQ4QrCKahOiU9c4CdR8VaJ0PlE/e4fNNSNKHMD6yDsda4cJXnL30K
b+TUhi2aR/dnVdznOtmLMicRGR7iJjIzBHKAgU42DqIfIkVO1rWV5iuIlF7yWYOv1XiZFOkTc47q
KYzd/qCvVbtDS+B4uh0VR1wI835ZrbaEwsbNaw/ha9V4SXNPGZzqSAExWYzaoJfEtsTaF41gnOl6
EQ7LkqXP3A8GsvDQpoXLLCbF4CRR5r9o5POQ8yIGMiDyrtvGekbQwJLwXeIqAuvVW023RdmiHQpG
NNtokTD5Mzn70fovgXZgxgnj3rxnDJ1/1CPvgm82VvWI2Z5rTLmwwb4yHFQk4w5mzSRKYgv3Mj0n
20GkKrzNpWNduXkdXWyYvJ5RNUHE270mkDBuK2ev7qP5EkAH5RgkrFbwLc1Lw6/4AvG9Z8iodTpg
xZrAOEfrJuopHBDB4mTmhi6/uYqENu9ysMcfcyX5ndrctVmyGqSPekThoNYMxtq8d2QbvHAek3lg
I32kmDRM5nox7pHInV0K8Zqg+iDuWp+QkuauNBFcQmSuSMbtF1wVgJnj+1hk4YdNJgj8enjpsxnP
cKTROkAea5qOq2pc6CpclfWIZJSmvzE7ml8W+tevbIGV7ZeaYX3ozAV4pEMbIiW0oRaQvaV0Fr5x
W0HHGaDNMw8vFPpRKhaQhQiRUJAOtmA1kgPFMzVHiUsUY5/wuZjDgjjXSa6z+h7aW0bZ+IDpCCGE
VWk5vbrdFuY2MWrFfT31+vs41+WVBlWNKIl8CfEBhwUYKE0P7KMBxKpliOS692Q2vZp4nq9mo7Rf
RbFkB+Bb3f0U2szH4Zf7i1GLCy8KUxVDVdPjpCXhC7dpfIWRPL2q5qBjrkWk5iaTUO1g2JvspNp1
ub1ECFcpf3ifpiDrTpSx3KzguuM1awJh7XZkFntgPciI2qx6uP+V+96YTKb8qdO6R2rp6Ee8JOOP
MEiGHXLF+WZhHHKJi1Y7drOdX2BS2h3BUtrqszNm8V0jn54u3rHyYpNj6zrDJtT9MS/D73wTCN6R
TngKDE1vFO73tEirLbWxPC8DfYbqG3sbE3F4Js8XCLwInYSLnTmKQxwpIayrb7hyOHviqEoHck6I
6PEGisCrXFnlMbdi5LeKiiH2O8cMzkniTIdZxsTGNMxJybZWwdlujYwVlaYDpcZh21ZbXh39hX2T
+1VaPfi2logRBAd3cwGILpwmIEdCFTtbUzO8NLuvvkh7cE95lU2kNon4tTQjcewpSOnqe32Pjzq7
Iokl3tptrBi9l+nBjDXbz0jRw6JXjz6POgkE65lezKkDZACvmwwn8S0LW7h3cUQatc1KDnQr4m+N
c+86h1x066K7ZVYXDL5eNu29zTl/qUnDILC5VJM39CmZC2MkLsSipV+MVoveDXyjLJTidNj2ynRP
CzmpB93V40Nf2OO+EKF2ZG6D5nE0i5JWkF2sX415ch3a+ZhuDWtcfoSa2x6SNI/vc2rXq3Hq7giG
xhLHaSlAjSSu+Y17G0p9k9Kvk4cg7xbcnGwKQ5ifuBwA7XftXJBT2E2MV8roI0lS1MoJ022zmvBg
sq5yf4QjWEjEW+LGgO/wMua5fKL9wHKog/p24zk/4HlaHMglhoY3mV0MupXRuUP14ZyzZpF+Zi3j
eWg0AScYrTRQBCM4whgrQRuEI+FlcbwLIzAQYA3CcBW7dztHS7J724HRG8Nz/swtaN4Zf8XRjekM
y4sGFIaNJwZHkp1QZnsJqMozdubQI0hF28y4Vc5QPIZvZhsmO7Y8vbdwi+0HNy/XM15FFT0dWEnQ
MgXLW6u6IYAIAsvi1ua7NZTFDQuPaZu2M4N+XSHnrXvVvgYLqbPGUpi7YayxvKilf0cgOe9Kox0e
mpBraOMIG9YeQ8tjyED6xYzZedJLmeFtiAucaXvWxLvaXvWDjVzT0ASq0bZy+pMzGsZpyNkTupre
47FL4j1p6px0Gl9zFRshq7Y6mC6JiuS+W+jBW6lqXs2u/hqMRePlXCdeWIDuT6eyvR/thvWpCpwv
beIOl2hAp7fkM/c1I5eTwjbMQr8AwEFQCnptltmwSJyzy73647M2/b9doF+TyIwi9qP77+t3fi0r
zr8w6v7nr/8TrNPvP9h/6V5++R/bT1PWXf/ezPfvLUDnP+rS9V/+s//nf3n/Z6xdlCMGGrJ/v0I/
vTQFPzV9+aUu//lVv9fl6rdV8qagbKFFUaZiM/nT3eWI34iNRN5nsa+ES7ZisX6vyw31G1YrV9c/
uzjHWUVbv9flhvEbChn2u/R3gv8i/yV/17oS/ofSkFWpjZDURFoOyUkyp/3LyliijqiczsXG3NoH
HOm3Mkg/DI7eAQ0n1Ns7Qi0+akZf/0GTCu3krz8ZKSfWAkPpEiib+cmC/5MWOYxsa5FLRqJU4DbE
EDr6hqeEx2i0ByO8Mhm/JpuYv4DSOdaWe/SfnPHZEC03sdFWHyyDEY2k7PAkHlylnks10+ebwgQk
Hs8iJwIR1+dGB+TAfV5PRMjqQ7Sz7MD0ogYQyyIH56ghCNyFrcvAikcKbcocInWQze0YZhLHlfWa
6MBVqbJ2iWsZXqfBLXfq4n7GdLTpQn0LzFg/dRFWYDE1yb01gRRFLDFYNwal0SWD8X3jcImsU7Jk
vLFUsi42+HlEwLX7yZL5HaK7bVolZ3am7XVa8VKwljCIep/odzZxGvPFI/eJl5f18GpJTXztnHZq
yWw0wtuYgfCZJRERX6Q34kWGcMe+bWY+09kJKo8kfIxHw73nDp0wXUeVH2bl3hhNsL9lLfyg7Jjz
MM5AU9wIbeVtWOyvB03dwhjoPoLJdGFvly5ShjDp3LeuGgH5zKPUqERc/Ss3BRSL0OQz5geVFd23
HGEZ6qY5LXDyhHiyoICso1sVnRDijyfGAwWQLrS8lmbLmynOxa1OnEW0NdPZvjCMdjwyd/Vz/DnK
ZzhzmUKwDSTbr3uypXa6o3RybIbk/RT7UvTTeUhUt4u0ANIrgRy7JO6WU4EI6Ct5RE7v1VWrgfoh
QvCR1oqqv9OI5qWkrLR9r8AYX0LTAvkVATuv+RygJPUHMsg90VYuAhwY1ZAx9LjykEgtj1ip9RQA
Kin27D1JEphWv918y78ba3KcC+Pd1hxb34ZgoLaD3bmXSI6tQXIJWgOvb1jF2BAAQDINoBlUUSKE
gifO3dXqprWH/DhVfhlW9qM9D8zrF/KmAl+SCIyzrlNqI5sWHmnpVPNVABMHsFdpg3zoo+47Y2E+
SGmtP4d6Schn51SvvDLxfQtPiJrVZu5Tz9lcbGPRR8+iYFe2icFn78yksMQGYOBwoUPipyxmxK49
SF0GkMxgv4+VaI+Ske7kBYJdA7UASngfxsq8NePJRDufzQ9muVj3BfNHZE6GCY49gfqQc/XiJ6pz
R4ZonliBD4Hhfm8VnnmAnZnaCtWU124GcMFXbigfhw4JqdOzx9/2bCVf4Eu0XwmPolUyMSS91Bid
UOEDyvENoiltT2ZJo3uwYo13rY2Nh6ir8sfBToI7gtOd56LPGLtHCJ80pFGW/oUSmaW5QANbbSnO
8odS1mLbIn9j4VWHbAUD1DpMVylTCYCmYEh43TMNM+ZEoRNGUi4I+ky1N6KBSNEoZGA2dEi3Z4fw
lz30g+aeiS4AajfUs9OS4omAfQHbmrzonJ1Jno3a7VzNLYyOVKWPyayxMtX1MkF+Wzjlq67j8fSl
beWHpdYo8AwtcWZOQtO56iHsDBtwVSVPfKKSi5Zn0cXsHFIRoSbjZFrYAt3FpbIeeUuxllYyJ5BK
VbCpBGCskOxEX1SCItmy8zv2gMl2qVopsRdO9bPVcptwmOnztxEV6HcOc95RVRUwvmiLC9sTKtdc
rx7ChJprQk3N3D+f1nzfsUM1MfGb4vT9RJ/BnVXJ2sNChSG5IwjsknX/MtyMnRwfM51dvLcIIBmb
YKA9OqCuNr/RvhLri0HIrsh81QqiKmY9YUNj9hfNVtVXNU927rXkVrA5HwvxPOZL9VaHS7PSb9gf
rFozjZ2GCfgCGHO0oBlUzRxeGYGG9g6ebHoDykKPLugaxmiL2NU6loMMo32bWQC3Zg3jGkAUg6er
KfOYVVCdaC9j0EwEqIZB0wIwLoJdW7QVe/CWRYUg9j7zoSiEJXmfhUYaWZc0RCuWKdGgotTyFJkF
Rsg6KGf8j7Pd8k8M2442U6P6c4PZgS9Ry9FlnONVwLOu+SQ1351BM661tHEe+6TJj0M+pCemHxzE
eiuzg4xmbtC06OenXLHd8UIVjzeiS1WxzWEcfF0wVjWkiEZ1DWxYOG9lIeXDBJMUspmOww9tX0p9
2zvNx9wP0R3lK7OBGJ/cFlDueKMgTez4Q4FmEYDwVJRhcwxTVcYeTl/SC+VK7wZeAvqr0D3N6dsT
G3sW+PzmLwuWaGQtGDod3Z43K86ETtfObkTQt+O2HwPseil9fszU3nb0QxDiAcSIqYIXPZzZYvfE
283nUhKzzvZliJ50i60dBiaIQZ4iMbL3KoO/bQqi+ZktovzC8VtdpsaE4KhP87eS+/kscTTGACnM
7BtedBcBAZlWkkG3XEDiJ06sI+4ipYNNDf0HKni9+T72dncRjkb05UT2hu609rs1jyzGgnj5avMg
veLCIfWz04nNncpsb4p1lqLKLgA+hOb1bYmJK/PsunWw2boaOCveNPMuZk/1ALkeOh/kquxcD4Pz
zWbs8bGgzI8Yt9cDcP8sxcTQJ9HSEHs4Taa4WiaxxtSGgXqejUq+cLvEd9Iwooljq8oJqkaitmR+
2VWMnKD/kPPBeq6sPTEsYrrKnMKm9bMa4bfw/PzJyloeAiZk7CWTl9p0g5tyKJ+GvEHi0gSTzw6w
9AgjmKMdhUG9gIbTnOHEhFI+SGyWI1TpNQAiD4BD4lnWKj/nlSDzd262faVZ0NtM9VqbnXUqIqls
WDJGCGwMzuSBXDJ57oXxrZZB/ZX9k/ihUlZMB0fnY7Z1zRYghsHQKtqI3uk+lNSSmp7NAUHCDkjd
65YkZa0frJm0uDQMWj+a+oSn0+oZIo6jRTyeAkMEF1yhZduoftLKUz8I8QT9nU9UztiLQmgNnhY6
116TgWnbqIXQkA0XvPHRpFAUOaez8DluAImycBPTrYxjhOL6nA+E5c4h2kNCM+C4TPl8jOtY+xHE
TY9sxhYgltJG6R4sve67VQ/IW8hU0b6HmiylZ7Vz8jKNFqeAa+YMeAzQUQ8FK3xxCIeK2kQYy/gV
OxBSK3RHVkuuhmUR6R2SHkPqBilz16CTrHu9yBa1y0Y5ZpsYo3HDXLSorzppOm/EqjXexFqWPODM
b+rK9awOypo9iOhpBKG6sbWFio2xpoGwti03g77GLqwsQ4/F+JJsOkN7nY2w+gaWq4BIx2gJZ3GC
iG8TdirfCZgDmzZAmcOgkR9WheZtnxDkGko78nMLSZVmzwh0puIQuvZEBkaixF1S4Xoc8wKNWNtk
ZMwEgit3QMsY2CyZnF7BjGzyV3pX44lPovUxxkSSNiTK8ISVjntx+qYBpYdqg++YOfeLMccIPzo3
etBmA4hRP/L68VA8TmLkuMogwBR71SbzE9j+9kuLoI+YvMWeZr+XYWuAJ6v6D5dq8FVEQ4FwRrGm
8Uor0Fsvp7v5sBRkf7bVUfQFpUXJFdua4npsLWZK5rp1RIrL1D6NR2S4BniDj1gD/lotdf4wLhwq
m6oImAVqORqjTYBrgKKy6ybz0AtrUj5wxPkIDJHNcI0YjT6AmxbBQlRubDFbEddYUWc3OdV87qdL
MujABbKGLEkZP1RpTUL2TBz34oCsW3JnTW9jBrcdkXzisk4swonqHqs31DTtmGYBu4tpjonfdSLp
ooLEPc0qFkQN5p00qwEgDJnwS2P1K4UL2eUM3msqJMIEeWkdUX41ujzfVbGeym2fVvppAlg5bDtA
Di1i+zZ7muEFtMdc66P31EG/ilk/oCoqiPNcNxFg1pHBm+Wj3lvZlxHJ3ptJPtSBiNKJNNCYZ7Sg
My7BLjTJSyLKUGdSWNm3gCTZ41salC60GLrBHmegPHQLdwaGUYAZBgQRCA4HYRCvKMqyvmvUCHex
I/jS3jTxQoHda7Q5rWj0Cxue2jgxeyaoYm6E/sUh42JDkNQ7c+PJ2aSTQnzVGA50rSFnTnywZWgc
JcvPmxJOLDK2bnTZieZKPwbo2tdjGUQAHtLmAkKwQrKQipH30abNQ4xMbIkp9CsyLu3K08rkTTqs
WjaWQ1gIXbJ9J5PiZChU3SPT7pwB/s0UpV9ZcuR+R/O1LS3Gi61AY1ZqnW8y0NuMprxteQBuYy1Q
W4wQledk4CNKlsd+Uw4tk0qnS7eY32kslpjtQc8GCKmwvkst0Fig/4q7UXQ5ur6m9DuDqpHp99wE
/JhZZOeSdLKtBgQUfByREPNE9iRLxxZqVnYAcsjWiPoybNPxUshGf9SL3Gw5YNEHkzT7hCi097rY
lPeDRAToVglCo2K6dSINXoNp9/JQism9CpxAAGSrTLIybY3ARZel4Qn1xQg1KVaI+5tsHemV7nFB
JyS8MnDRnnB4vxN8sa+V3n5Uc5RewmHoNt3Apr7UBnV0mNo/mwj23hQXqOfwAvVNVvJPRK/Xm4rp
pL3lO6baZZGsUb3JqiYq3qitvuRNpx/MOlDVZnRn4wuuY+2UIaTfsASoDshAh6+VU6ffgx56omfq
M2aU3ina71ZKG0QBEA/mrghQqe1hD46Kk9Sc/C6GJgiovsreoME1Z6KkqSyHyOUCS0jUphog4XTc
ZQPVZJoo945oPzAJhqrhb9rjQI+zphZ7fUyQFm0mlYKfrndmpSCwsEMB+rhRozWy7wDKe0QTybHT
8at966RYBn/qkcP406TxoRhQRoPfyGkTdmViFUg6Spa0HuNMq9/gOpLfO8aa75UNssIXppvOvmqV
e+UO7uQe8npsERwUEUX0aGXyXUG99WMmOaeWYLcb9jwLS0M9ojCFUItYIRddCUSwju8YC5SHrres
e9HpJF6HSudIDJQcwccv4exVVYvUETfhbO+ZI9OcJ1kxmFhhTP3cN1V1YPNE9dSpqGGCq03dK2YF
1e3/344+fxmE/v+kYJBinVr+zXz0vXlZKQU/p61Xb//jvxo/v+T34aiDNAFHN149oK3SWb20/zYc
5TzGkIohcKVYOegJ/hiOmr85Ot2LK9ghOqAG0FD8PhxVv0HRws3qGibfyzH/RR+hXGEXfx6POgQW
2AYIbSaxzPrkOsT805DS7RNtTFMj3SJGYlBJlPymLxH4e+hJ+3ORML9CNWaeJBung56TPIKwIM08
0oMr1FBa9yRGKslNgXruWVZcDHzQi/IqW4GiLFVTkDY1A60dcl91q0edVFeDlGN8Jg65fBWL3Z/a
gvnesUdoQxVXxv0A9SdoY4+EMZluO05CJGlxRSRaQgfnR3kWvmHzsnNEWEqCRLKSZtx0uH2wqkM4
KgjYSZ2vOgd2ui1oFs72ogenpa2bHr+XLp/qZTSfAhgEX9pIG29xT2GTGdYRnyzI+h0MJeGnphE4
bNbC7tE04Fy2YMJId9N0fAODKMRwNKkgdVaeQcOmbY7MB0hiZEqmQJszHIZLLTcEJTOiHW3dKci/
JErtNnLankzIiAAZD4ck8t4WS8N4KwF0tGdTiq6lFEUK5oGiF+DHEmMiTYkyQvfiJK9Y6U/l2ey1
GOV0PDfncoaIhasRQ5IniUGgeRiTmdLLzAHWpCZpfVRbWYfAr+NGGlnL4KQbq/Q1RXdYsSjus9Kf
25QfIND/PuvUnLepFrgH3hnxhVZigE7NppZW3r2YIM+7TewmzbRtW738aloWO5clySfIRSEIyaqZ
9JAOrJke9Sp17pjSyVeONZaXPWIqrKgEXTIQDBXK5TGR2bYnhv6p7uP+icJAYAHKRAu3iTje3hOO
U5+SvMd7GOVQrRNVI06uqNDHKzF10byCnGncPg9O+/MQhdRj3SfryWqvZ2z7edwO68nLzcIhXEfr
7Ji99niD/SmiiuK8DpFuvIvPQzxYbCokZjQc7m2wuFdiWAO268/jH7eSwb/jTqg/r4dc6lbqjYub
T3gc1itk/LxO5s+rZf68ZvrPK6dfb5/68yKikWuPLaDzlNnUelXVn9eWXjX9h/y8zLiRisCLPy+5
vErx65nr3Rd8XoO6VQR3AEEQFn9ek4zceAZhs3B9suPgKg1NbtU6k+lb/3nVMsTSvSKw+8ZngshM
BGV+RBg1T3T+4Lqx8lu6D6TvQ5abtDqUh8ljtbg3mdMj4Oih+XQblrHVSTcZGwDoPGQzbuKD3urJ
Y2GO+p6gzWXrxGI5h26b0TJz8deTGdRenI7OeD0TDGHcGU1cPjYjOneIwAfDHkjAcy2E6Ufh5sVD
GCXbLmsBa5IX2S64nvik1DBxr8k3iLnBVQEymFCdiMTEQIurH0SQLWdzwCXisWHI+6NGyOP8iFqs
Rmg5zwMJ3uSMy3Q3EDzT0PYNCfPHPEnjH4FWR/djX8gfaTbWKOLZQUZXIwLl5TZOM2P2DB6Zfufa
FfYdqtaJtg97maWuJLaK5dYKqSqvNSJAH7u5c5g5W51NhQKPGYKSHZm9g3R35pjfBG3ENB4zLw4E
xF8v5VSdSBRIUPggjmBmsWEobtE490iJbZu/dvPf7Mqd9b7q8dHlU3VpzaHbG1WV7v7zcv+nlp8Q
O9DH/e3+8/qliKv+V1Xiv33ZzzveFb85KAh1UJVwJEEDcIn+vONd87c1EMi1pU1V+BN8+fsdb9q/
SRcXP3UrZCZmz6gZf7/jTes3tTIp+Y6WzSwW8/8fC+DLz7v7ZyTQPxKD/uwcBbT56x1PhWHzY1iC
opwh2VP95Y5nHFdUmp66B8Jj88Mc6RAuY/eI5MHiHA1NIjrC6UuqkgLFcMYsOlqmr3nbaQ/0PU8g
9+prrVbLfRjk08nh/L9noXNnFCyR0gXnmzGKGOpTSZNKdiIGxCZ4FMSSXXepdtU2a2Z7ryDzp+29
VqQGeu0JTbaWLht7wLJjDhlagIT+GwgiJ1CLqH/DxFDsIIW4i1/ZOKVcME5ojkh+WMaZKXUi0Era
9QwfCBQgKoyA1pLL5kAAprAPLumUD1mfR89xVb2nCwnYRKFZjImmOPkem8mPEWHxIRbiJikoVAhY
xe1EShd7ENH67PU+dK3IfdEX9c2EeQ/WR5DfJ2FWX7spi+SeIMsxN2D0xfZExvVoeEMdg9SL4ueB
/hCWb4UY6FPK2Lbsy0bbutINDtXEcUF26n24a8zc8Ih6cBF0dnl1r4/J28icnLV0EHhWNGf4UvWx
9VSrf2fYmfPaBMUA3aAMmW2J8GEYoQpYo/bAzZLdDRmGSOxuACHIBdDvbLR/FW3GGGXrlmQApN2s
35PDOmCGjjMXOCb000NMXOpdsMoxuxoIxMYumOT3WibNQ4b1UMPkkGUnttNdgozPJIJHTC0i+yUJ
GBxwrLmngVjbJzYQQXPV1jhw9kAXhmPd2TWgbpdKyB/Q79QbZt5DQFYk5sWNAPL4KmtrgnZIJBfS
xBYxq3DqGgVWnnfudtYoODhWU7nJa8EYlZLYZkLEbQsW2Eji566VzfXSdaLaGiUceS+EA38bhUVu
+N2owbjrGOPEVYNZ1i2GW1tYrUEWbAddwE1ardjowsmYFgkDOSP35zjeE0EQRAda/R485KyzNM5U
SBpP69TmjaaNxUdZxfkJn3UIeXmummo/yJqI2mSOnWPXplyQIzYrwqJH964dwivkoJhn7BE3pU1F
q3c5LkdLZ+5B+KSwbgCQPGetc5kSJJxkVZheGzeHqBPRxm7064w1y8oyvB+s4UdQiQdurO1siPkm
di361vQ6H/v6nISBb6WE+UXXMoe0QFlN4CU7ISLQeMvM0fa7fM6vQj21LvFsae98nP1SMUAamAV1
5NQUk7rT9bralfgVco6onZublc+f+mEtd4Qq+63iawyjes5Bft+1un5VySgGlUVXsIkc4eHOlH6Z
am8iztIHt9ICrBPtRaFQbZHr499tCAC2FXGa9gLOy4KXbw3RPk1R5o0ZMZu1s25YJKHl7qzhbM/L
1psXkpfTrtReBLsp5mn7qUAnulg0LEPlkN+g6BLq0vIdkdS1h5Sh9AOjKK/1OJHf3Tl8MLOcMFJl
9vsxyCoemWSXQmz3ie3rvL4PnNdFLJDrWPMaaqIUN5OJwaC6ghMQXA2288DRdx3iRdpY9Wwe01iR
GG4j48yynZjZv9Rus88r1e+F1N+yVZI5yfk9TINbFgfQLBZBUmOrvrASNN7HTqU/+iX8+FP3+fvx
/8txjzzmzy2dgoogDSElMCrLgSf/V+Qfqb1gVGPDPWghGNcoT0zwghnmMraX9i12WZ4SjbksDh3G
mtd6OcXPKNkCNBkDpvxNjtiPc7KTPHUwTdxLgpKTtPApbWY+l7GymAimJLzGA3VW2RQGzuqA59lo
Rob0TpWxxiJHpZH+XPY4raeqGY6pgc51D7Nfa64IBOawKKrghCV7GHb252mifZ4s9ecpQ/xydpry
KdKueson88BzOeDKaWg9eh0Fh4rS5L4jBNfZZDXJfk1dc0yNcs24rxBcEzKCqbE/Z0G7G8kz3PXA
qTZWMpzXgKmTrRcnkw3JyQqSZJtg8PFYxDC5Z0zqmYXLuLO37jHh029wnJ2BK698V5MElQF7lVHG
MAXpd6yiMBF9O927AWrxK9ntMHCtKOOz2tY5DJrU6CEtDKXbe3KJ5z3tBE+L1JOGT7dQnEKiMpL0
IZ5bAx5oneTwbUYb6utkbgFTNQyzNfjJblg8RrW7XGSAA6zV85u4bJITFE9xIfB8wapF7sw3DgVA
PTXRVHaJMtcp110aWNTkdiDC4C2kON2y6rxj/Edusw5lqQzzxLgGc8iO2I0Z2HVM/BIvQ2Mc4/c3
yXeEWn9b0EDsnSESryoYtL2hZd2F7XLAlDUMX5lT8rROcd1/n5k1eIMaTPKlev0uJtyOWbrxQzAR
OOgTasiWHHkalxyYXiRilkbmPsvLeY+k4chth2a814aTCmuFBKGpt2NEdi3rp7gx1KbuZoAu9jMy
hGnLK/eUgTpjyBwH/CXuvNUUugOzMr4Qn1WSNjQdGrGm3GUVTl3rjZn5iOpYe62thNDWQhj7KuqO
lsNQ2EjOmWmc2jx4IvfGV3QC5TD+iA32pqV7g7kQcEZPfz8t/VseTcYNMN/3UoTuddpX+NQdvdkp
CASH0uhebNW2x0gBr21hC72RKT4eGf+2d3lpzldti0kwqWK1yfNU7clxf6VYZNdkW2+DyNydljfS
g02s/NyI45NItG+EyoZ7KMvGTVG71+RQETCU9ua2KLTZtxwMIrRRAeJ8NnoDmkkPDyiUkyHzXN5s
xvB0Vgq2c0YAWNV210sFj3Ymi27vCLLC8slE+xlM15lhQDNiu30GbyYpPgx5E7LFvENU015szOVg
fWKk6CrzQhZ1GTsdJz4yxjJHqNGZeG+DbNiyX64+0iGEwI0DZkfOROnnrW1uLGjpCGns0IfQD8J4
nFC8Zr05f5tsZ4B8M83mk4M6CY10k+vPsR13j6iZcUAUcZLgpYtZdhIiE3lJH3ZyY5tI5/Za0xMa
De4lPwXrHd2stzV2Bi7u6vMSl58XuuVkYXxQnxf98Hnp48igAKjImUGJ/VkYiM8iQa71QrRWDv/Z
bf1T3RasNO6qf3+Uen5J2+jlbXx/r36Zp/78ut/nqYJcgFX17UjLUGsM7R+9lmNCbCNLQBfKJmbl
swv7Y55qME8lmtUlMQAFqBT8Gv+Yp6IXIBMdc5hjci//S1mefwEU0au5+JYdRzekNBVj2r+ARDl0
A5SXaHjkmB/dvN3jGsnOYd5877BgUtvqfirXfOqm3wcKtR/18CMEKv1ctsOzNSbf+qq5kTzb8NSG
/tDV3SXB5+GZ0oj9kqGfj8pPeI2dPXcKVbzups8kSXItzUfSsTHY9HDOUfxR5Se3f3o3/g+lxa/M
uc8/Tlmgl2h0OU6U+Msfl+hZ1C1zKXw6EZ8rfJcGH0VTXXTpeP/aTxK8kzby2TV8Fa+f+xfKZQjV
26EDQLVhYHsiHTQhPG3uSt+oQv/vf5T1l+4Ye/Iq6F//w7L5D3O19f1pAo6VY8w1dPB+IYdXJ6gd
cFjFUzfjLm5c4yoYaLYyOZCrVoMNdYa+9XQpkMiGdbQPjLE7LH21FzHpR/SpRZFfa7a5+LbdPIfa
eCql82KiQGOCBKWu/NGgmfBQkC4bKO7nmaZmA1tl3AWWjtmEVCILfonXDSQGCj0e/SiYX+SwfKvr
GD2Fw0Y/RZPw96+Bsb5zf94C8MeTXkwKhpSMKlAt//oaBLYTDfQDLs2A2kc4wI18qj1uRiKpgD6U
z1Uu8SsMQL1YnrOF2oghf8twgvz9L/L5g379RRzDsEyg3LB/FRFWv/4iczRNYR5izM06ZsronOgE
NedZhe0aEJW9EnPIXYjwgPKw6cmes2cklomzxzSVbXLXvLP65mElbUx2vcfs87Ik4fd8Jior+484
4ub/tjuRCMp5DkypOw5JJX/5lBaMLLS0m/4Xdee1Y7mRZdFfmR+gQG9er3fpfb4QWZlVQRN0EfRf
P4tqA1WpR8IA8zJoQECrVHlv0kTEOWfvtZOtac5IXTFzB+bw6PbmQ2P4V5gCH3VXHbPIP8yjv08b
89lIGB93LkxDuhdqBoJFbHvQAgiYCY9Havk41IQg/fVF/dPdDXz23tAGDcCr5LHS/XxR6YEHCHgg
ffepfCD7r9lhgRkoxMabYRm/xKhAigyFhOu3Ln2B+b1v5oepQNDERPOvv8xyTf54g3/5LuFyTf/w
tpl+bcG2J4oq5vg1Up/kpC+RT7GEQOz1337c72vSr5+HZtlky8YDTM7Mz58XoOsNZzB8G6dl2ACy
Dyt3qzZdMfBUuA+WkPYunIpq01dGsmZind4iMTwy0noPJpAFGQFbWzEUaL2j8jXu6I5pslkz/ThT
3p6B3Mk1GXSkanjpHaEr3YaG8cpw5kvYaveQ+XQVaqts1oqZLY0ba4vG+8y8EFkaatwt1exFNgZp
BDhqVjVA3APa2mnLGZn2WMHRFVWns22d+favb8TPi3ngLjfCt00fobNvBUA3f74wiKikrlpuBJ7a
7eyKXVZfj1m4yYu/oQX/h9ckMBfZAHYlPohW58+f5M3gRimfkq2TBWdqxu+lZ6ELCTlzzktcfKST
l2wcHtxmPrbddO9M9lscFovPK35XccihWH8JwgRKM0ewZpNJpa4W+eFfXxD3z4/mz9/zlzapGUeB
sFH6YCDwESQMO9SE2drMiteYDXpF44oKtO5TqCeJXsmxvFJjPcGfaV7FXCx5Z7NxjaSfXGRyIQ74
nvorpVWxyewhP0AmiPei8d3TjMvyuRvcal037XVfMdpx646Q4bYfV6QxAE2N+GDf7PH0zhPH68a1
V8ZAV5QQvWILr7XDYle9jG32ESf1UmAPE4VX92zj/9rMnBx+FDhS6ZcKRdxLI870OOcdTc7nv75m
f36IOO14LqcetmkUL7+8zXkbcdxwymgjvBjeZM4i2K9TJ9jHtb3764+y/tNncebAvsC0HFvNL/v0
mBGkoZ0q2vT27Jy6bn4Bmumca4TOz+ABXfoADePb6UqLHyKAd1Gh7SYShw12aCu1mSfL56YgTLKi
6W++3PLZP68yiKg93losULxNvx77ZNYTNQwfExOAPE1iF3jGeW6e/uYK/HpSWajCRDgsqfSkZdmL
YOCPa6eyc6S+yI9xBSPtHBcfqkdCSuyBvk2TZYTb3Q+irj9k4z1lw3TnaQcKcMU8yS0JsZuLGndq
Wm4DPd7iN04u0mjBYxBN/jcHiv/0Tf3QZVPksVisXD9/0xYDphw9avLQr1hVUpABWcE4jCm7wI1M
KnuwMxnJhzDe/voi/dz8YlmDYIsXzfcDssYYk/2y2MCOa+dKVDGA7uA5HgKWGAyFUUVgoH3fTx3a
3uZvPtL6T59Ju43RfMQOy4T95982oiZ3cZyAd23iPdNTgMBpPZ5q1B0bO+VoX3SfSd4/NYn7QQLR
h43jZB0b38Bbi3ViVNV1OJY/Mkz3VhUw43/860vi/umcEuJ/Yx6wLMLMoH7//n/Yc0ejseAPtQa9
226D75UsyHgX0yVllpL44FFmqMw8REhjIS0lp27233Wlxh0R3m8Kit4KvNE9zc8fWZLsitHciZ5x
pZGnt3CTaaDAjfSqdBXV1SfuunAbMNzosfceK/54xntxynKHqD+ge0sNvss9/X0qzMduct8sInPw
8O6Qn+1cVL7b3lH539yhYNnlf3o/6VNRtgQccnl3ol/Pt2UK3iq0kmCj++DRLrw7HLCHoOyJ7GGq
ATevVVvtJVf1KCRBsvybijitZViybYW+b9VwzzyczcCAf5rmLlmGig0eG1tIgyJAWrcpIpAAlqMu
QrdEgU0s3g053bQkrRWk1ksg3GGDW/cDSGK58kVIRFn0ZtnplUWzKZf2UWXsBtlUbgYTjQLT5a9k
IV10dnOtuiWxiq9mFjdSjpcxyy65hBMBFOyjb9uN4SB+zcgla1v/qjLyfUMNQv8wD1ZWSRC9W4KK
GJ1mWxmg583Bos9XEPRk5aRy0jJ0RgwW/BH0o/qTBv1NJV+DmdTF9vtfP4x/2mRDh+Myryal3cJy
+WVl6GiklkFDSipRQM188IJDXx0a/AnVP0+a/9dm3f9PWrRlgvyHy724gf+pO7v+KODiX318JdPH
f92qj6/vOvmph/KPv/qPHkpo/0aLhLLXQvaF8uhnw67FJJseCvUCyRz/lqTZ/m+/q9dYRhZAe7CU
5P8aV1vkMfoEQbDosgnSevnfjKvpvfz6jEA3ZnzhA9KkMjcZgf+8nqYWYLQ5n/VuoWm7G1NhVIKG
ndwgs6Bb4rXWS9gIuo8KpMglxaNinaA/k749pCAGXTu9Ufi1cE4Mk/vFFhk9zmUbgRGrhO1fEK92
ybNgkyC8wajCZwpIm56xbW9Gg6GcNuV9gzL9KfAw5bdJ19/UpfmMY2BkvSiHx9Sri0cxl+VX5wXO
jTKL7GAj48E0OCdHJYrutshHqRnveWCSNb10ouwTEohaeyLFF3QuWpwWCxEtpMFcY52Y7qIu7qcV
24Os0JU19+XoF/N9TyqLw0BvLh5qDPz9JktV/1BYVYEG2B3wDkaYOdBSuXbSH20h+2ZFAmD9ZRhh
N62mpsSl6hToWi6kEkcRadN2EGBsdW11N015/eXSH0/3Ihrz/tmwRPRVzfP4bbZg2h5sFTUQsAP0
TSIbDH+XRhGmM8OHiEYYTVAOp9nw+h9tTKYxQu2ieZe0fR8r3y6AfMbhne0iWx2y7JggPoQJYSS1
ua9k6H/DM+/2R8fHPL9qYsVEQCa+CWFlpJXu96raWZlw0zWCJ4wsyGAeXV2lb510xVfXGOpzNHVw
Tb02BVsdNi20/UG4a6+ohzOHp3ZfspnQe/ZUseequBibPQnKVzc9yZ1pzdrTAxgSVisujsSu9j7z
cNxnWWGgMjJJrjIU+ihwpjDsZgyZqzqe0DowDk7XdQcrB75zssF1QgPaze0lAH7AbV1n4uKW+WdX
8LTQ4skhQxcVtt5UZA/AtMWKUAD8DZLfG9eXv84MNBQwP8bqg1FcjNKxc34IWYQvrsL1xZoPO+89
qQOfMbbs1+ixvjls6Ngte+OQjfTR4VYQR5jNxJG2DHHOflvcL9wFLM0quQDO8O6WBsabIj/zSmAp
8beSJLh90wYhYmQbo25uGvIVxV4Hfsn2QEv7qRgFB0eb4MnOLBMi48hdwFuRyKw+6dJhHBTOuD4n
8CKXIe6JACvLe+ih5jatLJfuS9baKzTaREu6/ZsiKnFt1j3POz1Rj9C6XmM5B/8UOgeTfJYPDzNj
8tJh5yUbeEzg1GGgyphKovQbjiZoKyb/3UwCRFUwuTpadgjNFjxV8qqHdOR8YYm22lUY8cZLM3H+
2CT5ABTQDG0n2cHhshuOW4N1owElBvg/lf/mzAHsX7SIgRHvyddzX1wHxum15+pE7Rg9JN0O7JDl
bdxe2xORVIPj7YZpnMxNNnKjV0RNeDnvui3K8dpldt1dAYGGgWw1mVk8pBH/1X0SDjmInIB+4UvL
0xWuzECy98bCYASYDojZ1+XEmHZVQ9Q5tEnaPpqZ9I6hF4nmIdfVFG5To42y70M/1Zce/i0vNk3F
Epi7JZ8VX9ReM+rKv8uhjRR63ljVxHc1sHKEF/wuJZmR7evQQFpadha8l2KWP0jTbNZgBAexhfWV
6yNPJm6eGvrXyoqUe4f5qLwuS8/78o2xJCYXQGh66lxPfXMiqYxVkeCYxUKAShWjfsoiMdpPpe9a
T4hJcHKYueXugCJhHjHrhhNvCFgx8PCNrWdie8gi9YjIQDkzE5POAhnodZd1TbXmVyw2VlrDQskT
BwOwHHO6slmphrce1NJVz0TqpQqyCRmpN0w4L+38hIMFLz/C+HHLOiSMzaij4eBb7XDVR03E1BIr
5TrMEgz0hj/eeSPcfjehPADflAARAikAJqAU1THGIEhdTvzZ0Wqm9Ny26G08QzWkkdrOS4Grd2cp
fFAzE2N8OwO+noItstiOhgl5WVCDO4Y9ZluRGksoPaSVvYl26FJXrbEGM+pgl6M8wJJf1jdGW3Uf
2D3Hd2AG7rNOrPzog5DcmaqP79kt03DfWIF+rKxs/NbgofhC9zU8DqoYdr1XPkQsSxCLmyDS26Sv
HjK8e2iG4CGcGrI9zD2ac3GA4u0wiesByQCfTNee2/bO2kMUmexC2c9qpaX/JsCZNhtmifqc+1P4
I8L2z/yNYpJGiXnI2rZ4D4hzEpuKie+Al7lztrJHT4HptDoURV+BegcH4ZGjAbCiaq1sN1n8wnAY
sFJUqXHpyOhOGLcDr75MhUPMslZz9USoqSTeciwWwkJfu8fa7fpzniei3VRAtDzQOG367hmGe9d3
k3OVNXl0UxIjionRDz/ZmtWFrAv9lvWYylcDuKUTOCBxLiy42nABWKg8Z1T3BUqwChtMH93wXdp3
qM7mc25pjE0dmRr3dsAQOAUB125iP9jpIPvuh7Z8giCZbYe4SNtr7l75Zs7mTMe5hUevWm9f2S7Y
3qr+gmow3yJ/Cq85uZChGZUFRlY09U1kpMmxrBD4lFantnlU9bxvATFThCn6d2a9CHqLLprurM6Y
6wdA9cbJdiv1blvM4reCeSpmuoowVrQ3zKkxC+v2m9/0LriBmhhdSNXOEVBd/loNQoibyV2UUGbm
lt+qQbefsSN7dPVjhXhd63jCoohhKaNw64OHyJ2YIjueDE51CBFkhZWdf04JwKo1P43FzDSCoMdf
lQLdthv+kJRR787NQLp6g2Zl5uZawMV02W5bjN6g4RMk+zUHMzxH3ggVaB7aHx4pnOgIe/6/6STd
D29o+yMitvoy+Co4eUh87/Kq6ueVDqYGzZ/ssycJUnqfNIU+E/Jr7k1EESeon/wg5MUS5yTQ23Xk
azYbHF09CbR5zzfsSfZ9WSDE0UFlhcbAOznzRxORXrptRmf6SCcj/mz1GEBI0D2TbhG6TQJ/bXFV
WcSinLnxyI9s/npJt5ikkxWq/fKmoct8z8E02YwpkUMrNw0FbItO4sXnZ4q9HWXVe5R3Be+bUw47
xOGphTofmRYaufqtrFpfrJHzlx/gQbyziwTww+k6ve1j1SkOeEZ8FlVjebSTcdgFfKUtKCZEABlJ
Ei8teolP4GjNtHIqWJJp4lHdRng57pNqGhe/ffmICoXvplSFey9M+5Q5YaqPJTlMztZ2RXXLqj9t
lAqi+cBhp6pXNGnEU2zJZd0ZWCa1HcHuLRYFo4o5NKHwycqC8nFq3sM0Y6tBDDjfqKLx3E0NNPmj
bStvGyTZkvvZ5PmNk9pMOILftZN4+U0wsxIsYqssdM8am9iTmNvoEaRgHq6pBIDhoFg9lBUKwQ09
L/fVjLw+ecjHLrptXEgXWxaYEGKLwfaxgBzgFLAz35Zi8k6JXHRNadGGB6dyjHYNIxIJt+CaHcyU
dCIP6aBeeZYK7sDSGQGYksF+YNhab2pfdM/J3KYPdKTDW9KvOLclXqPvpN16/c6MZk9zJDHMiZN9
708oy4X/0PtRepP1s88hL8ynG89p8k8cCs59U7NQH3ynIjcLdJu/9XrP+GLFy3bsz/7OnsLsO7JD
QueKxHvCfVBZO8Jl/HuzG3yo2Pj211HipGs66jRJ6AhHp8SvgrccnthtYSrjWxUW2YM5JSo927ot
zmU/BT+iEKjLhZiTCvms9oovB+PE8zyM00HOsj8HeDaBEgYJwh8zQJO78zGTTZu0ZBU6NA0RuSiT
jCdfTAg7pK713my99lyASV4HU2oCJIGcvrWmTnXr0pbyZBLlmaxd2U8vc4i1qEoyeuUBhINgAwV2
3OVWVV9oGQdQmESqtkMp0vMotHm0iu51RCK5ikWVbhBN0bQq7eY9rsylmPIJCUkQ4KeqZuVxhUsO
dADeabIBr6XTUKHoRGboGMmznaMYchVOWJ5CZEE6+lEF7kH7jjqOIhbbJmyR7jGV24dkkexj6ELf
YwgkNzCWWP8mWPwrNVIdEr6zrwqyUPA4u+7GHns0MVFV3Y6llxybrNY7azLKg6UhmTci6D6HvK3v
AmNifhH3HI2w01aPePzEzseFeRhkJN45zmgsysl9WrI0a1K2OcwFWEAxPKyCvorPtUdITh0ppsWi
0xdc/uzU5DxthnRAieW3tAwBT6/YifMtufTt1xJ0PWyzQYZHmSXhe9Zgkt2Ujd+eBh6QtWFM6qzg
E3BYzLNTRErPxxw2X3NtcLYiUmTZTqnG6qQkZ2dSCjqIPcNpE/T0koSqFuWoeRWlXrkFWuusm9KA
fi0we6Tx6N+1hYlSuxlHeKaEz19MoKXHyaibbBOiZb3xZoJdyd3xL04VP/LY3/muOPdj9wxiz4U/
keO58uQMgyAHs2wN0YrbiS8/FwzWmjlLrhKjLfN1NnXyGdgFhAzhR0QUFHi2orJ58s12/EALPt76
s21DmvHb7Gqa/eDg24N7rGJGuXuUaC7LG87MN6ZkN3mt1U2Oe2cf6/bQ0cfjBNiBCDWl08GUVDGB
zZ73Ckmv/1bP+qpIZHPWCNY3jWXKmSXGEd/ASZjQBscR7ORY7QiECq846M2ooyO9WI26hyLhs52w
8SBU2d2ukUhweUShZRdzYV+jFhge24CzOX4smLodHfo33LfeqbVQTZUF8WLt5OhvYQnKSEbBePai
eHiIhSepc1pzR+AGuxu0451jWP5LiFYsXxH9IvpNr3pEtJxGbukhBs226BuiK6rOKraN0aCrJkKq
BPVko4f1BqtJ1iTpEPjSGk79juXdKjaJ0fU/GN+2AYEmI3RIyy5LKpOWjnbLbvKlbIMsoVwW4yGb
0/J9FIr2ROfYcJQAItbitshq8zlO+4rjd17c4re13+3E8G/sTFpfOjMqoAyuROxecx+OHdXNzieJ
iQncPKbPeTMijzRCAuYe8MaW5WFEKYh8y2/rLdrk+bVPau8Y0AE6jsQvUS+MTnkL0cL2D0uD5EN4
hrUlmh23jtuPPpwXt2UPa0sMD5aewKsOvbtmf6kfEhm0HzbxPytDW8XB9tJ3ReD62dG6Lbdyoama
A30W6joJMCmuvMcmmFp8c6B5r8Q4WbRWS5WRa6/tOdiTROcYOwfiKnE9CwfiOWtS29zX7JoO4n65
HBnFZRjqXTqojAvRRh0cNQ1+bJWRyf2jNsfuOiRz4MUciwB34OTEsBfaIHtNy1Sd6OCUGIyyBmAE
CEx5MoLMKR6HuJ0fsF/1ZDiNSavPVTLm42ZOJuiUgzGsJ7oS+9YJ3uD+FtGWOaW1d2jOBaxIqUk0
luXNVxSd6j0q2bF2w4DLOhfkJFCaGY9AUMOL4c8a4XWGvKGr+ndeuVRds+T77rnpiuzGih33U2Zd
+EJnBkAG+xEn6drbl8gzr72oJrhSodfDXCicy9h01s6KEvmVGYjIDw25RFAsEwWTzJoBRyAdKJTH
iY+GAYZvm1Qsvx5I51JpPVwxcdBLWdgJ+hESMgwTs7qF66DLbqDtL3CqOhpGANERiycxdUded50l
0Ipis4ApranEsh3G61Du+6A3Nyr32mDtqrp7dWLCdXc9UxL2HC3lY0470ANnJ7ubkvKFf1uQibBO
Ch7MFft07p8aDOYfwtAEOKBURHAMzYETDlvUxLwQo0ZSjKchqhczmlW/+IUVvs4A7ImkVYlxW4XS
QX8NFl+vB0AqyBZajrCp7NSRk7jc9XONMTeeOk15R54hAh5MKMBOklC8u81U70u/868x75N3YJcQ
P3ctGKSNl4bep0//w2BSjabBd2Vessrb4SsGCVIILb/Dgdn4zm3BkOUgC8zrPMGOvC8J8T0AI8dX
kyhqD/ISyHTnlvjlxcoWOAMqaF6SgnSjetsXFTlysV3ASGUmGxc14hgVd9uusLJ93gcgRGMZj28Y
hAPYgAS3P3cTxBPSIkbQGkOw0IvsvGUiFWAIUiuCfeOPTibWYxiEIDjcNvQ5J+TCOfu6h0YhcBh9
2Bhu6Vuko2HtEEybBuBrt1WnKGCInJUdRRePp4/2AZmrZ5FmMkK/gcu1L0rbP9EQCdIdZOcSoqAp
vyDm2VcQN/D1yrwDEFDoQPk3KVrU5yYiy6cZzD5fdVMMBG5g0uSvcyPQiJbczoIkw6MC6TieS6TW
YYO1txfRI2B8qvnRZvmZfCv7Fk8DPuDOthv7wjqRSganVs0DmnuFdQzHRpV7EUa9cx6KvpsZ643B
p8Le+YRrJ6EYS8kdWuU2Lb1V2gYTpi6f3iO1gJFv804hLIFb4YiPkXSTM+MseqV4esNrtFO15jyh
yK8JMoGHqWD9nzc5UF9z45VwcteYCWjYkADWmGiK+vqasfc40KTNxzc/ztCUBE33xpuk7IsyzW4v
aqG7S23aANoGI2D8YzhafMXA2JLdaHcMh4mxhWHGtsS6MpajLJ4yp0csEVUzeNyubfz1wDbprgw/
GjBYgLMzbA00p6/N6TKVBIMsVaQh1tiPG3AwspLZ1oa3fQe+Iq/3kPpKoDF5pDcNSsaOXBU3vhpG
eP1r1WbztjEzjNEDTksWVDNCCsWq6mBLKsYdMGqzu0yDh5JnSaCa1xLfj1wTDk8zSQc+68CcROG1
nkkUwySeI9BPfIZ5+AuwqISOVP6+CgVeM3MQNIuwRuDSNUYdX+muZCArC+tHnxvhvWKES+cxA1Hn
GlU7bkzihnJeY0k6qyFrVW41y6ZY+W1j3AlKjfDZTgFFCxIVKWCylgj7weqNHWW9m/5wMea+gwUH
hJ2ldnpPF9dF6Vx6zSYZgvQ+B+p4IM84wcoF3f65BstxnqdePGdFwkkaPFN2Kxv5WhtOvK3SIMiP
OPjouC8RbaJpQUV3Y1x+MNAxvqq0nh4zsPjGhhQAZv0By+50lmyFajWGsrimhhzDA553etl5H31y
mFPfzCwsnmZzVOm6qgcN58VITnDXo5DY3OU3AtTtrBzfB6ySIDG3jAaBTjw5u5GGwpmWjgs/2etu
tTnZC2uociAuB8N8QI0r7ttmqO9JguINyCB8bxJboHbHGMmAB1gG5kfbGs9J09W7mf6K2M0DZod1
YWg6UVatGaHGLoDGQ8jjC0Gz6h36lmT0ZNc0G/JpN89WP1/qRX180KPnMJ5J2tAFImBbx3ZKHpLG
9QFhW9OHGadbx3BJyzVRWobNLIdPBjJwzsA2v3ImGz32tizxH4iEo2lR5bj4UuWLR0WYxSNnUSxd
ZpQExtpkFGVwbGuaFz8wqx+RzcmZyQt9gMU0WHzHjBXmawAJEnnrSLMfk32znu0RwV3BQs+JUvnF
/veh4//15PV/xCT/f2WFQOZYlD//s8D95itF4P7Huew//8o/57LBbwjQkSqGvvkvBfs/fMSh9Ztr
8j/PMl2K9d/TyP/lI7ahJXuI27nBZJIjm/73YNYKflsIxCjiI4vcWMf7X2nbEUr8oqKAVkeEhwPP
IOToh+Lll7ls7zehW5FlTN4Q3vqqIIOK8tgwr5JAJVsVoIzsaiveRuQxF1v8dvHF8ku5QwzUnIG3
WVt4vwXQWSeNSIWsyWG2bc4geJdg1+/t0kPYZ6UJJHbWva2gbWhBrRjUie22eZ1TTyKHqOQxdWRy
wCusDl3Rw23U3dKmEOVN6gZuu2pE20cbz3E5OhTsgaRXTC6nPtvFQHa0Q+meU1TMYAxAvbKMOcbV
kKm8YVSBJAcZ8Wh8j3VH5DPraPQtjRRzL3OgmPOy9FSREURvNp+rS+g5/gv4Lnvc0imhY5CDNq7A
bKke/C6puhuaKVh+W/k2zGZ6lar0MVaEDXii6I8s8eoDvGpydm04BLFqF8agKxfLor3HxbdEIy7Y
2qlMjv1kGNQrJoR5JXeiKudtxKXbWiJL2JJUvGJIN9yrkso+j8KrsBrl2RYtjlhNwJSovVXnV+k9
tWR2LK1abjHbTO/jXPmXBD4KOSA4ntnR/ByfU4YR4JRXpCOttenQadYdsMNVJUk4NJbkKUo6A/OW
xCxEN3cc2MGLJAifLDGbt/6kx/uolzI6Uqfamjp7CeajS0gjEzTWRxUkQ3McGCmcfQGTf2VinLih
d0XtVzRhjwlRkc1yHlALU02Stsm+H7idXBEWEd1iqSWHwm8DN9yVE+x7SNHZmlyygqNCHDYpMI8C
Ij9iTBRYhA3Tq9H2dQrF493oO3sX66Hcl5Say6/UM+6HV/1Ut9rbem04XnJd9DetFUhuJZiKaeWO
IRg7e2D2Hlq0slYFsegvcKj85woXFdlag7LuIi/yb3wbafzGU3F1QB0gD0XkDhgyOhphrQmRHohI
dqfTBGCokYiGLXmaqPj4lfpdJ62KRpZcug2+n94nIDkO2J/Ng8/RdMeJruCAny+KmTqorhi0tEix
HghuxEgy9LuAnlc1ENxc5VN/3bVcY4uZxRunqu7Wq1RPvwxGTqjKG1iP11AkLaBZ4wyhRS5tH4NL
RsDLWjEiAlLM7GQvCePgrZ5GWl9KYWHhpAUhuFa2mrcdEBgIkfXIdBSozPcgi98oC9SF8rO8Gppo
PIqa6f8q40B46OCwAKsZyTybdahXbLnxTaYBhzPlicszmEhFTMpgpURpmGlwV6ZSP1u5Slq6OzK4
0pGlXsGC4su3VM2RKOBsffbquBshynHKp5Ut/HRr9k44vbsmN+kBacCw0V5ZfUlCwGixW43v15eQ
Zz+ijmQ7tF4Mge3gmGTL2T8TPXmflePm5qfjx3F0KSu6cRtvYvNvgyrH2t0FYXFKDX782rT66Qn0
jLXxurZ4AbrnFqekSps9VI88W88YLqnROpZp7J6OmW8Dr5MveFGHfRdxnl2z2D93TTRcLKfV18Zg
lk9SeR5TFtunQxHK0fwKyD3faxJXrohSgWMC6HrXtxlQPpArzk1ljdO3UsfWm1SIxALVeoeRt4gV
thb0Atr6cUhtWhHSnOHwraXbVF+ib6s7DMnx98zQ0yGnFvpSw0iPyTb5wVZMUAPh11BU96NwPP2Y
GqAv1m6gQ4EohmSQ+0k3QY+YVI/+Dk3X7B4FI59Nywll2KZZKf0DUAFUsUWHgP6qLILaPhZUTMXW
s9OhW1m5mB8ZUi5qkcSl3eVi00mQKboclm2chj2nmCi/Ghk+sb0QW1sDoQaO3iH3teu42k+UB5yF
Km6lFDdSF/KiQtg9hjuOiKldmgl4DHlfB12fCNOkjdJF/rCfxrG4ErkanphDC/rQEfkUs2vX753i
1yHfkFdipQcc05uga5yzQFAz7/DfwJwj8DXIDrkoh2IdY3z9NLGkTxSjU/QtaQxmI3UGDHNVBySC
oMExy2hPQYsCzyymiSkKnNSJkXYl73UQwJknGzNIzjGB81iDu07Q52SBT28Csn6p7/COHzNklMeh
tt3hSrrVcEA1xVugjeJckeZCDR6F2A4I6V1nTJ2oMZL2Phi7dqelMj+adr53e8K6mTjF3YM55lQA
tCLQBkBtDkiCIvlPr+w59z8URGK5yevRf1Gd10Vr10fTcqDq7pNt1/gzLAyipmbW7Kxdm9OAw52g
hyePCftDS/2fb6p+ah98x4zODe/wajRs997Sjfti6Kg4s2C7J03m5crLQAEMw3Q1R9Id152fUCl5
ObPb+WS3vLD0f+X8VciKpITOcaHe2rP2l+lWoaniuZVixXgC8B15fAb4Euk6Pzg4Td2uhtI93TnC
TJ68xOmXn26G59wqfLFPmQU9ZWPGeocloGU6Xi0KUKZW7Q1AZ1qVRm9HL7WMioPFcBA+CAmnkBYM
C3hFDJ5j3PgJ5zXcuzSFNjrX3OjURTx0owl7brdhryV929y8URn8H1QBHY1G1U8lZ4iICQ/yj+4N
h3hx09mzgXc5nolSAR76oGfX+IAc59lrr9MBzCxB0980C7QJibRhG9jge2/4rZtTnBimPvi1iS4h
Tzr9XcPzoPtDkADAIbR8waGaWtQmqnOCZA13iGzNxExYsP3ZMujWtcVwFYxmPa8ZizL2Fp5Vf1kI
inPyTPvqpJPGqdfu0HyGCLcPdUMuZwdcGQXFSDAuijbDWzix5InWhAYvWcWmePMwHlw8M+tfjFTS
6DAnnV31VvUUDg0OYMl42NqCLvDO8DHx3xd91jEWKr9M14bmCHj8dS6rCld/zj3vO7+7HvMaahPR
My1Tb1qXRZfRw5A+I7ZdmXfNbZYiXCPTtkV/LZ0sofHb0IVIu1x1NE/Qo8Kgs4fXKSkYgsK8ywRu
cWYPhhuKJ0I2ku8ksRCnGfeDrLZVV83WOp1LHj08ac1mblXdsCrTUwY0TTEXWI4fbWIby34PPuK5
pycD/ylRe+Uvyiea60S4wcSap2TPgfSQA4zVK3TE5c6dcGky7PRbGKsYx5yQuRUNYXeLqo0lMC1y
/TKkUb51RTuu2fdZT3KeypMInfjQCllfql4Mj8wGhrWkl7YhNHF8ixpfyrVWZvNNoB5DYZMkzudY
VGsUWts4r+Y33Kbf+xQAjAGHFryZ3cOMnuisMWcBV72MjJmExYjaaSIl5NICtsNX3yrz1XLZjV6S
Brr7ah4d79b5b/bObDly42yir+IXgAIo7Le9d3PfOXODIDkc7EsBKBSAp/8PKPnXiJJH1r0v7HCE
RXU30I2q+jLzJIn24wwuDr9RWzALjPsGyrRGZ4ZkHlb5axO7JAnx+YDPcmomcl6QGEjIddgcWpaL
dc8acBzp7L2tw1Q/Rj1GLlcXQu+7jF2mkVRn9AAkBsl/ZrMHoysD3D1Vha+jEqG+R/1Ct3Ilb9r2
8/KVfGH7LPBouxvQ8cZ76xClZ68BgB++c3vDEwhAgTLtBtdBXnfXZqPDc8e0cArBigqvKcBt7whN
0X8UeQymkVkr+dUD2U5vRZPB0WCDNn0JGCe/qdjn1+H3iCxn/PDYGKZVUr+EnuruKWu0gX3b4roc
re4hsANGVnaj8DHZsTexziJQr4fUCPeojeOBb4/GXZ+Y6pvTT2F6qOc0PMPTXwJRpQNjCQ3rgAn4
ZKOEZ+CZsJ6J5FAUJQXTRufHzyScPTosdAV/QxWLklHbdHewZbNeaJpXJ8vT8YWGvA3JIFi2YAO9
0mtYHQCzC9MmhseeEA5zOHXnjC+RHSVuM4OKjMgM90nllO88JEASa+1fFIGZ2Rj6ZbXlmqHNDkFK
XRgmCHhmVMBHGyuqHzsvG874sTrrFKFhPTS2dbJoumAkljvI6UpveapSr+HTsLnBQBYBEvEWX1A8
T/EDxKXwW0x5DTcdGuTrqNzsvG3cUFCaE4CBH7rWegVASCWkSWd0auQCWwfnRo2liqzUeNZGE1y2
Oc+2UOOKKzubq+va9zIwFUbsrWHV8WCBPX7UpLXWLg/Jl7Aw6UwOlPsVCOT8OhaSAGATLPBxzCKv
jagrYlZFfMfkOn8WUWneYf7i/OezhlwOTRPpPT6dDkXCF32+5odlil1vAhKnKrKl1D52t2MJAgYb
zUEHbAqq6g4zSgEtic99Q8ocm6PT2HCY8GLD+aiKksL3vsAWZieHcWZzsWm9Yk7W6AzJN0oM2Cxi
ptxK1y/3mODmeOfS63kWIyFde1aUHAtuwD3mieKO54U8j20+BjsjwnhDnkzIXiy48CCGe6HhWXJD
I45fX/yMp+240KZkPT/8MP64/jWB8SOs5k9Ob/JSxMZAnJoEm7ylnPXHRBNTUVnaTT/v89bKbihi
7C+dZOmzrCz/BNbd31tLJ+rPX/RzXAd2AGC1JQyCo11Y9qeIkIAYPEd+Pu51Ehfn7DL6a6zCJITM
LLlv5lbtOJJ5x05r+Tfhh88RtuWVGZvgESaoFIYfQZ0fgjiN62q/KGmKhfZos9XxiZGPtWec0XAI
Da0Io+rb/0Zx/xVrwrRMwH4/ncZtXr61L/96qb796/Ilfmn/dXgZ3ov0x+kc47Tf/i2/wSfsX4RN
0Zm1VP2CirD5av06oAM+8SuoAEv/r9mJ35MT5i/L6C1kFuRa7gdf4N/BCfMXc0nDMNkTxGJMaBL/
gPP3+cvlhnAW+CWFbGXw4JqfspgZbuuR2F201Q0H7mzcc5TaWXBz8tH5dcDL3PWvkYJLQ9wf8lTA
CalTg4Lrs8khWPbpteLSaOrG7aItB+sd2ihdYfLQ5T5AdHdH++AX0GH4AZ5CG4bffEXbvLlO7OcC
QZAGpbOxaHYeVuKf/64/EqA/prw+3pUtHPbGvD3C+X98mkRNyjGulNG2SaZtn8tj4Wn6joW/o4Fj
O7Pj8o0ST4O3CxA4sc9vpshZbEYNNjD4aM3Nz9+Q+Ljmn94R3nJqbWyQXMRjP70jJmIN9OI42nYz
8CuRcUKuXOeWeW10NSaJiQ/SKK5w9ePwG735lNaLEWF2FXX1VLjOSUX7aeXeRL1VnNnEBc6oBj02
frVrRkiuGAm/+uMbLVebgdCZV1cXHibsXCO04Dav6BFW8YrSlq1N4kQk1L2wJeQxvpEJrCEBVBXu
BTz6XeNUm6xwYBsCL03Sk2fc0k9wO7OvFLGzcZB23YBdIPl2rUKS2GxEvWiPS/u8gxKYUs0q2+ep
NI5GwnZveDWqM4+TFChi+9TQASKcQx4+Dmp4ok+0IVrXJRTS+0enJ6WpjsE0rIuBLVzbY00uMGzF
DCdOqZ9dFoG7Zjy5DtxpW/rRyU36TQ4nP4yK88nVd7i2TzztdyM4WcZkrJJlv5NZMO0MXTJf9jcC
e5DB0VI57cWQeLvO/j76ehM4vGahObcMO1vWq859IkV5yqiZw/t8tAompvQEWCk86r5YZ259aPE7
xAXtYHyPVIjDUerbmtYC7ucqM+yD6ikYmiGVEfyh9LndWPI18a8EpI9qBppMc6s24Oia4alx+GUO
wZZ8+dpI73Jc/0Z7OTX+zguTlyGLQAO8yrH+2nVv4BhpdGK/GodXXUSAYrqmnOWwwKXKwN+l0Mvo
glGXOCObu7SPvsYYsy8myZ3zVX5FJkXfinmse9opGLn3MN0i6MhvsS1BeTAkKlHEmwwgQ1W8E8ZM
bgS9Ti+hnRI6sd3lR8NIKF32EL527nxLiQcyQANrZKy+wIOuOZ2H8Z5dITkZrzDjR5DFFONhTmGS
VM3UxRECwK/sqvKOE5vaWV7nb/p2NmirxYcI+qDxxheXyOUBLIJySDYO8UUyNOm5rewrt8Uo1s6D
f9uLUu7+t0j+N4ukAKGExvOf9apr9Y1k8nvbTj+uir/92f9nCQVAVWYd0GN8MPa/L4nuL5ABlgz2
b4B7/p/fNCvLA5groAaQm/Go+XRQkn5bEy3zlyV5iJBm89NEJ/1Ha+Kyf/zD85fjEUFHFnE2W/zP
T1u93/HJ1Hh/iUaFwZhzdBwrPAx8bVe5VOMuDv3zprLffrhSf7G1/bwce59e+hNNQmQW2FKzk9vQ
yZk/JBiQkmw+NHn0qiWen5+/mlg+yY+fdKECWLQJ2C7wIUeITytNFg0Z8JZqImifO3T2Rj14U59D
USDy3dQ1z2acZXvutNwWhaKExB8goDemuxk89UxVMC7EeVH882sSOBduNq5txROwN6MnKSPBpeph
9dXZmWVX3fbn7x6C15/ePgSJIHAhMbmCL9Sng4Bo8dB4pPS21EaRzLapCV3hnCQaODjL8GF28apP
wYbezvGa0oL0zoncKzEuBhTBQdZU8jmfGe9j7P5iONV5Yjt7ZuWvsY/lBMPxEZIWgxzNPytK0NzV
0oYc62Dv1QmejmCSx1gK896oTId6oqI9kPzbYILAdUiHqLnOknQ7uMmt42aHeNKvGHFWOWV6uIw2
YzTwaE3zGz/JbxvKIR35bWodonTj6uuYjvPen8CfMlzyL+o2ZG5lNfkxDJQ6isSDEkmz3cYN+DBj
ZT86rWXvBaWi915u3mCxQmYLeWVbDsU5vW7TS1b2/p5qI0bzSc9pkmAewOSKMyvh93bjWCq9mlof
3hhU84Pp5xwFKSDauDD9T46ho/Mg4LzhAMC91kPkHOayw5PU1cFX2xQ+3ctpfRVQQM8MZxFpEaPw
Kkfh1tWJeG3ceXhvVG+eButMi0RfapPSUtzuXbfLANDu2AXPp0rxEvTNUQRQWTsAzM23NM2+pXHt
HekMArMpsHA4nnVjdE2LQpucorz4Qqv1SVKbHg/AzHxujdtNLb5q/qDJIibdZZRtOETJC6aU21HV
95T9VOc//0KKRcr+8efEeRytwbNhyTEz8T9DwcK4tiS2FWuriqIiwenOdbUG10IMEndIwzjfte/T
VIznc6KMr0nkLjLo4uaKUvZEgW8/jGJgI4SupZUK3scqmO7s3Cz2nRt1ay/szFsybflTJ5ViAhuZ
3z8+wv9MGPdTQ9T95VsJnDTtYGS89T+uThyoPGLr/3lRu38p04Ij3zf1F3/226LGkc1dJgQCbhYk
wR8WNe8Xju+g3FEviF5y2vt9UbN/cTh7EZ6Hs0d1iPv7ohYQkF8eazyZmWnbHNT+yUHv86IGXgbG
O//l8mqM+Babxg9ThFbagfJGr92mcXNtRSXRSUN+LR041S2bTJAuJ6cbZ/RWgtM/XKm/WtQ+AQ4R
1E2y/kzXuCY20X1vORn+8OJYKM1Mg/jdWoVBSGgJLRk9HRzt2LFpB4S7motMUGoM0Vk1Zoq0Zplv
RFupN2zw6G+BWgPKCJnVXwKBhpA8j+4ZlmLme25qn2Qb4j1tu/DCTrtgo9oJtTtiOj0dIrPZkGn1
b/BBu/lFs4y3EXPv7QRNDnQT/0J/JrM0j9q6cmoLlLbyuouYWTorV96vaxfvSsGkDMJ50dmXvjMb
95YpEfgb0oc3kITEOauJce8je649irautI2E6LPxQS00q31KfOIhS1moaHTD6Ep+YJUUntpj3HTP
Quxsexdx9zgvoJj12BoGNmym1/kBrLk495lTd5vWSJU+4riv7TNJBQX0QDhl+zhlDtkaDJ3pX56C
rwEVk5gfRCNu2SbRq9nBtMX+b3DVOns6TEPWnfdxywAxl0l5QwJheKeH0vxSOV1HL7hrVNPanCv+
NBRaPxMDTHKs87q8q+zuiRS9S7pMLF2M/VlQOWdhVTWHOGu7w9AG6R5DwFdPmeGFqZzR2xSK0Xyh
OsVmIM8UMfPMHqEfluN4qRCGuFl5fjYwlN0T5c/3goIXtc5kUJ9XTKaPSTGWB0jf+j6mhXpPbIEH
KxA/bIqBsZ0Vt7uzcvOFnj46x6umi9ahX4773Aivyknq8zAn85A3bXNhQzip2T5WSAVMLn2jCw4W
bmgqNEHAbMZeWecTqepmUaZwE2Q6alAEC25/W867EN/PMfYREipDhLvBgdfo9ap7otwueFr2bRdN
1vCdjt2zwIJO0i3fc2wvxVpSeH9hT214P+CmYWeh+o2moWtrkyghtxXiswEMOWLMp23RFzNNfaAg
8zsQhqEF99xzKRglWNQlm5w4H4HsLtVfs0DZ1q4hXEpPIXF7ucm7AdZXYmkXLs4802lsa6wlO3wt
82VQ+fZr5UT9LU0wOIR8HEb7aVlitB3575AM2jtfd+FD33coMdOyRuH9HM9TVTr3dg4UbjPWo/QZ
t+Ki31IiDiErGtyIQLNhyD1AQXA32kzJVI05avQRnUa/NtOY0vyWCXGetVZrfUVEmPaz707r0KWb
jd+1l712Y1tcawpWNjJWxX2XCpf8njx2VeoegkJ/n3vs7kSV9S6vbGAHqBvfUiw8hyl20wuZq+Q4
t+jIVtQgHsbSHi45FDdnpps2/KhHq3/wtAjfssiOjkbtzRvDLchTM7JFNuhKF6lNZnKTWl13MVt4
09BM2iemY+x+lbYuzXp2X6J5qHbEfNPvwFXh8lHvhKF9CO5qHVovJdWP15YisB0lEZdwDLqHKCMk
VgyUtvdIgs9J5spH8iv2A7Nm55h0ZJWaZqJV3c0XtoRSud43XYdLLq+KsVsDzrTaN+IkVXyW2C18
+DIrAudB1GlNPzV/+dzOYAiyKfkeRTaJJYf6l3lrJW49H5jKz3iS0ww6IEDlYEpInofuTAI4U1Qu
rWOTcqEVzZ4o9CQnIWZmQ/rCN22cVhV1wTyQyOebG4N8xRZPFT6JJK8j0ofw46qNvRgzFAG98Lxv
pvI025PV7aSTAwsKAB8Rhw+sr67hhtf0iw5HafrRU2fT+bDJjEGTHqh0amyjaOBng64VvWCAXoLc
fajP0Lr0o8qq3j/SzgoZTGb5fAMiYQET2Fj3o5j28yobm8u+TTpxSsog3A7G9GVC2BcbwpfRHpY1
nSTKbt5lNDF9mGkA0L6gHddUCpV7wncgN95UVs98+ekELWc6ktbkLEh8EU9m461cGh1WUtNduS59
uXjsORmQBMJq9mVsBgo02eRZiw5X0RKvZP/FqHTnbP28cZ4IiJnPMoUAYspZvKWqF6SHZshf/dzu
TEgYV3r0wm8dbWmXphzDbG+74B5QtOYIz/i8WFbikb5v/rH0TPaSWHTc+PZ9REMRDU4OP/pV7fTy
MGUtbwCXYY4hMZmpjtAWTh4KhCCUrPIubxqemQ7PCzLAabHH8gUbnxyYKtec4OeRIadujH3p1QFK
4bLucHisH1l6onhDNRrd2fU4NA952s9neZuFO24Z8YQs6GFlAJmSTcSCR54oXJnS708DQeoKSssS
o6WOvbqWzJxwlPFzaOhbI7A3uddYspMEAyhcnGwgJIlk3K45WVXndGtqnqa4HctQanrjVQrqPaDw
cw25lLlRCBX31gAI7EHAmulic4CFLD90OCqI72Ibm2HwDdgD31s1QZnA+Bx239vJDK5mDob1muAf
pnczZieEgTR5Lp3B2ZCO7m+MnNli743XibbC2znX8aPVu2QgBEVgUWsiTDcJNHu8Ze46oY7uvEvi
5KrzcRZyOQ3nAcvr8DZMac5vJm19tNd4GldWArMGIX/p8nBwrwZzAtOXaFg7sCAr2e3BljfsIERy
Ty2MviSkwx8njswvRW1Y10Va2JfOaDG31b6R3o7QQVZE9c0zwL/buSxROPEJoYMPK9rarDV7sl1q
xhX2VvvNGQx3oz2ii1NsrsqJLngna3g9/tDbDVHpn3p6APb4esS6bBooKAhP6L5ZRaA54Qi58jrL
plaXGU29qr2mPsNuTgUcrkWqgPlSsQ9iI/S9HJL5kjnCWByD1JhvPZF5xBNtTC8rPfCGOMmWnJwF
ThkSUap9pxiLFkonSPs3FSzdlLSH4MQdWior/UGYAMyqASsFNA46LT/6LQsgFt2KcHmkj1WK7Wil
45ndWv7R/uZMJC6nflZr+nmph/Njl/WwWVrjepf+OE2sY+t/lMotWxVv1XtLsMsMAifdZpIOOgJS
/o2DO+3RmpcokRzSfDFUNNgQBLuvbbv02cm47PDzMh+C5jGFpMy7Zr7MgXAc2qUPL1ua8UzaQWj/
oi1v/CjOGz9K9PLAG5tjNKYOXI/Sm7l5PMCbNfgggqjSzdv3MF8K+YaPcj5439MdstFS2ddhbAQB
k1HlZ8JkOFdGmHTbiXaD82Rp/es/CgDjjzJA7ovDcxVCDXggz+Ehlg7a7c7bjyLBqlxKBdvYoGCQ
PuVhxkNCDvkqpoKPKT9mLfybH+WE2UdRYc6G2N252Dzuho8qQ6pQCM1lgxDDKSTVFezooGXTURfh
SQ1+EbDtMUd2wB7ZemtyaPyLMvJZoCsDBFQtnkiSe0/8qLPhZDmtDXeDEsb5o49xWKoZpyYaqrOR
YgRJQSyMHlwwkIs3AVZrtqwN1WhzVWCDwrA0biJj9pHWTbZRWy0qmiEFJ4cBPd3D4M09CdtTQkHh
UwEb4pER8pByLIf4d3R7HR+LGkk3aaXxblpZdMo/milNVpXjNGoexfVSXWnrpcUyzSm05G43F/SQ
Z7QmUY93dJfqy6grxBmY3JaNTtSfA+Yl9+N+9GXy0bcTb0KtR88ZL5sBztTGT5jIY6PuSK83oXTv
Mf9KMjs/P49Zn9GOnDJDvCgMxDipQkrnOPrjcawSqldF6pDFIYV8rPv4tUqrO0k9jx2Wd1goWVj9
JNywyfzakRT6G4VrGWL+cUzC48YE7Mvujgmw+WnImUedKHMUjW0bdQAh56Y65+IXZz//lH+igi+f
MkRHsy2T13E/4+Cnbh6Enh0iW3HPmXBQDWQqwzaCg5PMUMnzocH5LcIq+VaxPAk83zSJr6yh0M94
Y13y55U695qyv81xmFwsl2ztocrit22mZyE4KKS5B2desS721/QP1NH/RIb3/0ZkQPlchNr/PI95
eu/6f63eq/il+MNA5te/+3UgE6KUe8weHEDrS8He7wOZwEUvCBHlQc1+jGT4Cv47GeOj1ps+QxKf
gcVyRv9/lUFYaBMmgDDf9D+mzuKfDGT+NOoPSesgImLJtFDgP+vOvmMQkwy8YN8mKt8RIwxXgEBS
grWwDPpqOv5wef5iCPMnnjuSiWNZYmHdEu3hg/zxR5+JMWLGFGKOybt4H4s8e1+gZTeDheNpnAa9
KSPKbhdNzsTMNQ1YgzOcVo8zjeZrPQj7IR+iYNj8zftaBk8/Pg2W90XrRbBIQUzO/GWo+sNsCHY5
u4GpDPZaFF/7ivdhaSNggO4eRO+cwnCuYf/ZIKnTgsLW6cJtlXn6+ZtYnjif3wNZdKR4Dm2MyD69
hzyQENeJmO+bdCRrnHfRKbDS+v7nr/IXdxyRhTgUwhLjuHD5/3/4pD4XOUvmLNjbNb3huX6Chcxo
GhcjR4tO/82F/YvP5Nomn8Zhikg47JO2Q9TCMkGzh/uw8r0d1AVctqoRf/Mqy1Lx6cpRKv3BsAa/
yaDhj5+J0lRL0h3o78lu8THySa+qQt0OZfpPlTGG+xZz/aXe2oXU/OmFXAPq+8fXNwIcsyqN7LtO
Z7nOoTTYWX75j+8UB4bFgMP+G9jppxcblVPXfucglxBpo8eP4AC9tCTSZ8D9Y+Ydfv5yHzrb56tI
CtMGbQsPGkHuj1cxpS5iJqng76XBHrAF/HGu/ci8LTgpUJ2NNbKBxbJLei0OgH+gXBKIe/UKu1rR
Li1vszxoaRUrB5r8vMhiiCebtWcH6EMuLLFeNGWzCZIqlEdO0+naLsugh3Y3cz4g+kMSqZ+tDSZJ
DhRmhmaOQ/1vFv1FI/7TN4Uok6Ahk2fxn76PmkiXdqfU38dVIo4ZSLDjNLjmGqntwQDljE4DVaqN
v/t20mwdkYt70JzB31zqv/q+hsjImGXY+qHU/PFKtxnnLDcqwj16pnMcnfSyojZoRQ7PW//8pv75
lZjqs35g0gpcrvWnV4JazmQnC4O9T9pjPaoAP31dfiUFIbY/fyW+mX9+tCxDfTQGmwkxJUefHi2y
tGzDF52/d8JBbMGWpbDKxHgtTG+89WAXboTs7+N8LLeZ6qd80wemXEfMS9lE16Om+rRhFuizHyW0
53p3Kh3cF3eQwUF7jAnXtlTTXdj1znnfD/VZjjiKXRQQCGAxlY27ggnqGvaGXJulr45mOAUH8nfe
LmyraW/ITkIIk2Jru9Tj8A+aGL7duHajve4BbMalFV0oRmNX1DyM2Zo2G28bD6PYkD9Jr0BrZC9L
zd3RGUK9NQtQY1PoEmIepH9EZPafU5JEV5z608PcOd3aiAiRu2HrnQJTRBcWRdwhaJxtETXlMXFT
uuHg4a5qeC33jmibZ6Gq5iWIzQDVXVYYaidJnq4mVE6igbBAWBWH1OyzO8Ns5BUl48wtR0Zgm7wd
gR+O2pbPdChGF+2QRI/Q+9L9QCjxzdPA8mCD2F9yI3uqClgXKC8k0LK+vbLDFkGhTGALpAcbz/mh
GiwboxNRxVucdDVEqsQLzkyqxa5mToUrqqa9fSfbfM/HIQwwcCxjQJluGGupgmlLOpornlLTeahC
bmYKPE4Rf40wLyjORfuCKdY7WyauibZRvJMKmE+hrEvZR2gTri3UUdZO92R11fDoOkBhNqVLln3F
wCN8ZNtGo4Rbhf0DqXznqJQ5rLUk2Nt6rnMuB4+qCWlyiknjYOmVm1n6sSBxOl9hFavVYl+i9zcO
W+AY3G/RDVw+UquMVr1cAzgKZx5Cg5VuHayvX2iqmM6o4XK+2Ik04SqYeXJFeN908aFzlFgFyuRY
z8Nj5MnpTK3HGVqHj7pzsT3bNmPUwTSzN+lmfAY/cvnGh2ggdwXlhd2GmFSzTdjinEps3AUWzu9w
7SZ0EJUi4Zo9VY/7QDQZxXu5ms5FXkq6OHqv3qQFbDtoHczSQFjtxcwGZ8XzoHylMwpcMKhobHJO
K48tky3s+7k6DJE5Xngz7LJVRgXgvq6NmbLGvCw3QRVdEquEd2rXTDzGCqDkKtEtGMwk6L10DXEX
Lx7a0HxOpnSnBkuekhC6YAyI6A5XHxHedNqNeLzvhRmO2zRtSHLx3g7aqONdKCEYImGX3N+x3MTe
yPejmFGfEKMUYbw6th4HO/DP7Em+15Yrt6lqU/anUn4NIyos2KDa8mhYbbvyDJzwmLmWvqXZ1XuD
adxGFpR/5maQXwSqCtdMkBNqUNuAz7rUn3Zp+QKWG/hBZelDAOr5W27PbgS2QOubIUOpo5VzuIt8
G1RoahRbPSEIGiOrMFvR9m1wy/4GuOp0CLVR7tsOS4oUsbVjlAZRFlGGGNV0Mc6WcxbRZLYdffLb
LTGC1dCcUAmCM9wKkkHkrHHodjGUtSx6iKcB1lBrxVdGPomztu3DlzTw7Acxu/22IEjlwi0kD7Rk
FA/CxNKXlH26pauCn0JgxKc0t4aN17A5LoWLeb4ZnoOg7U5BTWs2q960Qs5XhxZ8y0VPGlqtqTeY
N6T1nFXstQSgfKPIKLzOamrS2Hjb7nzZ2RKjSObPd0L63UUzUz0/pjxxTTp08dZBb5YSXllHGcwx
E0b03MS01mOgCB886QDybyf6ySZ/vojD7Flhft3XHa6/sMJLEHvXUVHemmZeHEsoaEetoKxGhFbj
eRj2uH0MoMiefkfgIJeUN3k581szrOcxlPaFU3QXtNYxHibmtx61Oa2FM1nnZKHIlRDXKXZtAaXP
LWq9qx2C+53Vc6CwPKTWth1uI9CS6Q5SGKU4PbAWutq+jwSdSu2792ySZmyizHkAfT5qzzL3Ftma
rYYvfuFU/U2Ttud0cSLiWUazJoJJPQUsEauuYQrxyZc2CFQoqK1OP64YyG5AujjbUWjAXUrbl1Kr
6LaCIL31o3g6ywLnwqkJlISBATXP9kZYVQp6YAiJz58Q37yJFlVXBrtMVyTevFF7z5WfMPIr4okg
a5TbTHTjKF07lUE5Tz1VzQP7svFGVCn4Iw+tliQ0ozceNpdpaTbkiI3wDpiK+6UN9dBiuS5aroZX
eiOPc5kxKC5U7W98CY4SoafNh61Xc0VWyBT+deFWTOyoXW+fhqTtXgXFqiAVmWspIrVIT7il4Y32
3fx9EimKGCF9xsXqBYBzfeRfN6+IrWO+Aea+xlsnN91EqJ2mPpOHzyU/QrmfM/RUPHn5F4zo8iTA
H66Qt2YGeBq1sYiTXZrmE0pFwM9Ywwico/EKb83jQIfJJg6NB7vQzdpmkb/2wObvujnKcmKHVsUs
0gPRneUdIzPfkXeY3u/8tJOHusmgkPazeaAWOzuNE51YpcT3BG4XLbqlXn2PImruBwlBPa4LD4y6
hYjEJHZF3BWLb1+Ka9UU6aYyk+pLHUBskI67jYwpwzfA0wK+c/2dBYkhb6WLw+yZwwOUJ1BLKc3t
7y0MVmdVm6TGUbYZjdMdzp7RxR8Mexs9si6POu2+10LUp1FH1p1thXLXmovJdshP0+wyIwxtqECW
ZQyPQ57H3905b7cJ9+ZKBpN5RNePsDiF7e3sFvGOCtlvoPPVpVXR7FWkYXXyoJcxE85UfhgHk+xJ
Vk8Uh0k6WUvzRs5Eqzs7ETvGWeNujlzMsrETV6fM5ZsQjMLcWbaCbyqyeVePKS14KCAFJR5Qp9dj
3qM2Mo18gyBVnEUVjKxd1XNFQi8r9lFFj6FDZBuNwzvLHfU8tWNNhdZ4OYJ0+wYzX6H22M0mtorF
9yAulY2kHUZd92KTt92XJjS90p32eW08VuSpwFtBYthSL1Cd6qjMtgnVKVAXvPIBI0h/GfqoDuZS
vzs28alCs3lwmiSA6B6IjQyH9pus9MzKzaaASAD15LWK9aYRPJtzYvqX5N3iG3Jh1bozG/oNqNXJ
V3SW1RsGGcP1mLRPzSJ41YY6TwSc7XLSQEZ5bs89OTsEANDEY5Cinsz7IaSWqhADKOzGvxAzCW2R
pukNG3u3BQYbUYMLjWRV2YGgpaZ6hEKY7rDZgwnEvOKlB0Tj/lgofMo+4iQsWXrbsV+zCtujc+jx
h+0L6mNVCCS6dv0ddr9pcVYbwSmsxwwWSOof7AINiDJnqXKLEaULlRMrGVv5fBvESLJekkX7ZAjT
vc3rr9rSfeulGz37JTHRxuTXrCdvO+Mi7Rv5AP0tWHXUfvaGegwyMVwncEG5tF/C3mCNToy3IK0f
hZ1foKXcxeCugNJZV6AfqSR/J0s47GWKnI/If49UAtJEgsl2/fPUtS5gfqp14avuHMT7ecs3iIxk
SCRS28FbPfrZLhYlinOMH64Z9rYny6fZ/sYortgFQlprCyQITdQgq5Q7GdzALr1X1GbzFKse2jl4
9GTGf+RL3kRfx9o9T8iaOQKqLJiIdq2KNttVZfKQiPDglhAMg+wLFNgjDL8CT2B1aXv4aiGK1Suv
GfQWwAadNgtrSxgq2zgu84tEimNVafoOveI241e1IFFfGTscPT1tDCiclB1Yq17S7CazJDoQ3hqu
qjB2rzDid+89BBOGZu4xh3V8Anm6aGp63pc6es1tn4M5x/37HgoxT+PIXHherveWzFazKylpjaPS
3bWhSSVYXpC/iHSybKU8uXVsZMekoI6pGyvAqLg2QZdWFwBqxnVXjexVmijkcK+dvRFzRKDgIOdU
b7CH4QNnIst5FKgILDTBjbnmfnNuJUFs+HeBF185tgYSLNqvA26XrmefX4EdRk0WauVGPPObmA29
Hd4ms31hZ9ETdaeXpUf0sqLceh0bFDNmftEek2RuWPSrB7PHEdUO9gqaffOcWQNdrD4B3bR+9Q3n
Cc9/v55b1uyp6bhpbf7YwL+5RospH0eGoSug1sWh1bF1cGZRbxv8CESku+wlHRSdKMAPeaTU2cmv
zBYgIrkUWWr2tn77FUL6sMetySfFfIZnYrhy4fGjQtn1drYL9d3HC3GV1iO7O88udpNp1jsjHPvN
hJWn4syyyzj/nDRIW608AOWivW57Dhguns3npDFgUCaR2jNiuZMqrndRg/F0iC8DtodXnTTUduTZ
sXXCiHqlUGAoy0bOzdg55OVMAwTInzHfmR6H42BxmuTw5FRgmzsBIW4bY4FY+9ob74VBXYhfNewl
W02PVu3XbyMf6uS3frHxRm6psFRzAIiq9qy35mUjE/MY13l1ImIF7iPDGlWLC3OSxTbuVHaR2wFd
AVbtPQaj+x6NFvKHqIZ9UtjmE3Cb/gCtz7hrmqF91Xy3r6EOehdT+n/sncly20q2td/ln6MCiS6B
wR38BElIFNVasmVPEKZlou8SPZ7+fqCrKmydU3bcuNM7q4g6Fkk0mTv3XutbGJeRrmhBTa5GMEEF
9WESt3d2T0S7RRuHERYgJr1JQNuNVPOwB0UrX3RS/jRQh+Zeh96HJZoen5+bbaFv+rjur0FwENmh
55/nhlIxouP1jaTucpc0YgYSSSnUcUQOvNQ26VVjkclSvb9ymtJGP+I4h1p18+d+IfpwVMSU8Pru
9Vb016sYbjem9rhVwLQfEt2GrmJl9UGSXbstsYdc2PRDwR1fmNpewRoUYNYloQDp2CMXa5Nba1Lq
mhzjXemN097jRecsVaibiqxGSDyKuhLoza23epzgl8S+nYlxOywYX+plUEE/GU5Q5B36liKbdz3u
4GCxjeEqzEb3AHCB+Ja+arZmQjXPAezD2Bom+OBU+M7UvU2eyUAqi76UcslvmylmZJksbxzH1ZPH
yIp0PKURUaf14KQzNdxAd3gxDPsTH9sSbOERo9ODpo8ph1toGL5CsvViTG2CAr5R8Z2ha/SGSkXu
X9Hr9IIKTdB1TBw/AgSMCKuq93ZchdGeQ5/1qY+UIFGhqj8NKds0eACwtGU/bJq44mw1p075SK+i
fKm10fOVF9dfU3CvT6Dj9QejacxdTGLvvHGWRD1khndi6uY90Y9zfFiBTM+tegUPEI7beRLDft1L
2EqEM6xMnZ1D5tD1MJW0RJvQ2TVaVQQafn+/bl2yB6RIDnM8o2i1VQXWUFQjMdDLF8Q4+lWEIPQ1
JqNuk6eposPhnORUpRQHHnwVE3RNW5j1fW6GFdPBOTk6Ayct1zNTjAD6I5bGWkARiBrowWZ8jIYy
3S1VBTR9YH5JtB0d1Zt86pEvgf0bHudUt96GdGyMg7ZkczCMkhwa01nkKw5lsD7WKCd7B9g1OVc8
ZNI36zmtj0RWzM9L4UkMJzp4o52rTUBorUzlr6Nj9zttHjnpLd3yDBzKCkjtZHecM4xbi/0hdXrW
TE/Bjw+beJ+6Ytq6JCTv9NJp/ayt7ZcwK2+ybrhzC6EOuSQbo4JZwGMIOOW2VKB8U2wx/Aq5tMSM
lKQZdHCtPvJB6qXIy+o1W9dOAqXuAIBk+7Ss5dGOPbHPxQhXFzVQ+Rmzp3no7MIgKFZW89aqmvBK
2OHwMjbz8iELh+Y5ydDI6oWn70YNCYhegtmfwXxDo4BbeSVqb4IkLZN+2yCFQpwxC9ZEWAwCXUvu
YpvzisGP5KjtElk1FjhcLYVs0YdQdyJ66XMDSSjL2Aw2su8REDpNm++hd9ZfnQzw4XpPsmfJ+nPX
F27/Hd8kmApiFMqg51K7R/bvONsTP/AU2i2rV/aE3a8IyA8i1IX+5abGqnk7wpC0IvJ+6OQMfhsO
zmYZtDsa7nKTgApth5CFlznCXrNHIsKzugnkEG3rBMVo71i+p2ntVpsyu94MXpPd2lGKc69pP4I2
TeNtnEGAbova+epwlLryBtfwlYKQP3qou+TS9U8cKUPe/yINCrjYu6mp+VbImcaZ3c+w+wliQqYH
tD7eltawrlFvLptqGT/2Mxi8sRsDOrXwptxQf2jRS+ygaOoEw2tkOCXw74keywnjyBqwI8mT05EN
Wg3DIbT0SfN5WiBZ0xXe0dXBmdCmxmmqJIq9IgUBTg0+w7FWOrYaBNndDYDwPpByxflESnffwD14
QT8b9SfaH/VjSeTVEz6b7hWhfXrPledcTOtuLwYl76nlRsIMIndf8PZt9cH43sWRuvIWMUGKR/O3
0b08PNGDpcKnX17flGbUodNizdNhP0gp931WwrQdo6YmxgqQT3dGgySmnS7CRd86I4i7oLDhcqCa
rjGWQDnHEgSmDDTy3HMMRgOpiB72ZsKhFVlpgHWBGC+VLG47O0tfMmcI0WC6zbGNnHEbwlmni5Ro
X+a69qc8Ia08rvjr/dg+2WNtBUUt9HvaIpI/3Xq0L1o6eraUcLI8alnPb6bGwPebsUzHKPiY9Ex+
qdB01dZwH+b5Fi1zuxnNFKZ/GfpIns/9ol7KbvJeymkkdaqN5lRuorIttlIsr0U5fVqgym2sDv5F
TBiXtqr/3bqL/GpOkkNU0RNioHMd5Yn2sR21ZOuhY1zb7pkP5iVBwwNUB8jQvqs4dTURPidX9zjM
DhY2JrRG5jUVLKa5RKFs2usdu+KmImuG+AwUs6WvXBxWiPuxHLtaDLacqYp2VyFVr/Y6EBYgHNKL
P+Dat4mBJhkdCVm165K4/uAMc1ERhO4I4pYKOOg+DQ+HsIre6B5aCK5AmaXpPOtR3VypLOIQCWij
htkQWuqg4a3vNrM+kyrhQpltItqa+iidV37Xsu/mol0HFYgfzWXozPXEkj+EeoRXQCyN+TYbDUUv
kHEPqU4pDBRBTf3ign2BozysLeQMNMrZwvJKKUToe5AyQ2B7o1/yyZ4y+QrgVR6ZSK1MPiGfGHzK
a8dAGKzbETkwjq3FKVW1hfSuy1vv8zC7FYWMVpTXOjuczrNNQgfdfpp2aNZ4t9LVkrcFuSa+g8sy
X3pe4Y+hntbnTJbEhHVeW9wD+TYYMZAzBqgFn+Fbo9k68rN5utKZjHxICkBM2ywGJOkyqPgyg6W4
t+s0P+VyAWSVEgtEUIH12mvmwOm4j4qvqQ18q0Y5OWDM9VbEo8aByZ8K6IEEvNofvMp2a+Cflvja
1pFxNapuKDatGzsPGWjb0XebNnpAqkxvN9b2RhwmH/XW685VaVQfGSKFn4qoqHDp4b3WMMb7KZeT
pCsqyau5TJZP4VzFr2Vk8GrOSdh9NpTmfKULbH3J27kFIYPWNjQBdVotJfxiDnJX8oiQLmgRdYw0
a4eacDoThj36Gn0bH0+fhc7etQqfRETzo2YX8bU56fOtGkfvcyqMzNdlC5p5dvG+02Z2mGN0WAYq
FX5daLLwAlR589ktu/CwUGtTVC+5CjIKwE3XFm0Mh9F+ZvMqvw9lXz04pSJty6AKWtX/gPQIl0Eg
q31JaPdUG+bwwHlY5rcDCfTBgKj3Dh1Hh1CYqcTOrOrigXEZuuQpot9lJ8hEwR0V9Ye5HZW3yebc
5eLASQJbAFrL6Mb82hpn93oK4+6QWGRPof1mMFiJzmz8FJblsiEvDzW+N+pQ37KiumXBcOutBaf6
wSCGsQo4Jk9QcYyGUzR01xRjACH31Nn4nb6JVI2PNKzHB0KBmg/2IKvvdtPD9dPL7LD0oXPGKOze
hl1dHyNLappviME8A0asvhPNNYLwHKr+M6xHwPJKtRJMl1QOor8GpSIEZEz9c2k6VzyqRPcxIH1u
7UakYG1sCKQWKQhPmuqsj7jbi7cyUh+FR1e0bKlIoBQtRKbkkZjouDfZw9KP89ei9WLcH/ROe+op
0NuS1vty1Xa09WzAnsWeYwAXua8HCgzNqRf9kMak1m3jTujMG6YwuZunzq62NlNX1oiodPdmFHc3
RPMqiWzW7vbj0vDoQNADzmmQcxUYbcYgmkwH/XZoiBXY8EgYd3q/muNl182+7cjoa6/qMNtGqn21
xFynW9ToUF4LVT3F3Ch3D+ffemkZEM47vWjkG6URuBhv5Q2mF/RgfsEQ1hckIRPjed7zNKdtgBRw
7QxeOIbSK50v/YVuWFPy30ShOb443bqzec4YRItG114rhXeI5HxSREFvmByP04ajNe8JNRK/gGGC
ACxVNWy59LEn5jjyc0Ry0JuKxpCWZYdm2pmRighxxGOFIk+5lnIC01pxjpIOtrFJbMXAw+T/eBYI
gUkYnC1R7urIhG/VC1l1OytOaJ21Iv0WtlZ+LeEkGn4edZhVwJ0kYBLD5pua5cyuawm2f0Y3M7lw
GtEnY+e8LojcQS9GHN4KFRbZlcoz8y3NEVPPyio54JIBH8xDUQZmNkDjTrt57+QMgXgky2tYBgzK
JMO0BwevWsQMsmc3acP225LWhOjUhqY+QWostuNANVHF9dkchHdjaxbYCNRWD+NiasQyWpzWZtWq
23kGg86sljP+jI3H0QlZZtoXcLap4i2n5voMp9PEgZWnyUPs2vdAMJLAiJroOS4Kkp6MViNJBf3s
sGduH+/L1vpqV/r8pDmp9U1zaO2IUj/OhqjeettMX+D85foVIZIezV+reSXurDxq+Fnv8rrSniKM
HH8QYqzyh18lL55uoYJi4wZnbb3XoMaZLlGWN+56pmd4yon5QeKqvs+7mogzZrP6/SC09EUfBrbS
3wsmrL+TSyBBYQqKhQzhzTt9z2JoDqLhyQ1mJ+ruPadWeNdapgg6Y3tzxBUTciZjMA6M8G1c2FJU
3xf7esjEpufOEvxj+65b0OzErUiyAQMmonfN/UgZz7zZEASJYarCNY4KlwaqvVwpx6oOo5Uut12b
gLMfGFVAQdibKLVyvyfggXWFCpi9HldS1WdGUEyZBv5DuFsnZC3rFYQLfbSfp57DgT3O4qFJnG8p
gYC+JofuChQvIq+qlEAyY5R+oOvMP1w6473nHlSQR8/WgoVl0B2U75QmBY8Sl8+iWkdDyblBf7Cs
aa7QwM4AopEsjTPaDDI+2ZWIMrpB1T/vvRwfJw9Tg4AJAD7sBL8Ayepu+sLZpZ45XOsVaJdq0m4m
vee8m0PMTcw0vSpTPCK/v/t/Jf7wE4Aqedi0BXoGd1XO/aTDS9hL6sFTXqCrmqTY0huW3HeXKb5Z
tO5JkNK1HdicfaB28UGQRPGdiVd/rcBqX4Hi2tqCICmjHclxL9Ft/P7b/VW2x5eziOw2DAn96b1I
MFpDjQRZeUEmaFQxioy8ox6W6g8fI977gdf76GH0WV8Blnbx7j7WDIytNqy9gPEniTLQEnGEjqrf
TlPunAwO8KyRGfmykFi2YT84TwlF6LSlMZ7doNnx7vPZhWLX87LUNkTSzux1+LThou2sRH+GtNx+
/P2lEe+vDeu1Lmx7tUqTR8XC8euNWxM0aEjw7K2huil8QYIYJGlcmzTM6g19f+ujl91XelJ9zhe6
Z8x/IEgNeXyYQWfiNE3mNxJLpx++//8zzf/BNC893WQN/ekm/iVbPqi+/izP/ve/+CcZzfoHTgAb
MhrPuSPB+v2bjGb+w0Gdx6NpWKuobZVu/wsDg3YbISjkD0kIvIlK898CbWH9w10l3ZjpLcGfQ3P3
v0CjrV9Md1gePCorZOKroPGnZcKQHFvtfCQWbxUSTGNMmkeKdU8ItnGtSKc/iJD/Ihi8fB4faCPO
5nqsb+xPn5dHJhVgTgzfYuHDxjVyxvZFvurIQfqne/DwY5f9GaCIoJ2/9cvui6rV1ZFNsZDb8i+I
sd6xOWfG8biDW0BMe2HbZM1HsUBHYtS3WRgNt/1ipgGZleU2wl7/RsL88MCQKbuGTY/xrdEycYDj
DOcz61tWqsyL1CcLJvW4QTxj3znYog+9brSneUTk47dCgoNKJzfGmrgwT6RTUX3XyFFALpKJ58Ll
SLg3JS3/m85S+kOSG23kt8kSgpuW1vfOiasdKJ505XszvuknLf7OkIj+HsbmbRXmywNZKBjMOnK8
g2bo6ez03fCYIri6aVD8D1eNRd8HiDYTmU0vMf+44HQx28esLHRcchmBzOLAS8yYJoN6MRU1ep6S
MdR7Y8R5zoKlTpd5UOci1dRBts61jHgeBAEBO02Wx3J2nks0/DUjCpNjX0SQH1bm8oF19TjFBgVr
iGSOMIRXreB8jzzxMbUWggWYoZKhrQhUwlxP6mfjm56mjnPMRAGn6uCHTIo2ufAwClG/0FLJ7Gwn
aBoetLl9TQDcMIa2SFdtEsabEhH9NMi7rkzTPe0DP45Zzk3BmNDWMMmG6DKzyHgk+3bTGtrT3Azs
bBT2jgDb70IsBJjiXTOVxSpTm3y8UsjiRHQm/hl7ep/yPxjHSR0IWZszqxpyDFdV3NI+s/hwwyng
7Lj649jToOkrxauDn4MT621REu9lONFpDHnURUv+M6qZIBn1xypTW3e9opmJAym04g8dzGVfn4w3
uycZJJPI1zBZ5aIIsHyRPzVCKjBa8zE0MzIMCvGWOsUeaAoB5cwI4XOeUf0TXxWqV+DSZ6r2O0hB
Z1xsx6KLDlGdCbr9uLWHuPkQcQCBTQ3beMBLmQWdqR3jXCW72gM25wJGomkSkhpyTE1rJM2dA+Z9
0wEX16rXkoEIKWsEkpljfoME77vTc0bLJuCBGPugOCPDByEIrGKAm7rDCJltFrekQvTIB+4t986Y
4+jODKdTHLafpsgg7tWg/5OZGaPZUHsOzehID0/3F5ODb6Wt8hxZMbEMCWdyIo5qeFYdZbxmcNTj
MAQVG/Jx+ZickIcgkwEkhxZJ+qQSbBi0wILD9L5Z/bLXbdURzdzao8+NfYxxMfphNc6kR5HfScq9
SUPaWJ47rQVY08rnUeeXlrI4DiX3wdLrEwSc6oe4+f821z9urgJgKHvbf/ZA/f/y7WvxtfwBI02+
VSdwpNdtDpu0/XXT/edf+qcryvwHTEk2GLY0xmGU8v/adD3jH+jBAQSsLgRpS5cd71+bLvsxNhLy
gkCQSM4vbF5t1Xfxf/0/qGwc33DxyNVAw3/xP2KvvYeEEmKEMJ9vJvhm7FH8tV92QVoXLYiMSQXx
WJib1C5OZe1mO1OyMsWAXPbVkp+Rw6L687JTJVpGFliiceXigE4q3MVu2W7DiaDGcEw+DhWv7U8X
+W92z/f2yfUrYt0Ci0gDi2Id2NwvX9EcQnbyLFKBW4Sw41Ef7tCMk9kQe8cBbYplTndOi0ojMnhz
Uaz8Yfv+D1/Awj7GpZJ4pn79AhyWa3fEIk/tzhfAtT/4a+TNxkzCXdzUgMoZYCEr6g494WSILvke
v78G72qVyyVwUCII7DEkILyvVVqLgVhe5E2g+gichJDPfcwa2PwJqXVBuP1UqPzzgxw+hmYBbs53
PxUAAkKUuWqCsgLp04Gl3suufq2IG90Tppj4M/mpPi0cczPQlfUR1NC4mIxHuxTQAwgbIDHHDL+2
aAB2CkXck4lW11/fi8CzJ3Xdl9UcqMLKdlrNcpbhkd7ZTk2DvCcjisA8qr7eeCCqPuf540LOjfOZ
7s61rkDPWEkTHqKS3U6jGQqla4lv5/BlGS2e1mJ5roRr761pRDPXZmdhLtmuHfJTqYHfILDnbnG9
70NcPJmL/PT7O/Suv8KF45XQAS9h5aZR7a538KdqUi4lYIkESpBtgvdOpvlzCludBlvnh4aBSjUm
MEQ2g7f//ee+t93ywRbgWkficjMuy8ivH1zUnqxbpnaB28b5jplYei3dpbuisDS21LgtuPZl8CkH
yHGYeaFLkP0MEEtuKI1kpmLRvifAhdEX7xQ4qWzrhdLdVM04B3kKotDFDcBkF8DHj73mPxKK3wPc
1u+O+Go9d+uooWlg/PrddeisJJ/HeYDnrdwyF7FvgB9RNQ0IFMa+2mUSZE4XdsUdpcf1YIrrMYsO
PRIYNkjn+scCZE17lGkOPcEN+HxzA7an3cqZX4NjK/Enc/n2+2v+13ttMRcyKNpZkGzLY9f4+V5D
IdB0bCd5MGpqjcNhUWAIl/240MqpGR321GfMTow/IO/encgvFwzIA3buVW/7F491bwBdIJEItejQ
1gRaeC695q7d/v73/d2nmIbwKMb5cSw4v/6+Mge0RX5mHsSzLANJvsdBhfHp9x+C4ZQ/8+taQ2cZ
3ACdF0FgnvHu7leFQhWUDlBRjPwcylBBpW0pniK4Vxv8uvw2bWRvGbpuV4olOxR2fhaRtTwyRgBq
3cfsOxRNApOSX3To7uIl0q/ylocciwMTe13De1e6z5qjzei+5J0BxPY6GXtSZGnqbQaRe3vNHDvC
h7GJMcII9In1DU+U4SeNpxGkyX/WxrY4croj3KGHV+aF/HurcUHZLJwVmWC5m2aatKvLwbWGUbFn
jF9uYq+29obRfpy6FWhJxhaUnfRULMnJTs3Hol7CQ1jjQ7Yoj5XRU9b3OE50r7zSJk9Hp6B7+xzy
kYqoK3tmtJvGpOTHQcIDJ3i+y6hlElTnJ2bfwCWz6KVZ6mU/5N5zzMMB9C3je5tkdHl0m7BU7kyj
QwvD2z6uqzedqPZTPVF/W5pyaUWVmEwsPiz3Uuur0GeWZQNXwVrOttHkbs2mMbAy5I3PGetLqZDr
RH1hPGGJoHhIwMWRPKTtZJ6eGcXTmo1AATBLJx25656UkX13MnbP0cyP0Yg3YEAojlejbncZG8gW
UBtmEaW9Sr1ut1aoPN+LTXdrE6fi9xYDPNayMsjs5GRa3A5AbYkPmJIBxNyZKJmKo53XH1LhPTdt
UfAaQqrOQjcOKH5MNhYiw3OTW1O26slJSCtHVH1PgRGEsjwpvVXXbV+vKXY5wuqJNkSBPshnduv4
bu7smyY/ox83ULUMcIGGm6XIzpzCvGBi5rmNLH5oOxbE55q3zHAM3y0HdwsU9i4LK45jJNhxtODI
aPRgRMOa55wwCG03k8fqk3VT+/OQnTkL88RyZ2eJhl1U/F96YyNpZ3JfIhEjIbFowZlGZwLreQhI
9Fv5HO5Wi6vjhBZkAy6MLvlSnMyqyO97Oji+M2juh9bI9wviWriJeGpmcqucUD7rHRk4ivL06KSc
qi83hsrgrnVUt6MtSmD0+uzOI4+NXpPpwegfqXOcnNyQmtGOzEesr17QzfnJ1QcG8TzhouPVuDy4
auF7h+W0lxPMHaKdAkKrn2uPQgaHWfbjFSh4woQwH1smYlumljyRVo02alr12slabWj8vaqozY0b
8wSh/kfqqPO6kNWiAxAf4uOoa9pOjFhCapeHtuqS0+WL83WpYvpyIcuePQ02PzRWFJSf6DGQmtfp
rNf1xKsm4xrdqIcPa+DeyZlgnwW/o3Au0DgIR0nnpX46DUdwPVBsM6hcU8dJkKyiMzldLFiSFsHC
7+DRzX7cYCD7j0bevFY175UzpedmtZXhKThdloteZucOxxXuOlaCMo34gJaja7ee8GuHtqsSHcf5
kYvIYYB6aKGeokqWm8EWV0A50mNeudkWSrKLsk4g2VvqV9uojpfdCbUUE3NcfntbWOHBcNLzrIfh
g4GruaBI8hMHo45qSzSH2D9ZT99K0r03psGTi8oXimGbMOHkPbY0/u7AWps5FTdpsgPksKeO+mpd
zmZcBitl8e6yKPU2y0vcta80oNgYSTQ3IMBdNbn9yHkHYpXgVcFucZq1hKaMSasjJ3Xmx2kiXgsW
JzGJk2PbcSp5d/mFEMLO6ytB+PTjuhVIx3jsar7Y5R7UhofNRxsRtQG8ycajG6U2HZD1sSlRroWG
jVWS2CE9tRiAKjoSdZTv1MKjosBE/VjpXIvFxI7d52oGDm/Rydqxmoz3LTnuO3KrUZzyZqKeW/hX
rqVd5Su8oFvvDhnVwGbIG12ikgzulPdwIhHncFmJAedRiDlRvh0JxOENpswCvQQWFybjhn/h8E3c
ad+uHQsXEyFPPTHHSQV5kZjq5K7y9Gzr2pD1vJYVgWeYP7/uKya8eUQhFM+ZY9NdCneIxuYATSUv
4syFXJ+waeG/xMXxaLPSwDXiVo0VD53yWHjymseKcK/V3sqtMT0KivXuEhj1mpS84TJm1ecUVAZN
xB9sBk4Fl/U3X1dHRI900zJhbjSvIvQybTuQbskJhLKJXYqnGjEcBdmSHR28d1DOWG4Y1WYYrSiH
+yTNd/2oslstzOcXneCqK1nwdpuImTaE4J0uz0rZFafUjc/lMj2jsJnZMBQtpIFLve42JOuxMXa8
AgS0kkUonWzrkJ0Fnoy0HqtD10SaYY+IoGz2clhztByV3I0EQNKFW+tzhtpp08RXDGDZ8EDU3bFK
NjeJFXeINugZtTZ4x8mMp20vFm+f9aO7qyoPrl7TYV1qR7wMYWzrV6hSIwIF1t4icV/JfhD1gPUr
aQNPxpQaE+rTpnoNVdntJ05W3zQvWz6YeQo7sSTGJ6q7Dymuk4BzTrI1QiFeCRVOwIXNhDhJk2Ds
XoSQADFsRXmztxeOSUMVraVBPZDHZscSKGJBqsYyG741hvSM56Yiv4FtIYupk5tF3ZkCGZmEanZA
QHbqNWgfqSS4G5ev6UPyafcZhLcb7HMkYJQs9usxDwhkto0FPge293ZvQ/a88rSiuSP1l0ApWpX+
WOW0PK1C9wGM0cjPI4saBehyXNALBjKLnsZQ39OFgq0bEGCKBq+3HtbdzpAWCr/mlUg/0oV7EGkD
lsjbAYfuJnPNNiDGNfUTmoB8PLHcZccfA6TN315KzNdC9HvV2wd651+iPBq/Z2AKsbK54XZEcwPM
2vlWy3XCMH/rJ4pnTcQsWgi4UZMNiEsarPc8DaTSZWVCZ1an82ZVTLVCI3GwI5lXWkoT2WQYuRsI
bqB4ftBGtPZk07Md9ftopnfpRtzTKL7VMOglFesvjLwXpCoH5YDlcpOiZinXvtcOD58cjWxn4AfY
Zb321e5YddNGmNfdYj0iOMKoqfSj0sxsW0YsmXrag6ZNhHbVJLGOMaXgrV1PPkvG7EKHsMdim5zF
VHn7OKZ+EiErTVXG84vZWc16hxcsBOxAVumE55F0XQRAbv6xbHrrxlr018FgqdBE+1qGtDiKrFHf
osUj6gE6E/EsssNeRhEcT82yHzMqJp0zHOp9zWDhWtdxS8uOaxe4iVgcmC92OxRFzK9rxb9aT/S2
R3EnTV5TFxkhm4x4NAl92+Ql3D5QGDCA10eUA3NgjePJGwDFZOXwiPICz6FHUJxWoqVd2ArW77m2
vAXdh6BdhYlww2j5Umb3Ij5ldvWKv40a2dYf22VKNx1DZX+M2+lwGSsluoT8JaOHMh+P9Qwqte2b
PbJZddPqhnpBjfs5ZU+LOlghxuwdRsWihtU5u01Hvo1LVYU7tKO6XpdTRGjLbdaz4w0uwrTRdp9p
OZ/gdB4pMKaHRU6KKtC8rRV1DRTFo0gTh3MjkOTOGJHxTcUHzxh3g8H0qzNyfmuinDtrTOMHXYn6
c6Jz7bH/dLu1M59bPGF1ztPQ45KkwOKaEkLIdbak+7EyS8zqWjI+F42Gkk3xuBlr8yqJZn/MMibu
ay88JLx1B5t4utPQaPYbx1sX6RW/Pww1tXfbLfxYakxjGeqgTNJNU6nqChVXEOp9ey08JhNafI7Y
7XEad7u2tO8ik+952dGhPSbsEempWZ9VlC3TXWjBBI6oCThcG7vUnLWdxheGisieWc4VVLD11LJM
NIgkEX9bLBCvFZhQfxj78T6qeaXgbnOzEUkHXT+Hh5nOJFLWfLrPnC57avoBA78udlrE8GeSMdUd
J/rdZZdTaGePycCIxbNIK4gA4Ryjmo/JDZ7hKTaXLwUCnTfcQp5P14I5hNfbwCp7kJYaT5MHxu5r
Prb8FVWc9UXXTwWovGPOrnd5+jlv7jpJCjmH1TNNCH5V7jy5UxI4nvFY0rUn0pGdK62172ujyrYW
kpcjb7i1UT5u5mzdA9ehTF/Bp2+poVgUovoR7HbBZubVfoxWxzf0+A6DqYvey8yQUyL/yuzuoPUE
fw51fTMbC1jBho9flYh+alFgJZpxnyu0oL3F5JDAHbH1cDPuedrZ4npu0VBaj5e9lwRUfNxW+Pz7
g7/9d+0FZ1UDCUPCpXtPShrSASl+OmeBBqtgm5k0bO2ue21qmoKpjhduQdLGr+Audws06Ngoepaa
+qPdfELz+6y7CcGBMQfdtcxAF6PtiMB6zoboQTemBUMe2gojR1sRjzpGlXF4cArk/ogsKIC76OXS
yLyckZiHvyH2jM/OhPnU7pxHGIrlFlieOBrOPB2ceiqOK0+dQ8lalErOQB1DU85LmcH52qb20nTx
4xDWC9N96qGfaqG6KdvG861orQLjdT7ImXdrR254nQkx/c9b5EwETAYFDOjpCqwz+p87UmAO4yK6
hGG2nCldOYaHlnntlWNQdBWZ/TG5LLwr1gKqxnpKomj8/W39m6YYzhy6bBZhY+s04devAJCH0HQj
64MUkhMTziW+ahV1UgwbAQJLCijAGXSGlon5h3aVMP7aSOL4vkYAmCwY9JJ+/WjebLI0Mq8P3GYa
NjaL+hachXhKRuKXraWuv/Q6UU2hvqAHtNOHaiiGD15tBLM5idffX4a1Qf6+qUWUjcBZhK2BsLNf
v0tv9HodV2MWWOsisDYMrI5XGkQt/EXbekwiVtfff+T68959JP1RUlkYT+iCwvvXjzRL4l8UTamg
DU13lzczlI6I/yXy6nlqSaUiinxESKQg6kRDcfX7T/+bt5k5AV8Avt5llPXrpxdcVLNjzBk0GOu2
GQ0dv+RA8Ycn/G8uK11mw3YAaP7NmIrdFIoctUSwCKiQPfbxLS7FLwzi71oPG2MH6PP3v+u9+mnt
tQILJD6Q/vYaBrk+dT919BvYWJQlRQfyP21vwo6GeYJQ4polgVbO6D4Djyc+XKd7to7WiynHcTaJ
GjV4g1BxSN6W/A+KrFUk9v5OM0dEKcPDThP43cMFG18lnl7zjmXpl6q25+8/it8MinuVT80fsGzv
lXtcAjLspcSKB3JuHUT+egl6RGpOWGZt4CbyToET3JaaXe6q0IKtTdWMDMP5igblpYZyk+vyRSWO
thmS8bY3srfOHTHo2Mly+/s7s05l310GG1akjWCJJ084l5HIT3fGJNR3jmTUBgX0LV/mFM9Ow1ID
kp8t0zCucXceY5pkn8yurlevPxVtXNDSRTQg1ERjijpuk9cGiudqpZo45h3sAKxvafrNaa+ggU/b
xaIE6eS1idbBoMbpoxgeftSnJB1Fu1jSqZEk6vgkd2/zdeoIsD+COL2CZYoOppa5nq11nSTtkMBA
HXc6l4ZW1jq2u2xs6aKr699fm/d6UW7ZOklG0Wgi2YLb925Y6olh6jgYQiwIOS7MdgOEtYsGFAkF
fTG5GkZjM6F1UECpHwb98jNprfpW3hB54EpatSE73ZIqiMF6r+1stCC7Ya2bF2J2ccVFyy0tCbgg
Lp3QqPjjevYeXXf5DehwIPPZZM6iP3z32GH/sS1FsUlRCp4XRsyWnhqkQ6lee8MG0OQURwBoaidS
CdE2B2wz6vUfltX1Zfr1ZZMEgvJ4GUzudTKvfv0WRbqY9SCjJsB1cTBwjm5W1QtqVucPH2T8dQll
dChQWDLhlYZ8v9IwBQlxmmU1DBC6gil1j5iRJzdEVp/zBX2PlHSlkrW73JCltClhoG2MHhMtuTLR
dqzjk8ERHtoN4SUF5z2o7eeLCKdaz4wlh3f620dlMps3c9pwWsjZ5fcP3t/dNAZ4DEBtQH/I2d5N
jktOrgbc+DqIIb1tjRxTkionsj1aqk6c6//N3JntyK1s2/VXLvzOAzYRbADbD9lnVWX1rV6IkrSL
PRnsGfx6D6a3z5VKx9I9L4aB3QnSrsxkkhGx1ppzTAwzY/99qZfO4hloQx9QSP+wYv26QIKelUuK
KyLGX9UMud23nrIstTdF9ZcTaPB4tksHOUcMhfHmD69m/zrB8jwH5SNzX6jH5Ef8fIs4+HZ8JI2K
+eW4hJ7gcVnGkvg9YdtbkaSBy4F6JkwHW4+IbvBPvlZTlZ3cgsO9MKOvyrf0KRf1fBgovFeZQIgt
iDXYGGE7nFJnvPn91/TrPso7Bvx6DqFdZCQ/v+NGTh7cdB4tz9AJeCrVbcjizra9Sf1EKxsFmZn/
YWj5Lw78nIS4I6Ddmizbn58kGHz+WNU2gfUpjc26cgSF+EQ6SSWmBe1FPzUqCypawAS0py4Dh0bl
0jOk325sC7syN0lJCyFkUIQpaoCCJR2LHFaQETWnWeVQYsLtyzaO7F7tmfPWuSdSWhROi+x713nL
apZI+rXL+EXYfXJHYAp3Z+XEsC48AeEFCXoSOk85oquVZTDUU2CWcJgWahd7y2E+HAkOWiaUCD3v
zil159lGlWOlZub2bamE3aTj5SaTCUX4xTGmaa1UO+7mmdvw91/lv1w2CD9DwOOi2kWz8fN3qfw5
iRvgCvtId/EtFD6aApQvO1uKDpeVgkkvKHLRN36lbU43W/JFoyf3N2NvQ1dwG4gWmh7Rea0v7JHR
qCa7Bceekpuus9/Oo02hrADNT9FcFIy7r+OUL+H3n2S56X5eadHGcrpAzURSFpjQnz9IEwlGsI3X
7kuPzbjHOrv4rHgkRDxcRtD81oE/F2/CD70NWtDsD3um+HX9Jd3Sg94rOLBb1md9T+BPGW6qEhZS
zhStspvplpiMDlsEnXAHz+ZzqWSxTpw4O/YYeUi2ZYecDPrYyfJfMsMF2pseIJSZ25S9i4mSxwDI
1eKLafUXma5ejZbm63n+QGsDRBWd6gkiUxgjk1TLNEDSZE9pSu7NYunxTUs7d1bJXVOP4tnM5UaZ
wVUzEFEg3VnusOLRtY+CD/5m6JEb5l/omPN96SOwyTzGjb//kv7FycKH2G+BuQkEu7K7XMUfTl0D
s7oyJY5iXzOkOA8ICrGMhC0mQirhMZy7fCT5ZD6CWgCKmXBiwFXK8EAdz2OY2URUq5rAWbNb3+XL
+la7jzh0iJzt1FvJRH8TaWYRnlno/e/f/a/rnm+7nCh47k3K1M81Uk+WUYsKtgKcKPZWyHxxWSoy
TTvy3I3Kw+IPq94vh2ePe4rzKUUZMgc29k8bYmyRstJkVIK0ttVKqw7F8zK5P89i2vPX2zMUGlhf
UHIgGsHky5yzq/2VAyd120Ad3UrELCukGn9aPD5vlOc3JznX8rwtqqHl93/4Ml3tp6mRldk+idER
dA3vgawhpgCMy/Llqvz+8v+Ll1secZRKjkUx8cu2kylJ4kuV7Ue53LVoWLXBgUq03DvUjn+qiP3P
FQJZkIS/eyg6EbJZVI4/f7y4GZg2Nkm8j+NYwpQYBGshVtBJBDtGTQEoqIwTCchR9gyOoYdEjsAy
LKO8FpXwXkZRBLfpAPLG6W9a1ydHAwbpSoxDvR15Rjd0V9rL3FflHhOZu1JdmVyVToqCejEuJnNX
7tqEH54MmJ+ZXd8ltMOPaU/IZpXCHzIqG9Kd76sDNYyI10aVjBuBnX9tkrOEQXjc0ZGst01UQyqw
I+cCLYfBRCW7abUpyPn2nL1nO1xDBOVXbm2kG0B/0Q154fDpBmPY5KVPDAN8Dly6xldrUdtZY93f
QZq3d7g0U9hBVGohVAnahrBUe87c8yphTr0ps8K5QKAq0YFlQbohsL3clUokF33aDNCdBECY0Qid
vePBLA4S3oOhwoj+7oPqxE0UJ/aGHPL20ncBPGbGbH3pR/KdOi+Tf3jQnM8HdQJLOIQBuqZcRYb3
mfwcLH4JI2eXR0HhH851j5OjGilbk8k2Z6nULswbVdflPlSjWDuzFltbLV8gES0bfBCAGlMsVyuv
8VI4s/G33E6dHXGz4FUDInYkN9BWGz4QMBZItPNNuWOIINZLV2LnOyQU6moUV8Hy49Oqu+li+1F6
qE1GGJvbQPbOtm+K8mCnrf+HhtPnzQvZHw8UTzDnGBaaz+kerJyY7urMJzxlhh2rsQz8yYT4efE8
v4SHwlASimn94l6hCpM0Ahb+B1ixTTXQfh2ALm4yBUi0xbrOtTH+VBV9PhTwoqyd+IrosC/LxqcV
KoJwm7px4+3qyqu3DL+aNc7vmrEb/gHfYaRnOLI9Vo0ZruFptH9oa1mfz/aEBtDywB6ENJG+4ud+
pq4LcmqKCnKJq2DBTGnLt+3MmzRdXjCUwVEFHdkClv1I2yHb58Idnn6/ap4VcD8ejM7vgRY5jl0f
0e8iEP9xleaxabyFq7BL3czYDLpuD4VwGgpxE0ZmMyTBGgxN+z6Zc3jNhRTX1YTqFICs/0CCz7yJ
Bw/yNi7YXV/MBEa1NpeybjndxdDvsri5H3FdHmXj8XE68Bh1LdwrT431sw29CY9DCfYW6M2t40UK
KL+R/+Hwdc56+OkzcoAFC4evzKFxzd7882fUSYcBmi101/NUXY1OM+1MFVnrYKiGi/OHCPo4vzXH
yFvivqw1g0cyJ2dz3uSwzdYzR7ANjvVm7cRhdAii2N94VWrwXJvtcZrtD4UW42AMLhIyH/hiEjl3
mV04W9Ukw8U8x+0hr90GBcBM0PTkDUy1262xRCvKGQxg7nYzCp9qmbGXxq5Q5FA2IQGSKgZl0tTt
9cT/SSzkgMQiju61IQ28I2N+q2cFmBAiGpEjF3LEHzULMOlRHQ8nO/G6V6Mqv//+ljmT5z9fTprw
aCo9WsH48n6+nCoIwmSmbtpFWUPvpDeatZcOV0k0PhSFCKHxCms3dxaYSVdjZqHjtU4B7B0yH4wW
hmZMXMyX13nAY5aWQ3xZZ5H5Xi8gG3MO5kt+ins1wIhgIizKA42kHotN7O4zc1gs+MElVZ65Xkje
DFRasavtukTUZzdrw62e+1z3OwCbjwUN6U02N3862YhfViuoAlSbtI0kYEXapT9fgTTptEs7RQIv
YvOGrul8scHFY9YS3AIwrO1tXxF61o3k0DlGYSDEqeNLcvv8gxaJ2sCY7HGhVcUTzmnkHQmPXTa3
Mlv5MoWVMipuTDcyNg3iuI3ZcI9oUgvXVuKn6970ra2GtgSMG76mLR7GwXkVhpWvdOA9hHHynVoH
sALzqcuiM7xDhGjjRJi3f9txntwCnCSOfsgpx8tYbQrYF3uX3sBeMPLbMZjkRh94ySnInT/0cH45
pS21pAV+jGiPJfbj05JLbGjMjJJ7Z8jlB24D/3Z5Vho8VevRwqL4+1vV+2XnEnxFDgo1OrlYSz8H
RhU9vSqz71hhkVNtIMoHrwjL4kviRC0ScYtp55hheh27XXxp+w0LXsPxyxq56NNQc4L3x3DNNPFl
CMKrMXJP4QwyzELlM7kXOoLtXWue6yFF8sqfXatzBmnAfdmkbB/2yNPMsf2jauv5zl4iNq2a0HSg
1u0Bq5jF5HAqr9LWdLcZaYW7GEn80wiS7Z6Bf7ix7HgAjJ2QnW6j08iERYvLnetthGHrhJgrODKR
vevwxxyCTLNyzEF/KtwSCBHuitNosiy3Kst27fJ2mJguPJBieJKae6sd2GbIE/QLOJiAXEH98RR2
Rgo+sDIFvTXzCymyAGMGi3F2HFfGLmgK2s5DZOxqLuQq9ix3G9ML4gTKAzH/u2d6XLMLUeKsR192
yZ+fs9Z186yIUMX6GBVZQ7h+jZJsTpWoNp7kgfj9/fLr3clUEUU6RywKdfm5SnezEmXwXMldDuGM
+TZPA7K54IjmyD/EM1SQ37+e9evBkrINpzQVLzJ1iCqfngcfeRu4+0js0DE520SjDCUkwr2CL9Ht
y9mMLyfYSwA+XRhEfXNoWpYLN4O4SIaMBUu0ZBQAcxb0M/8V9GxU5sBXbVawcyfP6vaKJBEUmFVz
TxwCyphy2dxl2LDzJPmtLKt3vSwjERkqKK656Vwrf0e/WG9TF1VoWiXGJqI3+Vj5bHaz65/yYcHn
tc5HXQXVZh4lKKr83Y5574bZTTvth/MlfS17a/UTjZWqeWxn7nVrAeKft1aVcdRq8IS+oihzSAlF
cG8h8kUjwtNEPpS/j7kFLysQJpdjJ7p95S67aQGDKFKcS7KEfYYYjHllLs8qjI0UWU+vv5Yz6xtM
F6ZCNbd4Bl7ogLKYvSdj2W2B9D1DNzd2XDeSQxrekPIwW9JxAZlsxEwBdA0o/vy7Ofd7Arhl13gL
HadCGbLpSZRbT0gLVnrZddPYbo8iyTweFpaLxBo5D3QTKdLW1B7jzvRPVs0Avyf19xh0kX9oyWM5
lTF/xIw4QZRh0G3aCvE3mu9uTxRwc50Ql4LuLKzYF/iYhrTS68GY540arHbb68rd41HCx1skXDuy
B/b57D652vsGMAzjay7sI0/ncIWnxtmygnEXS+3vhzrnyJJwjD4/7oHL5UNpyisY7AIq4KRDagBD
9MDpKNr5Os53+/8z3+fyQt8qRiEJYKX2f/73v194IRT89IvtOY7uDrKjvv+r7fPu/xADlj/5X/3N
//gvhdpZ8AQsd5GX/MbTCbz+/Vv8nv/HbfP+/a82/tHJ+Z8/4G8rp/cPgemSdj+ZZRZRlxyuyK3o
/sd/C5aoOlYJOCfsoBRK/3Ry2sE/2E9d/rSNW1Mw3vmnk9N2gS6YABT4cXRicDf+O/gECgsW3B+P
fkgg0JfjGMUI5kuaHz8vyCSiKp2wKR2bJInSQz+32Y3XQvYCwNd3ejVBSk0P4EQVcE7VxB3ggLKv
YcsSEEVfDGixZTfHOS6le7JMHDKrYUr4J5qS5G1OVFDj1sdBs4UTGF3MAMB2pWxsc0s/z4muKymL
5GAIrd7gKsTlprKSslmxm0fU0VHR+lv8nd5zS87Uzuq8Beiihi1QAxuZmy++qhlm/TakBGFeC+g0
35Q2SbHreQzGu4Dco+QwVfQo1jakJvtQT2mDlXAeUB4PGC1uHbseoE4qhfVDSysCeuaIO855oFaz
egAzYKWjIjeJfKSE40NhfsQJKePIJXyedCEMcQ9hWuBHC4votca/habED/U3xzW6W5B84aK4LPu1
n6qxh5Mlhvc4baej9GVBX0u5yRu6j5bkEcHGPVamyZzAbTYjYTJHywIdByZRQMpPS5useMwKj51r
61fGR+Aqy9kOOybIVXIgFJFywZkbEl6ETgu5Va3nnOzCGk+wMo1Lp8iRJM6CnHknKXrrwWaPgpYr
dB3tyP9wgpehK+ujruPW2uaBiSZhBtdX7/VkwXJdgexqkmPdttK88Zfrkm3r2WmDXYoPwn9ssYcs
5xGmuyH2zFdmn3gpNTm1cCuOOJVJuiDNCtR5Jy6dQNQHP/MLfWNhIooI7Y4H6ybyfCbPhkfuQTqS
awTapl6J3pzuu8T8SHWtt2WGjGpknTuSETCAdwztVVNbNl6dVq8HHc6kFHhQ751EYn0Q3Y7sF416
EIE6JHd3RIMb9N4DjdXjqAwLZyPBvxdGTkq6SMMHjlb4+/PhxVYOlY3LFJT7A0Gf/G4VxbEcmuM4
ReXeyM1ime3Y60XDvHVo4J0i2yESgtvmvnCUcXSnIQPGLbh0NRwtzEaLFVpd9C5iA7CRRDJgk5xD
/0SB0p58USELI5PqKo9Hj29VxN/F0OZ7n/jql6ST5fXgZPLQL8zjKKjw/Qcx4PehjW4yX3lbkOnV
vdeI6po5KvP5TM7bmQnbIigzSdHJpwciqQi977LoqPsRUILnNRfKjRe+QRVuvIncDVGluLZT56Gu
rIwDU4QZF2jjzg1zsRXlmK3QU5E0BMg+sbr+VDMfrtGx02lJtewf81jdDqpB2WLO46rHX8LpOe5u
wphMeDnrjrMKii5ZENMtbbYxgsT1cE+lkSPiJAi+VH/1fXKboa+Aao89Je+6DuJBC1i24ymLfAOh
Hr/DbDsrwewFisXIeRQD978mRV2S00Ew394i4whi5Wz+1aQgy5pKXSrXI+9jdDtMc6Btm2z68Mru
smeAuq5Hg29eOcXaIJ/dQBgMwTnvO+QNEie3kxv4tyk+Zl21V2lseJjCYANS6E/r0fPQ4mo5vxq8
712ahjN1maj3gCzGkx9nKMJ9Y3xAX/zgdmF6kcvCw5ORD1SHjbf1xSS2mTOVdw3U7y1cx2jFKHi+
RrfUi40uJnmIrRDAA43afuOmEGXWQhCApfPaII4rtPVzknbVSjvheB0EhGW4mZdtg1gucRPNh6od
Z2P2fn0xuaGziy3wFhT1QCuyobiVAT3pqGvtiwll6NdKleUOFDssimgEjSI6M0Kca9IstUNWwg4p
z1bq2n8ZAzv6rrIBKfIPu+rt/96FfkTgQBP6vDsBQVgUHSYz4KVs+NSSJymojtPYjI++3Q7dJrTG
wt10SaVvWjwmT2PVCda4CmfB6NRkcpfNUD6WtaHpnuTW9z6qg/SKLqtlbbMOvpthL8HWzfLtI963
2KZGcyTtIfZCCmgGvLDuS9+KjxLQ9Hgz4d9vaGYDYG5dJ7vXuJCcnPauO8hLlcz+CeZYdhv7hCCJ
WoWw2gHvd8iyu/YruujlYBa7L1kLe20oM42kz8OvvDJrfvoq9LApBASZHsfR0/ue9f0SFA05fTH2
E+Cn04HJe3AB1GRc+TZnOyfHQUZ7oXsOUgP47Gjg9OpppHOUzZt1xzmEIbRMEXWzb3V+RSceKePa
HYNZH3y3AcRO6Uc5CqfQJrphwnp3aEwtiyuYjP42aNxoxcTN+AuFl75oWxjUeVTV87oRpnGfZS4x
tFUnbwrdOuB74+gBx/d2JsqJjCElIRbOi0U2taqbIijg76Exv0EiK19KQzmbwfHrdUd2CDGZ5MFH
JgNTZcYd5E3/IZY+mTA4RFN9Sa7Le9VZe4IH0JXTk79W6ddhoIo2LP+qsqhvSBuFQpOm7X1sZvjG
Ki4c54112S+wFDrrxqE0++Sd4zoa7pxJRu8NF51R3ttjn1zHYREj/nbc2yGJDx7N2SPbCrTYzs2f
G09VkNbpkR9nr6f2IPtigGiJKQYrQfkK97LdmLb6CnFKrptG4FeaseBa3Js3tVdbD0kkv3lIFe6r
mCcPFUt/3XayBc/vx60ByY6wjqPfW4IMnQHYzPdcC/VKP5gemZ8RsLrH5i6v1awGm0VZyuklmImi
3wSFqd41sJy3LqTKepChYZe8P6/Wa5exxpsFxfQaPLRzncSl+3VMQ2DVamCaEEnH+EqpR8x64Q4Q
ZKxO7gPDTBjqeBg2i9R9IDei++agvlhB/SdnvJz6eOsxoN3L3CdqB9jyySOj59RXfQBviGnYF1n4
0b0pOnGCLMWJoB7Z5/sx2rhiSraua/iPNZ2OlUgc951TLbRApAXkhYxmnV8QEm9gn8NVY67a3Mju
x7IeYQ37ykm2ZpMlJgXQoo0THDjIY+fuqXfZNJFpxIqFcrKZ+xqcu46uQQUFXE47Zdv3kLEzQa7v
dZUWL0s/+a++cvsDRy+i0rQDj9FRdQrDiEkPD0JfHpQOZlY/EK3TFh5S+exKPBuZzpzrShTDfZQG
wWvfUjknhaBf0oTR/WxkHHkcsykfeBvZozXPfLt1wtY0i9y8cP0RSFEtJAZxv/Wu4iwfAGqTG78F
itFu7cZ+0zilLmi84J4AJpq+5V3ivepw/BhUb5iwzIbhYJnlziaZlRVLpnKfZXr6gjariVfhhCxq
1WJXfMfbOjxYKhev4eS5EJcKKIqrqIU6u0owsB3oDDlf5gwfMZuS8eZ2SXqfWGHwrtp6erQg2l6l
NN1BGpagbpdTuDyI1BzyLT1oENkWhPUdKZ7ut94V6UEZfUf/in75tJV91rOvVjSN12Lq9BfTb4xr
FHZ4AcswdYKVXYbZpSHS+iR6b9yYsz18N4sG34HZtf4LFXvTIdyzDeeygsdNpWGbEfDCUYfILicC
WpXRMBnt2Cze6B8VD3L0s+MYYj0TcFUhjvWCJpgIyTWUASex1TgE7QWLHqAXUw9TDoCsLvRKTqP9
pfOUJrJLjPFXnVYUzUWYDydCJLtVbYeYaPLMa+dLnzO2aaksutQTy8sO1QnE3hitf5i4/UWc2oT4
MJean7GN2WprdRZa0GgynspWxredW/pfq8nqHnD00WRcbkmKJ2LkuAkiHkKg1jQffXL0xLqhN3WF
YcY6JniVqX+mYiT6qIuKfEXbmoAXEN6PnZkYNzqdliRLM0YyN8258dH1osROVtgQgtvWlNdzkNDE
Y6g5nGqMbm9z7DhfaTNqPHqpXf+luyg7WoRqZ+uKQfNrOdG53mVoVOGtCPFhJ2Qn4RDI6y00Xoz2
deJNhLMN2bBq0qx+tlA7guEuyatFSOLDYA79cRtkvoacbbQTs754JvSpSYMbmpXBPdenvB47i1On
2zZvRT1aWz90ynLDPM4G/QsK5a3oqq5eEX3cN+vQSOTWisbp2Ahj3DsFK8AmlbRP1ililWiVqqm6
wfSd3PSJHcFWdUjOGkXkHJoykS0xV/mALTnNOnsdJyRcbMqmC54xjREUJivvyTIs/ZU6hgildEqE
WNWw4TS3QtJcN3rSNNo6PFi6GV9t03wAHV4/FkNdJ9se7c8NZAezuh2yKT4Msy3fsf56/JbOu+sk
sqdjLcdsi/S7fe1rp/2YItMvNsZY+Q+ViWtrFmn0rMecnSgbvPhYNBBXydnziafEnJbtOAgbp4hY
IrnrlVEeyaUzGBk48VMzuPYFTO2uucjgUKT7oDcGSu3GH0m0iJsbz8fWkMPMg1lQTCucAO3Rcwf/
DazO9NBw3Jo2FvbjI6WSG+2sycmPaPCLZgeZr9jMPXcn3kddeTe1xfxlg40Aopk/6L1Zj8474THN
ESJBdW1a2bQaA09jM2rEGFBPKk5gMc3JaBXUxnRrNGOxSnI5fvPIePgeqZwIkT71iwbj4bCcWFkn
3ilnB8xLZeet0fTXm6E0bBoQcvQ4FqX6ORpTAom5xEGCFVKl1NIqhvVRDBnH35oHW6+jYXY2hufX
x3Tuu0ch89SCCTHR2TZJ4iYAAjc/aX+iPvmGmPYM8Rb/eD+9qsoJs5vCKFzu4WZZN1ViamfDeu6A
bWBkdauYjg1biMeAnKcaCn5petUM94JTEUIYsq9QbwP/X6KPV6ruom9zMzuXre9n5habyYzJsIiy
aFMwebxEd1WbQOhCrS/GfDCiI9CbJt7iHdVfVMCxzexTQvfqoP6LIHr/aBpB+SJlFj8H5dDr1WCb
4340lxwgi4aqS8bUURPDt55xXX4Aa9ZUxMgmMb8WJel/dUuGnrbCFqmhNPZsSTV5y8SJDCbFWGF7
lPnREgBYRJ78JtDKL74+JR/nwEL5Z1NERoF74aFr2OmcQRJIkPlhmLR5ndOd2ZDjV61IFpw08Yxp
dd+6QfitmhV6ednUD7k5afbstu13fdUZ1Iudk9zPNKUYlMf5iwiM4TrPxPRYkc+HHmzGBsW1Nm8S
D4VdUKrw1OamvBh44B91x9G/MXJ9iLwJwlQylR+V75U30m7kI7c9J+FUXFh0tY+TFXavUUeAbOFa
86U3WyhIpdMfUefDYeicErZ1vSKlgFhbt7lDtl1fAlpA/0Na4iFzE/fN5Jv7GjpQDqmB5I7IvWYT
zlZ2pfoyuW09olUZj63QMQM9H236DG1oRx++iJ9CRH8HIdW2aHIHlV0wrivqzK12ZHMFi+ANtjEu
+awd90EcED5Z1bj2XfRGtM1fAhYs2stqPMo2+WZ5TAboVgBba1Iw1KTejtLuL5YshgOcbCIi/dTe
MAVM1hDz8y+ogcvTLOp8FZCLwpvM2wMClu7ADNfbGJ2f7vg87c5LBHhOeFsVm+fvy7hfVBGmFIjU
GccLQi3IgP00XDVYfsuRheRoD4nNsXM5pflOFV2rsRTjWnIL6TVKBGulegcMj+69I2A5klP+8EZ+
GXSjM3eRdy29Vf7lfGaKN8RyToXlTUcNQjId2u4rrfERNtAggvbG90tribrALr8FhDLeD7qi/oM4
0TGeHXi+YzE8j5Mt6ZNpu4l2BVxsgnNiWdTvrkQRvBGtIV9qXLi3DNW58oTWvfq1gcHw3JArxsH6
6pUTOSw2VeML7Q8DHEjnPNjDaHxr4pCDd+9HT57p9B6skyh57RJnMcMN4hSYCU0BgAsvfhNxoyTx
dFdXbgrFBevPVs8m6aFx12wIZnE4SDjRzYjtdt0hV7r3vEJfoi12Tn0esR3Czd05U/5qO5V519nR
hTda/tpempbe0r5U504mzhBWSAO9d7yl5Srv1bntGZ1boIi9zA91bozagiADz3f920lmhKVGs/WC
kLCuVzUgGtpfy4GdvIUevlhEuHjCAOUJTg/3aX4+3Vvnk35wPvVP5wogGTL9TRK3saVK9W/Sc51g
dZVzCLEGEM5RBzZSsqWcoJvkviNhIBs9C/yjEdpPDEj6o5qaCFU8ndBs1kRCpgF5Y8ZSs6BFoHzx
l0qG1Fp5wmTPL5c6J4ynLt76M/szSa6wO6yRimipjfylSgLIm2waVci9XTf0KJeO6JrVxPian4us
aam30qXyCpYazF6qMW3Q3q6hVOg1vRzKNRXE9vzgyjZ7k3au3qWHzpUY6M6ZXrAFcZFklcvrbqa+
3I/CpRdOI129NqFyy+8GWXHJNpZ99AHQu6pvf/+Y2L/YMmi3QCzEHmgzn7B8m2nIjxKiviTqCWZF
f0w4a52UMUXAaxKyhxsnO5aF6R9rvylGAPxVSIJ1dUPUbngVTxWeVcMdccB2UU03bTaiDR0A0uvL
IhvvqXqqciPok74yslYDacdO/SBGMA/KTknV1MmIK3e6QWh4M+KVBiUwWsOVhaGuY6Awhd/QfTo7
wJLu0Y3r7A7S2kRL300vHNd6UE6MlDG8BVGHOTuMEGQ4xG2Z0QPPuHONS/hEYYY9mxizgRXPlAZm
p7lny6599xAntYS54XJAZe8wD4Py8lvXTc1bPBto+SoC0h+RnpX7COzONpp6wjkrpxrpvcHEumZx
qW99wjl2hJbTrZL0luEsg4gctnLKSVKpiftY9xZEBwpwVX4nhBXZRub3HCRld2sTXPI8E7yxqZx0
WLRF+SbAnVrg1fbCt5ipwtskNckoY1ERlNORUZhg0yf+KRQeM4u026Wejg6lL3nkhDu6fL4GtoEm
WfN7ERKLuM57M9xTCZfJhnhlvQg9ERmuvJ7IW9dswrtwCOKvBdwfdJdRsiVlzbif6IzQKUigFSdy
uMhTlBG2mVjXtBZn7koOnTnM9ktEssYXEpTUlh/XMR/2y/ssScneraSqn0wd8gRgM10NY0fPjElO
vHP7ni1tlsNO4zR7G2wreTSI4n2uU8SP+G9NQgeGmqVpGtO7ue2iDShI51KySq2F53XbilkDbhAA
Jl5spU+l2WKIgR+N6h17qbhIHFPkFDFueIVFyty7XmzyXAepc6WK6iEIRvA2OQ0K97wTIe4Sd67R
RKdxnvKC9g5xB6sUy6x/W2YLC1stQyTrPE+yuqmf1+F5zmQuI6eGru7MTHuZRIVtzlQqSHQKYKm0
vxLIzdQqYH5lnydZLVKXHQNo7zk/T7pK2zCI+UvGBeHA6k1Sp5upt4juXnIge8SKrjEmW+Z22ce+
i36cGqpv2685CDBtS5eB9ko1E/+kMnDcE9S65khMdrodR2kdUVV1nKtrQXHdBzOtJthUWXpIfbdl
/k0DQ26axKound7hPFGfe7rT0t7NpPVa+wppbxc9Agp7JfyUB8ROmQx5yUUdzij4BzKSlVWRyONm
YF6YlF5OMSOi1qjkQWW6ff/9QsWA9OfZpWdxsGCREhBxEa4ts80f9OgmnfmMlqh3JO3zOgpu6qy5
UsPd+UX+rRn3KfnWVG310Z0n1P+cWJ+n0P/5q8eq4K/Pf+T/zxk3Ur/lcPR/n3Ffv0fvC6X402j7
7//v79G2/IfNWQeJKA5EyJYuX8Dfo23nH0v0yGK1BcHLWYWx8t+UYgbYlKugG4PFgITjjp7+35Ri
W/7DQiyMA9XGrsyP9P6d2TaY/M/3B4g/hyMHBH2UsN5nyy/4KtskmKY46sRhaui9Rx5Q9AT+xnUs
dHiV5D1J3UbxVKnM3UhYOvvanPL3SUjvlPpQi6fW3xN9A+5Hjbc8UjEEHP8pQugPGTbAjNAvhhUN
FWXMxHA38PBz+HeY3ao+f2hj1Pdp0DQHPxZvHDfXduuedEuHyZds4MA+sNOGdz3+CVLxnK0J/5xu
RfhEfqy/o8QnVaqQV4Wj3XcvsYgTy4JtWzEFzvxgPuXFXKy7sStWOaojuu5I0Ax/3I3toFZ26u9m
4TPAYqzpbOqCRvpkeQsWxeCgP97VsTjwDX4fbSj/qrhiHrzVrX2PUOmyalS0ZhyyhiXyIa1kujDi
MEVMl/nz3o6bh4Rre1MlRQUXzFB71oCnyYxXrjFe9ZKLSeKlc5VqPnLiZNeixOlv0BItVX1yZN+u
fZNI2GTqvilbz9fhcxvgL25riHPAkC+EFeccmjoasHpDy3mbM/+qC1GvLb/86MSShu6ivCPPcvJd
6C/pYx1Ex1gVpAd6NJ4BmazweHD2m9ODofs7w5YDmqt2euqTWR4dr9iq3p42SVZRujOymLw6OhRV
FD+gGLuPnQEUuyaGkbiq3TRpH4V+IW4kVdcqZ19e6ZCJMJo7ELodkh40O/JoM2V5dIrq3smW4HBW
rH6TFrF+MPNwpkXbdmqPGC+6mdwTw5EngEewCVK3vB0bMtVwVp8iU9zE6UQaqvsS5ZpdVbFj9hNU
+LG5ipr2aIAhM+foZYzA+NBe11KTJdW3101DPGb58L/YO5PtyK01O79LzaGF9gAYlAcBRMdoSQbb
CRaZZKLv24Onrw95JVtXVbdsDb3sqZRMMoPAOX+z97cptit/YJe2s+yKMFBglCz51uY0eCp6IdIE
DcULJjCWlV6f5aAeU4sKBmjrynEcJINyP7XqU5A/U5hOEBvRuk5i+d7JviblqiFN6QnaVeyB37dY
K7Oe2RRR0XrstLRtzX6tsLQPk9ndYdbcn9QFJ4PwMVPN7+ygvhqdwy4s8RnxPjRzpL0NDP9ULPXx
2gRN++gKTCMBfLiVLm0LLkujXBhdWlfGhizyXZa6BfpQ2pO6P4BoizuvlZa4ZrVR3RlBKw+J2Tgf
TBwi1HNFeICY5JB61PRExAfZS0JYD5V+38bHSCeAO0pIJZV2E95amxaFR7Xd0xHJN0o6vO31WF4j
QfiRbRfZeyoDm6kd8s1MTVOPGk4cIlG6B7RWYqOJcdx0msYAVZmnUz6Y+W3u4ukGsqq/SxiFP+UN
49d6oHdcNZXbfHTBYPu1Fg3gmlzrBNuoOqaDM96zuDbOljb3dx0MpzctyXrWMOy4gHSJAwv3dN9E
rnUhmT36NsypB58CqfkLRV1OxB8F6onCNj6hrR6PVpB1hyxwNI1KalCvjjOpD6Mx1GdIX9oxT8vo
CUSke6pdRhI8KvbRUEb1mJslgkEk7xrSvMreapmenV3+gX5E2N19kkVq8b+xUBjqojj6X4okh9Ag
rFcQ0zm4BUTKv0qx05TUA6OdGYeFYXauzKYc9kk7tOd6mRT3AZSFShvHFcFova+N6eyPrDWosBmp
mF3/JIZW2WSGpNCxk2VRTYI6EJ1Y3cDQbD0G5iGrsx5TMV5g6yoKNTl0an4m+QR9e+3O10poBaGE
TnaSAOGQlkRPFiNE5pqutcMInXvI9gialdataaJo1fdjfhF9iNVnJHb2Vo2jrkAul+xNW3uuCz8q
+ItBgEH39QR7B4Sg6MW9Ng6GaavmAA/J+jBJztSiOvbrISzX1qwVTxClnDeM4Xdkd8B01CEF2Qo4
rY5URUP4VSERJnV24cdqhoYwB6tuhOZO5ugm+t54qKbuGFXNYwCpFSkzWarDZCF0iSd0PUEMqJVw
CwP2E7rTRHpalB/a2RwOQVMe7ZjXP44lwy7WlmMR4zTtiSzMLQJd61GEP6LBGlm3jQQmM5eGtECi
TEmtyxmjZRs7SpOHahak65E+eu7n0V4kUjxKs81TNYOQPiKsIlClT9ojNmv31Ftq9BSpoX4MY1Gf
U6xFD6Um1CvRyjrujnjoDvyupyOD6vg0qkzGmDbxvDsYq77ssBjMlWEb0TdC/MKbmmDaNMubIpd3
xlneHn15j/rljcpah+1NMBnnlBXGfVXH9dEkffsko3ZgMsVVidm5xcSQM8YGOs7aZHmD3eVdVpe3
OrDT4oaMczqh+wv31WCMm3o5B9Dmugc5j+JQmSWxXXWxPAe188h8MnuPl9NkXs6VeTlhzOWssZZT
p1vOn3k5ieLlTHKVSt2njoZHMBQcWRM675fGmft9kpL5UnVjeCBEO/KGTjgfSabLQxUo1Z3KQOQa
5SC+Fwd0f6AAET9AwUfbCf3vZqhiceVPK5e+DoWnlfja4hg/lSd7SVonWCBoou3sUqGkrsY/23FT
5u6whJKRphkDsg/5VuSeFhqNxFsU5cO5sBPHU63aQqZru+3s6+5kuTsUJghdirkNqxfU/E3OX5NW
HR4RI+12ZdgM4VHP1BDcastEddV3ztAjYirAYjZ1jINVDRVsJ04UydB35VSHYEItAkHZiM8qqgRA
VbwGSQnGqTMuhjLoJyecrPtJsQk6d4123SB9fmjnxkqRxgW5uoWlm2VrpdFoYoOkdBF4VMHn4o8Y
fcdl/LJq7DlS1n2eUQENLBIyz+bYfJ0zOFQeUkeNs0WSbcsjptUajIxOf0jprGpAofd2IFEfJsm4
VltZoQUpdi05T3Tm3VM3HMWM9S0M1JPtuNWJiFZAxDgDmGATFomLJvBUm+gmLWD0BO+Y5OayGleG
aePXHpJ3hNbjhrTwH1pB+qvTGMjSpE7mcT2egRfrHpu1z9j+RBLk3kkduqywpe5DXx2PRglVi1ya
rR2V9wi4HpLSdv0pc65agJM1ym1BzBTztr427UMnJrFjroOHPTbuIE4/sPzlzos146hw/6/VufqR
taWy/I5YxckKNGw0XrnOn2atigHUjdG+7edhNWblfGAKPK4mJDvPZD1KP9Fq+dMtkXl6QNsqw2ub
TiUW3o3Jd/r7Ldx/3Zz9WX/8P/7Purztd3n+yL/b/zv6PBqzxYHwr/u8UzyXzUf+lzbv9y/7vc0z
fuM+xnCD6tiwacJ/7/FIollctIxYYNDo/9TjmXyFAOtCyJtKHpXFAPGPHk/7zcW5x8mNJYOvFeLv
9Hj/aVJpkZqBAxCXPtJliw3kP48AJq2doQjnw46jn0DNtKi2o1Xn2ybRzgbWij03LHMRsoOtsP/W
AxGcQgtFwp8+sv9CqEbz+k9Fy8JOMh1dV8EoAb4ykUj8889huKFSamUw7Jh8ZLuOs8c0UmJwPNFj
szmgdK3FNQDJ3McLFR0h0EoPg1PCrHlVN8atr23iRncz87/4bKjFwUjA4MROZ7Emg70h7EOlVWyW
8AuaVnfPWQ2RoCVhFCAsmr6nsUXoRnzKFBTrJG+vUzpdxhR0oYHqADNo0CKCycOLklT5KrHSWx8b
zbo1wg/TTkufM4cOmPkXfVPYIPLiG/m9g+mZcdRr21Y3Y8lgDyR5BcZ1dBnNmiYJ2XywLYq310gg
Cg3LWd0gFF2VkyBvKtc2VhR6Uj+VSrkRtQG5/0VJZ3Q0yWNNkC7pADvdsO/oHuCi09bY9eM0WW/k
kdgrOaVnvLb9ygwHy5vM0tkZVvwCU+TMJXgnJuu7jGKC7N8V2hUUSmgX7VNjNQ8i0LZ6V67Zbvuj
rtcr3ebHAKLJDZeuF+B8mQ1fcU0edT/TQhap+EnrFuxbS2cHPxs5ky8k7pM9Hzqk0wrNgg9ZM1uN
ms4eRzzmWUjS6ENb2B7ecgEOa3ysp/CKBwl9CKqEm+GmoGnlGlBrJ8a7OjGecmCHK1Ux0T481sX0
c8idpdN6m1sT+RYDyWisXsMx3kgrPui1YeGcZlUclOvOdp94vFapRR4FuyD8zzm7lGEt1eEcKsFr
UM2HQRgPOHJx39r9k2bggNG+yjw/t+pw6IcJ+VQf+uWEHhfVF+5SvfDSgPny1LEj7DzdxLDK8OPV
5tGsI/GEFFJdEdTzVaJzIjYp98s24f4GnJkn3Q+1q5AeqQEZL/IOkcsa+RKbvOiFROObmb/YTTNf
EkgWL8NMUZma98E0DFtHLvoAEY57Uxc+WJYDQQi+qItdF6Wvog++U6U8yflSWU+tmcPUIS+XGAz1
nokpy4Vx3ldh8kK+9IgIuvSHJLrOgX0cptqHZbkZLONiyvvGqU6QhbhTIuappiyP7Pd2fU/n0gtE
OVOQrcOkY6ZKcdGxDocVZKWMaa5DqB2LkqGvu28Lo/CIGVpxHFzjJdODJKeXipicORWfhP2uk7FA
DapoDY2T1vDmpBnGLGMtJyxADokdmbMhsRxptzdW2n2e575WmptMnZ8RguwGPVs1XTSuAP28KNz8
ppJteTRsXwVfShdKUzdoau8FgziXvXYX6TYLjvkpHnTLr3v7DYWP7aWIZIC7EMzBMDmfLrbeboHS
esXs2IehGNd4h3+IweSWRzNhhvrFVftxVSPjjKlb4di8F2m9j3vrq0xJl8TYCC0C2Lle5ps0K3ZW
oY5HCgoMhTbwFnDaD4ufx5sD9RLCNV0X2rURs6e2Kp884stQVfZOFZ/yuBh9pMbYKJthY0qEqoqw
rhZbBgIbUaEX1Q07yXbAP+HFVqQxI6k+S8v1iYJ9ztHoCP6DryfpJsNK68upxEHWPNlzcwmK7q2X
eYUmmhq4sp3neZSP9sj0Z3JhuXeHMgxWpK7f0E1cKLreusx61zsd9UFwVGX/Vsv0JZV2vu0q/h0w
CKVSrpsBOasd6w/SVB5ch48nxzhH4X6HwIp5GHT8VQ3dG6Nkk+xsZ9yPSKJ13djODaHhab4t+uTD
CeHToFtDURPppxpx8aqgaPa02vlm7Pk8WRjCWMOvUc9uaoOuMDJJD8GwkK5ardg5s/uhM59a1a3L
89ep20wgT9cT5Ulnszsh4lrzhp07qb3UbvEpbXAHZr6U73n7QRwzLwZOg6gb3/C5XmHC35TROapD
d56Zia5a1kTbFny+Xob7OTS/sdYhS26IGkAxcZz5WJUgODH/32AmiTEEoNmSi1NUUUzHixowZc0U
rA0Wzrx6+45xxRrx3bWhC+KwCMm8TJSTqVoF4Oj4C939tp2zB1JDCKNQwvs267e1zfPQOHyS6boR
9ql3jX05m3dji0OkuRNR56VArnclEnQ2R3fCeuuNlMlUu467ZotMYIVb0qtLDiG1DDZdFGyrhq64
fI/a4py79svQaPspc/0uMw9j2+3GoUISU/gaXmkUpmKvxhM2n6RbpfZjHYw+VP6djM912b1IVFnj
mO1INiDHRXvFlnbRxwFXtxuubHcbdwExAG2wm5VoMRc3NxF0H03KrigyyfsUzYvjNr6VoaIh6KZw
9d2Y9UfNPk5olHCCxCDJm3tlNk5y4uSip1q5Ca+8YtlXa4q+K3kIB3td2uolmn7mw3wGZYKvgDGs
avzETYj0sk/8PtMO1G9gruOfsV58RaF5MUR3NkSzi9PwhlVqrfYEulqN++owW0z6nx2uwlpydLJL
bK3mbNUTL2H5yivyXEvrzs7eBweK+VC8M+LEZZkce7W/2InwDMCYWz2ITnAOXogVwa1QIh2Yzj0x
J7LKL7WVv+ehkvlSMT9duz4Pvb4rJ3lim5iTEmswEtd2udHiD+8/+rl/Je5hzVB1B4oFxVTxybz7
ECmA3oNVMenMyktrJYhZaSHE5pnWegkiv/hRz+8MDoUIBg7Hcg+4osuhevTrbsq3o3GaE2c/6tlF
dePvwRloK8MYLRj3Z4laasLMkNWk3qgnUhBQmLr1MTTT+6YQRCCIhz5n148TKc67t+hUZEe9fUrA
wBm1sqnaBD16S3vbEjQ7xM92bKMumPV1EfHPSq5QNIre3mbTuEN8+gWE8RDFiE1rPsBGP5q5zrJx
yvYuQsKwzQ4mTTWAhudmaj7dmnD1zjSZ6g8R+GoFy0zazd60iMEIkrsf0WN5ImpBeKsqhU2JHK0c
DG8k6zYldRWxI7hH07pWkXhDOPdDD/oXEu22gG/zlW02z01a7coxeU7sZk0agyf0YRtOFDPzbUAc
3XPwEoDkGVb+QEube0G7lZq1tgfF08PTMFpEQUXTEYULcXul544/syj3wON1NbR7KEhBF18SlLex
9EVme9PDNEebsoXrXFxqZM++Ai8NeWjE/RHjMe4feq4iX7KRTMbt7D6Ftv4SjupD3KucB842ZusY
L0mveJ9ik8kJ7IymP05qfj9o19zgASKEYo7fFbYQU62lq7JHBJ58jmO3E6N+jCtGrko93U1uCwi8
Fj/d4jni3ZRleDeyJUnA0wcujQTq8rg7xppkc+LcBIxGx+w+Yujzqur2vhWorJWpH3rFfkk7hKOy
fq7nkNQfZd/rB8CjhE1wZJmUpFMg7upcPGr5bbDWIbOW0evblFkgQjOCkfL8KcTw5BFKG9+5EK56
mxsZBsnMrLxIT5UjSIWwIheWzVzuUTo31JCN270iLC2f647meo6tHkJ2J38WHRtqN8Gi3KTG8DWM
ZbqGDaluLSuhd5hFgGC/Z5HuWNMa46X6QxRZdO8YuTiodWgx6kxFvnP1Kn1mMgAWWsvdB2REfJJK
F73nVMO7DNYTAhc8zOsOpv4dpFW997BgRGsElrywWbzXFhECLjT1m2/p/AA4MH8irFR3uSU7AgAS
7bEUjbHR7LC7OBGoVLVI8oOq2M0j/R71MYXZtBqaor2v89S4OfzEnuLW3C1JNO5Vra0O5WAug3ZE
jozMuONmZfIDqTn7ED8BIkbgiugcWDgVZRKuuWsQGCOf3iskSZz0wg7uoGm0dy6uEKJ/FFqvqXH5
3FETnDowYV6hy1Pp6GRThVJNHsF/2M9qo6KMKgv0gcgJNqGYw4s5zeUbgYHuGY1A/USjw/vjtGH+
6SSif1UywxpXlMbJxRw662a5SfTgGqq8b0e3OmsjoqrBTKZLU7rRQZrPA65FpJrN1p276SFA3Pmk
mKYcVkUs9TcLD9lmqiuOMtQJ981g9yTSzIxRuTDfIyu2WWP1DmiSafpMmrm49tnYXS0CoS5ZryX7
PCahDfvxQmCJo1VUOv0GdyTSWOr6lTAqtovDjHKc1YBXmkmOKjGstmwzFoisjEngCjFcptkIAADp
24uBjNKbOJ7eEyvTz9XUG5gGbO2A7w5PCgZSwCjxtZzep6j3khjHzNBl8oK4mJu0yuXw2PJkSi32
W5lvy1JjzF/PP9DuMlcaW5a0VTDcAkU8OcV8EXX6JuJFUZnvI4iF5jKfMztMxGI61HGyRoNLIjO7
I0TpoW+So23hvEKr+zoq9Z7BHSl5mvklMi4zPfkwIebhEfFgRG06iKJkuIxcDKY1odNii312QlPd
FkHzMunlTS/Mfaw654zdnqnNXpQY/MQ9m1kYG82zpnXuulLaVxBB0UqGMRVlLm6DOTwFinapJCtd
lCWrOEoJElf2BJlDmwmHfaXVpm8perbLi4WSNesX6eAL0M3MK5Ni7dYR4qWxhQRHUd7G8arXzc3Q
dJuiVXS/Wrf9C2apVVe2BzcicRu0WZgVP6uiffrvhx3GL0jHnzc0bPqRcxK/CVEZrob7l6ELekgq
JkuMO5G90Oaz55v66TKNKH1B1kgm0EV9nspwvud8ih7GWFg3jZiOSxPUYly1ohheHSyHn/avVyVd
3hq5vD/W8iZFyzuVLm8XarH6oP1645Z3r5zD9HE0CgYoJa9mv7yjzvK2giOd77LlDQ5+vcxTaLTk
fabKXRjwrsvlrXeW9590KebH+Vyfcrd1t+SCYHUhn9fZJ0EqfZaEZJwhONmgBw2xXnPKkHw37sOA
k0ftEKTW5mjcbEtyLmkt9XkYRd2jmpTto1q2+QGeJGbaueku4Uw35i4nnR4A/oDwq/JxcQ5ay4mo
hKX2rS+nZCO7mMU1wumqjhi4L4dpv5yrCgaCdf7rsCW6dNzJ1Inei4o6o1Kl+2AmSAEiQ0+fUerR
MKDvYYASsXOo5Rgx3S21H4GrTOscCK1RJVzyvy6Bsk+17bjcDO1yRwTLbVEu9wZ58fKnutwlzXKr
MM8pn7XlpgHYx6XDb7Pch2zQ1kjl8h/Ocju1yz0FTibaT1N5ZOeIi2m5zTBJP8UBhoyVM7fzF0PC
A9J2t8FXo7XPY5Orr47sO/iWcaa/SMtmqJX3unwbiU/krTEQJVchA6iUZ3Pdi6EkxooCTo/JEcQg
e7bbrDhHURRD5NOjc4UQCaNLvalo2nZCWdZ8gBuDDzO3CMgEczLT3GAn3OBbt/EcdL++o9HQ59s5
rizuacUueJiKKPLassyuZZGID6fW9UOecEhsxejQr6ItplIAwFSMKzIt0k9Dre4HI4PgUqm6VW8i
bLVVQ7fg9cjyGHjlwIATnEYr1aqmNcaRh4huczcq5ltTMMrp1YFOYqaunHl8JVINLptp7SrBLUnq
W9ZF+VoZk8ZH05/jpioAzNKwf9PEvCiOap2M3kUSUplPuBipgBQdFQmGCE5YjADYerIHZxTK0Ymn
dM1FTzKqmsY3W0XKIro2uYuEuMVacsOyFh2S2k13rPFa1r3qXWhoZKgO0YRGbxooejrSugZDvMdw
HnYspn5KqaRYAueIqjjt17omjw31x2rM+eMjDwY2neHV6rXyrgC9tSnEZEIKK/VtLbPG1wY3Z9Nk
bp2oJPygGJUVFnJrwzCVsYrafKBVvKcu1FeqmNC4aeNTVU7PUDCLx1GpaMecLNqafT84JAOloIvt
KvKzFGIredRIAhVN2xqJqDYObkAcVEO7GXTetdJhrhngG14p4SLymNr3sRjsvdRSlG1z8W5pGRWE
hYU9s6F+5a6B+3vOeh6ruF3VeT55jbbslits5PAGQIaTcel1iYUFIHRzSotKpZ2/WgRrEKhMxSQj
Wv7ICcrnMuj4DUu6VhKOhNe6w42vs/ahYWVcu0imnlpHFAd8tsFer1x10c7FpzKwvzSAtLdUV2ae
Ag4UJcc3OmQ/E0PcAL2AudNiqAFKiF22BKBTCj67zI2+wAhbq4yMyFVat7lPVQCGQMafUuqvY/aG
zfsElJwnglA7WdjXWSt1X6bFT9HOD1IrBaVwT/hU1hHvpTi2TohdHJ7bRh98I+Fw1FQaj6FwuKzg
FOF109UnEjJaulftx1SqxtqqkyebNBF03u5aAa1FZ1whrg+16BjaxkHaIxIZg/drargkiIuPfQbS
Z4LcdXLS7bLexR1BdZGuRLtwDOfXxFmazNCQm3kixwexFvxnL+mG+T2I09wHMBF5dp8pHsJd/WJ3
SfWRRNLYh4pQD9HoJvusM9tLUNrddSBb6YqXdvoMOH8Oml7bu2mpqIaltqqXKstY6q3xV+W11GC6
Qs4DXi7FD35VZ5y45pOzlGzNUrz1fOK/Lt6/pUT8f3iNBQPnX6+xbk1c9Q360X9AfvZf//5vyEuX
NRZf9vsaS/+lSdTggRlL7M+fNlnab+yOUJ1AsBILiod11R9qRfM3y1rWVagSTUcYixT+j02WjpDR
VU3HMhx9CXF3/s4mC7HuX1ZIlFPCNPgLhcDe5v7SxfxJzVoVqaJIU+t3jCgkg0YacWZ2u3zA/Enw
6SuOoHA14JTysA3I7Vx235Ouv8ADfs3tTH0IahAGVj1+ddiEibXMl0GI6H1F0RSiO+riMa3U9rDE
aC0HYOHPqFiAaiX3olIAKJCGu6OW5CgNqzOJjVBaYxlRGluvJcUJOm35UNLS5VV2pV8g+SzEYVkQ
+kyOoPKF6RJmCuEeVqnU71FZM3Bin7TjJAZdQ8A93zUc3mPWYwDZjk2WDNhERzIbcxFe2WK4fqyT
MKHWNN6akRTHClzxoUvM+a5SKnGMigDBZWWb6D3UTD4HLrOtOP0YgaGnDBYzMNiSlBFQhWt6n8Dv
wKt5EaKGVaKb/QNCuG3apOYRec+011Or38yBLH0YESjoaw2jJyp4ObG/sbT+p9a751aGYq01hn2P
t0n13CpaR3WbbmUL2R0jb3Gy0Q94ytSiH2CEip6yse+iVq98AI86Ni/X3qeNhigjC8VnJ+R7M7kR
ojZujGpcBKEusdhVYVSfvXCVUyAGdY8cXaxi1Pz+nFnmaU6bfoPm5jvRunFLE2xfGjUBSR2Cp+wT
DaObWjqMSm3wIRGJlqNbN0wdJv3BofqqKjQAJeBqHBV9+mqU8tV0qkWwKlFcLrd13qpHc7m/q9KM
wKVxp6dcKnHhpDu7dN/d5d4XA38cWLuMNkhjuvVAgVAulQJ/KtupkKEOsZ3dWEjcUPckd85SYeTh
FN/agHTm1CZGoIUKCr6dmgT1v0OZSJ0yp66xHpfapaOIsRG/InNTrFOf1C88r+73tNQ86lL9zHrZ
+PlSEQ1VSzsYEKY0rUU5kfxH8ZQsVdSw1FMsbpboSfMtKyZ1l3Ttg7ZUXwjLqpVIjHaTY0B8VsOB
MHDh4PJyb8Q8ou+l3aTjoT2NwC21A2OllTuoBHVP7bKsBRXVbHOSOfZopzBtk9tZXU0xYfq2FMWP
mjS7uMRl4xRhwZXHWrUB59BcgKoMd0FoxmA7YS1nUcRx5rbbuatOS8hYxHy5wdDAoOKhTUxnS1UL
2cdqn7WwnR4BaTCiYt2+07oQsoIpnrhu9W0aD/lzlqSxx69qWI+WHJhjJx0u014J3pi5D+sg1etj
3LWQt+SIsgW5ocltbTU6Srrmu6yawg8pe5lG0n+J3JzuGQS6fjWRq4ePwPC6VtyhHjIueEPI0Ags
zNvuGN+PWkapXuFdUZMZnKsi5h+ddLmkQQGJ0S5ZzSZduqpm7T5IOwJw6WiWKqjcEJ6NubUNmFmL
MPLRhTik5FWM+vXIKnBqZBhSpKIiIx6V/kW2rnjqw97e1Y4MXoiMAnCngre0BnzPsYlxOoF+caht
K34im5g5blljWousWX/IZk05w+yYKeKy5AUXxosa0TWXQiLuDYE+tNO16gb9G9v98ED62+grcQuR
EEEQ8P2pnO+cSGHgz2aK7mj8How2v9iVMQJmoQemd2L8EEAIU+ws3WhIcx0zq85K4xxIbwLeAbEg
ZBdJDKPq5dIoPUepD9MQ6Ly5sZH4+ZTSPwyRfTCzPLmOc1AdA61LLrhUmMCo/bEX8QA7qqtfIJr0
K/ZyrH5qydhNko/ax2RZ5a3k40zm5Glw+TGyUc4PQTTfT1aR+zrGRr+UY7zHNX3PPcSkEhLCxlKt
8JMuaN5pmXILp1oF5VIgxtKL7lKmjgW6fI59o3Awp+nxcYJi9FCHZnlvJbiB85j1fKPR8SGLWDoz
MJXISKmoFcvV9iCNex+jr+UHsZNvQXk0pCLi9lby2l4FOWGfg21wCsfWN8GqBZpuGid4efc5irVY
d4gqSticsLplq61WwCQH+lijb+f10AccLwEk9rIIngnu4VZcfgYQvnBOYnLEy87VX5yBtzmzdIHi
anZPxJfCzdIHy2xXqRGOn0rYw6BKoArf9Mr5abXJKR97Tl9C0scIOoHuXAb40yswXoYCez8aocdE
/YbtCJApJXmwJ21ZNYvkuULRuq51NBjuHD3nhdhaypj5gjuhwHLmvrHlJZ/Jrb7KiQdKtNltqPEu
JpMkaC9Tz/MwM5fAI8htlzy1XaMz3lRcr1l+0w7S440xUM87OUdPBzGGTfAndfH7YOsBH+psMIFF
6rC2oU8uUpj4bgrCK1kNzclRQ1I2SMiJNWF4khGEV8JJwZyH+IBuALlrYhu7dkibW4hF30exV28F
rK2dMZUfqsIptCjtAj1Yi876lAXLLNP6YuNoeUGnseUzLLwkFHD/v9y9yer73//t44vttx/za4x/
dH+pWxeXDQqjf13unr5D8JMf8q8F7+9f+D8LXtvCYSPgS+LDMZc53j+kW477m6NR1kKYpIb6x//5
o+AVv6mC7w5TkXKXJQR6rz8KXuu3JWiHZAwSFV0SrP6ePcf4K3Mbge9i31KB5Zr8ZSal9Z/tW7zB
HQREW+watzHDnV6nOBXJRZga6t04+prSLENagnF4bxmifzQ16YRrMWrJvAGCZTzVCd6eohPEtlci
BfSRxwp0Z2vspnqbK5Hx5La2cQrGUQXsoOCwNKyC598mjAMhhGkm7o5pj0PainTq6qgqJc5wIl88
ywqjEDYJZrfWsrEnwLDvPPQjyg2kZH1wert/JRwjWxWJ4641NUu9unAeVPJDGJGoZylJH4fAVpPH
0w7NjxpqEWZhro4a0WoYHtWEBGgU5dp8tKK2yvzRZGAM+xRm95zlO7tvWKXqsb4LLId4d2s2WExL
rkiTgV6hyAlgYibF/RgZ7s0pXWc7aunIxihzvUTmw8pgxwAlIK8wALnYzSPByWfq1fNQOmPPXmGq
bPQF5YOG0thBoBLLfF0i+FOPOrpRSo5iHO7rIYOHEhaUNMc67tjOBc7Ajn8aM/ZbboHsyW+1YKEx
KdwTrNNowDehJjEUZgO0rvtZgyx3aUJGGvcaFDEWUWodNLs0UZqA0aejzfte7fDwBsPoAiFIAm1Y
9z1+eg68KHsdMr227oGFoN3QZkwqVFCAcDG96KlcGXM79JtAtMPW7tToSy2r0PbyKne3RdNrz1Yw
soUP1TBcQlR+uqxie2Wsr3rh6MeykRUCeFXZKZMzvAJ/mBhBBVcY3mIl6rGDvjPlGFia0c9lHd+j
l8dHoBI2XRKGgj7DgsHRmkX7ZeSDvSsZTsTbmEWk5melWvsA05wbymnAYZLNkvTzuHMeCd+WxxHm
vgcgC+1R22WPXYpjoTeg94BgiLbAw8s71ebyJgMqXKuxc4f4fvH4a/MtgF+zGerSusOeTKGTKFsA
PYhYnN5Ly7Z9lGaCKV0T7UUJtWAzpmOY4xFFXADRTrIcLSM7Z47Ff9+W3FJH3HgOSEGca5Lq69jU
JitUABrxjae1PzDAgbmj6tQQEOnjZC/DdKxWZdD72MaYDlVhvw+HMb24DoLLjt9tgBwwYFcPBoeG
To7TRLyTMuK1bhboxn+wdybLjSNp1n0ihAGOecuZFCVRsyI2MCmkwOgYHIMDePr/QJnZlZndVd21
+Ve1qDKLVChEkQD8G+49VyKCSVN510zVnlV0sW1CVFHYlNMPVxh6qwK/fpB93CJW7jPe92zaexl4
Mz+k/mbY31/X3fRZ9T16xnoSkolY1B3IDM52Hnjn/BXztfegK2Z6+Bpy/0c9QWZiOOo5xwW3gqtr
7Gk5KSs8Q/Rbd2j6ndmohvWzr1G3uJi0LUScxcjCyEEacyhC42RiI+YJI8drzzX718hsqVDauLjE
od2c2jorTwgrQvbaDfNnPUTdbxCL/xyL/6dj0UFY+8+PxXWCYzWN31Ty3w/U5Tt/Oxd971tAUmjI
oUP0JEMfDp7fzkW+wvQHkJPHufSb1vn3Y9E2v/khqy4MWHhKmQX9w7XKl7zA5yT1KAQxoxA68wee
+nfpMGRrhObxZ/U/SImt5dT7x3JtsdJigEJIHPIqTIdk6r+dionnS1MuV7tWzZMkyOa18cESB2hu
FjyaGr+D3nyPckt9Bsouf+gFeusNSdJvnVZXW3+o1NZ3jfBVWUN1GmQdb6wgLT7cIu5f/lOjfbHG
/7eLkU1PIPis/vXVmLx1Xdr+t+vxH9/82wUZIJcHj0NEdWDz6Zv/8FEH5jd092GI/QaRKCUbDus/
CjXnm2WK5ZJkAbtgbXgtvxdqlv+NampJ8nWgxCHPt/+dK5Lr/G+XpAeDiQsxFIEIqQwZdP6lUCNP
Y8j537jznSoRO0T3CvxyJugkQvDTK7sG1bQl2ITzf4gjrMi+v+ixnFGMxgqgBpFWuMHPJRUKuhzI
sqs+gnFMx1Y85Kk2Hl0rSo7xWA0XT5bJlZK+Ge+UizYTjFy49W1O6bZskw+asRlf51QECXFExHBG
I7hOQofgNESEl13FVumArRMe8yXQWnfeWEno0PND3NsTZKwDQRB9sBIDTJg+VeoqCSiOxoBCeof8
CINLNMawhv1igjhXCt3cgJulAe2L2XyI3LR4tccxfqgEKBPPFNk7Q4n4eiqIfmJmMczvcRW6KB0c
H2ExI2stNAEIVn50MxESb0uWLgt9C4I1ZPDyMrZtcVvPebYtDd6dUoxXMdrqrSUT0nttRcnD7BDx
NmEHwNOt94VOCei26tFgdEGanxFr5+/agw4KL70IP+LKiJ8EZ/myfQN/AfnRENYmFkO56ShXtqGd
OyvTTscVscHilPEBMG6Gh0kNNlwBS3+eUhy4G1+MgHXnthzXRVaa1XoemxIE0pzbG5sm4rr3dPaW
lo78NEXEmAztbG1A0BuYnpjhhI40ZMJcu60ByEXOhPmEQxePa6+MgQobNkBxgb6K1ZMO0WWV9fek
jdpuLcn7YRk1plWDnU8gmTOq5JW6BFEy2YTJwW75OdZkl8MmVzoI13nMfHthnaA1qci1RyVMpNEB
f2r/wYhLJztbVCPSMSPc+72Pa1LE3sT2uAeI69sBqGSYMe1T59jiArDEOUde3z4mZVK9xYTrZazG
yia86thUQQsPxvpnI93pexsmlbVBc4NuN8xU/cPqAZyvZstz832WlerBote6OMTwRJu51uE5oz67
yKQBjBSUCX6CcAzUHbXx+Nw6IPKZi5jGJ+k5LsMXy1Kvjp/Ld4/0h30wTny9EqF+bMvSZlPcSax6
qmOpdcDFz1BhMJKSkTljTmKdGRbTCCFR0Po59HR973bVfLQxjnHf5g3i5cSAMlN7LJ1NwAwbJGBj
s45Mkb/H3FzLt0Y4/xxVFM3BTNtMbZ3BC46Di4WwYLyDHcApRvMlbibzdSlFJ8b31bzYPPkAAygz
1d6eApeuriHmvDWVtlYYIWOMLgn438j7jAoxf9fxuLUQEmLltH9WQxiABM0z9e76I3RtNPrj93HI
yk3TJyNpga1+ZDRZn5PAjg6564hTKQvNMDfu+LKfUkzC532ZW595dtwCihNkCQN47FCqmjMrW0wc
gILhrgIbs0G0MLk6EJqCTGOatxUOetS0KE8BCrHIa4ibmoUfPYciY+zf4V0msCX01obVt6BkO1U3
awrsZpPMJSnFzpya1lrqUVZbwYhK0ns16WfW18nT7CfJlZlbebxtOhv9v+EI/Wpwo5BKDDiiZ0Hb
9N+lnSWKW6QzcH2kM7f2LN3mQlSDnHYIzBnwyLkG4MgWfNVRTCAH6r3+pmnyCZBLWVXHTrbta7vM
SrEFf+RyyJjhKZ7TQ1FgWg/zZbzVG0BE5xAyTycy4ofEXK7CZBxenChWZztKku8WLmraXFfO214w
k+aCxQu4llQp6bppZv9ny9r3EEs8IU3qgMkvqTo4SvBbxiAOPxwjxrtoKCRdvHlaX6d9H+NNdePJ
pXUE4Lw2CNhK1o7OAFbze3r+oQ+LJECmHlv2JjfD9nNy2qpb69FfQRTklHEGeVBSNafIS0u6e2oi
UihJwNlIXeTdXpA/kSC+pWd0Uq9DejiXyEJwL8UpOCXPbeCsQcvntzeddsOl2fwaSfvG2svq22rB
FKJeGXk4hUX5UBrcbkTepKiGddN8T/2WOCUmfsFdVyvxTG8HMBJlmjibaNKeAEg2rwTKBacgK2I6
NL+DBR7UsX1bk+1067G3fGomDMQ8NjwuHx99rr2baou9dZsO15PfYahwRid+ZuBgYvdhkf7LbEiE
v+IVJjYLGcR2CAqm4HsHxrvigBLtNfetKw+RI1weDNr1Hnk2qfMgw+xGR5XY2QG+5jFizk4UsUIU
URipkayLubB2RlOlMDsi/2XKTL0qWKzc5llorum/MSHoKr0IcgjWyWxZl4wnEubhpHnuYzN/qkO7
3liYKmrTtx879FOXnEjYTZ9n9qFxpfkIKdT4FBlZgzjfRL8BuWofmSIzPYbMGj1KM/YvfpU+VpVp
XKJqijY5UoRmhXAyvxiZINHIqdGJ6Kl00SmGKOy2qVkS/tzxtiXryc/QTEcFbAOuhMKu37CWRPAS
+hh1vZ9jt58rjV2EnRwMKoithZ5/Fgk6A4MtqAIcXiW3lVe0Z1mju0dFmP7AaPCdAnrej3047qMU
h4XvyfQt6idGz4HO7wM8CHuG3PMBiWe5a9jZelgLhPFbavbUJ7iIBCR1de27Uv4okgF8SGCJMdgy
NsIoD+FuoazXPFxaO3COfZJ2j82sq0NpqOQ6RAmz7ZbxvvRjiDF5BVXGbB177/AAWqOGGR5djpY7
3EN2THAjtj9k7QyjK1O3bzPM3OugZf/KjqBNjkMVJTexOYgH0+nrC2vODOhZjA+fhRj8bzeZmnXh
LCqx1hb7LBiDG8CCcXdVtov0OTST4trLyIcClx1hwcnz+4726JdqCtvnVKaUWFdJzRzealjt8F+U
Ua+xX5bFJR3JgF258DU4vyWeY9V2KQ4sp5pexEysEkqX+pLXYN5WDnIOAlday37zBopmrANx8uw5
baJ2OgwqgwhFto5OnM2bliTeaG8z1MBJmPaTPobENVcsnzPvZSA39wmZ4nDvx02z73Jp3WqRCEj0
btuhLTF4PJCwFu89WXTfQaBWd2qKjXAj4p7w2sZsrrwk516dkcie/clG5sRwiOQR0Al3FLAaymE4
JK+J1aHtLPTADg53pP1oZmPzgn6svoQtDDA4KvNN0HvYCji2nHHjNsRSrJRKZwmjzf+oHIdxBkGw
040xROUprEtzr+ZwHNZKdwajfd/7Oc9BZ5FU6UxvHWqyac3E0tg6Uz28ZwI02w7Xe8/MJwkPGdSF
uyHvrP6337JxkLnVTjPAHPUf7QyNgSbu64Wbk5Vpk5b1JVhW8kkjn9y8uEfWDyauiNtzKBOHezYC
Nw3pCAaFdIHJwTXsNqWNiXMVRV74UlssE1ZRrWOM4g5xVivmSvZz5kXNOSQj7z6sKu8eVVx9TfNS
nNt4Kl4NlorZ2iPq5yfuqmSPmsAl6oz42hvoPgNupaIbfwTpZE6narSH6QCXYMhPSSmsAgFRPB06
m4iLqIhRaZUmEtsSXQ6ZmTUY/5VQQXhTNjFLLk6uT8Nqvc84jlS/HbIckkA/m4HaeJLPGpW2nYq9
qMKUNVordmTeZK+zYcz3ZijR9gEEDTnbkuHZAnV3j7O+uIHFO1/m1O4+7a/DV0XZkqE5E/mg4+h+
Sqb2fayC9tqH5vyowMFbTRx7K7AJ3lsCehvYvBMk6PYi8g7XwkOwAEzaviUGQG+IMEUSmaQTe6G2
WFTbZunkOV7GbCGuNS0PjaZiiVX0wn01Y6sBStV0LW7EVGHyM836p2M0WJ8qhYaMULq7VOrmBcks
srAGRkOBgfoZmyHUgpGp8jEc+rbbWRqa41rCakUw78zGkbh68yD8FMifsoEGu9MiN6dJLhBsdf05
TWxZ73Mv6IJVbuFGpiUASau0ONSj2eQrIk+YlLsJdeg0oP1I+rKuN3a9aCEy1srEN/ro/kpSCE9S
ZhEBhGClio2IrOpCMMB86KG6UN1getq7ZpsdArckAAOVn7hHYucctOWV70E1yx9Ll93xE2xZbHrH
Nh7MXvUXvEPqBSXEdMwtW1KqcuCvUabM69pqXb4ymJQYhqiuWnOqz1UYs+IGy1BF66qosjdZFSo5
iC6Nb1nB8ivkOXIU7ocsu+tD+Ut1tmdzu+A+Qt5yMZZIrRWazmqtZte9ipPRAsnNYhu9Hzj0UWTz
1glm4azha3s58suBggQrD9bo1A3ExpsdZ1lTe/Wh7QBqDm6ZGrSmCRPJQqTSPaiu5aOhjDdlSGqG
q9Wp40R6S9mleOsyjdpohUqIsLuSQBkHixTEISAchPrNusuW7YSXLDx30gFWZu5tkU0kV61AWqJw
AXzIwPKQ142yW8pIWW/9PlHBGqhKegxz6rIxzqvrWH2plUjRRhbtm0/SXXoKtjsFK1NO8bUZWOrW
6SFHSK+LDlgQy8MAXv9Y9lPSkDAkx2cMwcLcw1mtjgaRXD86FaTNmp1pcV0SFSWONpbi+MXvR5TD
g69ZMPxnmPXvDLMY6/zz0epTh3fxLV8GrH+Zrf4+y+J7f59lWd9MRwSI5YgIZRjqQp/4fbjqf3N9
AujMv6fd2dY3x/MFkD7HtuzQWxaBf6wcg298AWXbb2vKJSPvb7PUfzVb9fy/T7Is8qLhRLCPXwZk
TNz+OslKoqlW7BLFPs5cSQhO4WlsyyjWaFl9962dInFnTRTTTZ2ba2jAzD7MfPIonB0eitr19Rn2
QYpAigoZO3WzTuqnfi435UDEnE9Q/SbxmuLoUwK/J2nfHc0stT004LGREkBdcmOhScCFNMkgXwd+
inCvsJBGd818K+y6JSgMOndGik218miLVniIRsiA+gBHV33GDFnWHdVsBEs+BUMYWsGN2fXpOQ4E
AD+RUc76fbOTAj2A08l023ZZcJURKLEOk1mtG5y5e2wr4UeGZJgYBJr3ndVGzr6aevPBp8u5zWuv
2fPJ+Btpj2RhOp2eTyhyxYZerN2J2S8hIZAMlK7Ax74VBNxjlo2LbC+Dhio8HqZc42kekLi4fXCn
i4w0mKYmKyFw6neTnOAbJ0d2Nns/utC8nqs04zlaHOapICca4L873SUGaXau0198vAZUGmozOj5R
QSrdQ5Uigw0zK0IewysKhgKyZvc56m6T5JH32DExRcdSDJG5IeGKpN7siqSvAEePdDYRHQTzl8X5
lMgJEXoXKlzRZS+qN2q6CUeJin6E2egSIxDUl7m1eIjPwvAeC/JLTiqbWtTBhnk9JgkCPrOzMS8G
XQ7LZxn1eXL0D0OLhJiR+/A02K4H2zx2c4JmZswOtmGd2QMYx0o0xs/W7og+zV3B9tQT7aovtf+i
C09clYSfIKJLgA5h8J+IBpDpR8piYGtyVR4YPkHtq9yk3JuVW/4YELrc+tgdVgUCsXdVV9+7YPK/
h+Hs7ymN83tJ7XahlfCegcwWJBwk5hk0mX8GixXDofOSDfziM7vh+DyYY7lTjW0cQlPne/Rr4o4D
mhZghPuIhSzninZzLKVW1N8wzMqvi9FhUlrkwAdAVFjnCTodaStW5j93PhU3WneQQFWTTg+EjYxH
qVvrQhHXO2QT1cOb7Qb6FOWeA6mpzfBUzd0PLSN9jujdD8TY2Y+tGRgJvK9KA3vK1I+C0lKt82xu
mzUJ4W5zE5p5Ma4iLQ2FQ4uTz89zg2A1jTw20gHO9i4fAbAZ/BhCK/Vl8Dz57FSEVKxag4+iyUdU
NG0sONvLwa5In2Brb6MHPPkZAhgD/9ctjwvQEXkq0pssoXEJSPu56G7uzgPa3gsnPaM5gVPoAc6u
dXLyrqWlaazqJ0Lk+NbsJngiwsoEHq4GQ/vom2plo6W6QtVE7KK2dGXxQ8vsVqDJuo6GOb+0SiPq
jcZy2xUWVv3AGQ++rwlu6Axd3wW1jm4DH4RgIpmnDDWcC1INAnsX4FgCPOwV6VlkEY7JavLOVtKO
VyYAir1pi+5cmrW+Tpiy/nBrOmPqtcVULKanGjIdgToU/4+WklCMxVztI40MgZW1enBLBlGpw3Q5
Lax0D6eUe2vSMr+J4kLfkXE13k0uogxuONWta/JG6OzR1frdwWhMhcZ0SIBQRiaJ18ClO99oLpYX
ykuKie+5ASgOLcOsPrVNI76axwpNxBwYD/7Ui9uhFe6zFTWGu7aIBb5CNktqb+dnVwhPuKRL2/4F
tDkgV1TXz25lWhsDKvxzmoBQz+2871aExMxb25rw1gPF2kObSHZmm2j8xHGL40vRIBtA+B4cX0a7
JAk6UgADPR2rvLTPsUzn/SQ9dx+EXQD2QM2b2MrgaKg+fKWD93dNK/r7JsRcxh+jI+Q2/zXVltzL
WCU7AGHNjfDa/gbe64JyQD/hWEL+gL+K+DaQ8tJ7Q7pnl0IvNrM4yOG4beWgbAYNhi+OVGqETONK
cdZukSennJrzxAim2eg+UEdntuSlbsYKyE76U6gxYALfnuqEXbfPqQZi5kdtz80IH8e/jxuSI+Q4
HaHdx49NVgyfZWuC8VD2uO/UQjzxe9FYW2+a6RRNsh4TdCyQL43J9uJ1p+z6XPtGt54dNIKqJ7Ku
CNBVMFcGJULuNjIdd+XYrwrfr8tI/tqqhoOMAyDkaXzNWEodeFRvrYlmXmayOYDcYwKiLLUm0aKs
t0p1uFAt07WLU253rckYrJPIIPoSc3PSAyrqsuKIbmD5Xay43KoR0Xii1A/WaTyZ+8qHnaZtaEez
6eoH1c4TfYKYt6LR7q4M5XBvG8B8t6DJwgMSP7CH4CKo5sdwpVH9zQwoCtm3FwYx9XsNlwLzOHlw
LIPkaax5e0Azugy1YE3NY+1co/Gx8bdHTMnacrqytNh39jwfkMjP+xJMwSvd6QdVO/9s9JaMfnvQ
EkhNUBoHPJ2MSOJ141bE9VhOBQ7JsO8hovQnJ6vMB8zB0ACUgYk48UkRWOHwBlPuJqazYbNgIXgm
43dh9/waI+WdLJTUz9wfzdkP6v5gkzDJMdNXH7IDpRWI2j91op7Zs7ugNZLysmybF8jwvI0HGT3w
AUjeUxGgIcmBrQaCHD+nbZIbK4ZkwF+0mbuP1r425+qCLdw841iVrxp59nbATWyuTWOAxaEFFAXh
dYzsQs8Mf0nDtkl9MlC357kDiM9WiDHjQKdbyL+eswdbnxxLByQ9xCfo9MnoYNlHyWEyRC49GAdh
Wd1TX6TldRETg70xJHprcOj2OjmaLfqhjWiaTN+G46hOSIOKuyWH5lPyxMHZ7Hh6XYwNo2fbS59s
+tBtRrmL/NKyAMQOwIBFOXf8GbmkjJJ0Z2cCvWuVorUinmPdBCI9mDIV295n5cI07nYJXSyB4/ED
26OqxmrTIyddBeZIU0xpQQOfx2vV6vFDp+P4Cx/tB/2f+kF41ZtXDyYTMyeubkMjXohVPfwhP03X
ZWXrs28rkL41jKfZEYp4M8aEfguMQRccT63Z2ye7CR7FrIEwCcKoRG8Emwhj/SZpCVwp6jbGiOWW
u6Tt06usLPVtZ0XGPiKiBk2S7Pbatby1IyBjegyHP1jl2Dvu0XhfJrPNx9DLx9StYM3bQXwxZTJC
ehm6nQGABkpF4T3E/rJLKDk615mYs43rdAV86iGMT5PhD7vWZ8igADC/WyyZtwF5vheZMp8xdeWv
FY8o6JCZe9OT87k2igiBb0OwRFTY4Bl1UELOYjDvbucCsqJLOmq1Fqn2t0lkJrus86OY6kobRxlW
zpUfqAFLx+gc5EhkRNSFyRavHoYDQ0QHd3JywDLaIswtrlY1WwTifwZ9TIuouvi6YPDRe2wyF8RR
+uqmqjs0Oq/vTSBom1EwGXDS0l/hN3SeOejouD0V0B2kntg6pNWdCB4LDn4EpaQnI+BXUObBtde6
xdOQlxLFbWluG2xNIKZwBCIGdnaIx0wyh2tyrPIo5KiZkOtSDdhAX8vx3JrdHdOQHXUqKGcf1D9m
gheDrPkGSeHNMBnfQbQmKzuu3Ce7xGHoBQoPbEXTUnt+u66FOZ5qN+m2KoJ9vRodUjj6ZdtCE09A
LhcGEzXZFfrezNkomM7sYrvrIn4D1jG4AqLTnzrL/0EDI5y/SUOdv/dpNJF/loYayM4zbZLLyZ6P
HdmCeTFIF2BJHKQ74WbVBs228dSEYnwMLCt8nYKhvhXJHF8Fk2i+R1D22FVS4CNFF/E+6af6cbTD
eWe65O+RisueSIXGhSxnkXDTphAjHD4BTD4OpQQBMumrgyPHoKgpoWaIrtyzFFjSj/OrIEiNn7FX
xRvbIH/OyMhUQrL+3DctqveudokjD61X0fdQNC0X3GkTVhuAGty0ueveOEWOrAyWuLuRTTADcvb9
H1Tq8d4V0CYY2L9Vg3vpOzSvVCgrjJj5BmrytHHnZLob+pLswXw+E5BD9E2OCZb9LWmCdKVJ4iFY
UzOP7Vi5H6JrGEEZ5D1wuEuKwu1gWNXLLGQBMyANSL1SiTecI9+fjgmbe5tVgPDuqqodbltyI5Zw
IiuCiZuLT7c30486modN7Rj+Fg+PuK/mHE6pkTRkWHvoTatp8K5g8BgHV+BqaLO5auCNAF3HSGaO
n0M7vrbJ3LDEdNOdo2Sxc8em2AFfYOPP0mBlEwiJZNclq6xB8umvepc1VV8N7RaxbHo75yUnNLPf
U0T/ekmxpZDwhz/5nhs9PI7hqI+ickDssqjAYDG1v+qkoxSUWo+4ZLWL2oF6gYTRBkbPOiBiDLYP
dfbwVXIXX+W3WCpxTmGK8qwmdZQ3UuxMenkCqjXYGnup5GHY8mwKlvre+qr0sWUxfV3qf20E3Tlc
eoJ86Q6KpU/oi0Ggto9JxG0zbe3qKmwJE6TBUF+9BuJTPiC1tCD2VzfSL40JszR9kV/dCoEvI6PF
hMMapM0acEq4IKAaYxsnBjkjXy1P8NX+WL4q60PX+COMWM86jcpFO+rUmNhVzoWLNJkAcdfy39gw
CAh3jAJFOXQXZ1RkegSEFPAQo9+am/mhVo63KYz63hBpeqgN3jDbqKt7pJ8O2ZFUypCFUPpUlMIn
fwTaMCQ0aY6KOg+HWg/dLKAMg+LbkdMbm9YLgl533aO0u4QB6ScNn8EE/pGWkQzecZ1/9ZEoAPLr
JO+YFNBkkm6ZrfVX5+l9daHh0pDWKDT3zdKk9ku7ihYVmTIdbL20sunS1MqlveVFLo0uLa9aml9S
5oZFacT2bmmNXSMOvpdO831kSfPuLQ10v7TS89JUl0t7jUGdTpt4remQLO13uDTi01dPXiztuVwa
dZTS4oqkM/9lXNr47qujhw0cQZKhzZ+Xhj/jIS2jjq/C4per/msykC9DAqKA/IO7DA5E14ebf/1E
/YpC+bOq0HKEGTqWxwjVwmAaLPzSP5lL2xDRD/QBYz91gXMqmd52IgoAo0BHEUuyH8ov92I6i+AA
8T15vOAA94Pwre9tkMDnVJUff0xDr09EKU9XRmC1FwCv4SuFQfVsB/W5T8t225sEF1I86XtFaCgB
TEad85lm9pIwMOUHXIEtrUCXsYb2YsM/tQHa8m038arsUAxUVtFcvhHpC4IFqS3Ysnl5kOVfzzQs
ozzf5q9nnfP13EuWR2C4PAz/9Rv2RZn/yxv2NSmkmBbLmMt30Xv++Q0Lya6cnHEK9uiDHuZX+7V5
M16be33T3mGbLG+N4uZf/0TnbwjZ5cyzTAfgveOEPCr9v/1EzYCF4Xga7ZHYRO8FQOwOq0A23eRj
Oos1lXR9paYG+bGFjfDdcmeys50o/4XAfgSMNKXRrsw06jvhU1Fv58jmDBeEKZp70qaNF+InvEfP
DznqvLKC3pM7fgAQNZ8UZLKqOZO1ALaunMcjlQzPJ8YpK8+HOT/OwR4tf8ywQWY7kpKa3dRqbBCV
O/9ABAY6VUfFcWjcYA9f1XiSqVZnpFD5HVuu+EoAHoJQSkH8kITejC46zfAP65E01zFVz3iHl+eX
FMX/Z33qosr+r4AfRs2/q7Q3b93bX/6w/Zqz3/Wfarr/xKTR/TGlXv7m//WLv3vX/3fpaWALdyEM
//Np/eMn2T3xW/lXf5Bn/fGd/zWrt4Xw4CB4/HsCDf+fZvVwbpiRM678kp0yKP9dd2qF31A5I512
HSaSgRlQm/2hO3W/Lbppci4xYdim+++xnfkXucf+fA96rmtbnkBcTVwQ8U5/e2ileUB6ZwaAjRr3
3rOy9CC7EVd1jHU7NKT+zLCxYzwNwwM6PiIkxwLAR+LZB2+W0HfgJpnbAec221FLu3etp1lszlF5
7BQ9WVLkI6kPsXdN5wLKIQqxprKL/lD46XYzun96qbHu3olpMNvrbJHortSYeq84rpLnDrTSdVMp
TMk9O8GIUYcZXPncK0cUASgAxtgNi0OWmUiNYkSgfe+QU+uW+ifOD7WdUKsGuR5ePRQca7eqBZ5T
y0vn1TD5zkF5lLoER9b5WiqHaTeuPlQMTPfWZcPaAqvjCFIHHKdR4sKP0eqMDqMBaPc1gRMGaSJ9
FKTlfkRs/oTGhJ2/CdB5xVK1O9ZhFj0uKQYMIUkymQi+8MgpRE2JkMgYmXQgAExvcdUPz6p003yb
q9S8IpSV3kNPN9ZkDYfUavXPykTUYthFS4Bq0ba31Ch03YyJIHoVlvscmdo+d7ZtPCa5b74aVQk2
2rP94Tg1A+KEaBnP2HH8EUykx69jb1xeOGKoOue193hF3CpQh4rZ/NksUlzlfMzlu9fX7rFlwKFW
Q2oKXmQQMo1iWbvPoS7dCkn8Jqb4adpE8N9Q3BhQjmPXY5DmAfpZTRaTMWKWNkOrcbK3Jq2xYJ0c
64QHXmow5okHEqDIzj5Lw83Q0SGmeIuTJjtpYCXXXFB9FtFN1QbCEfIB44LJZqLCzTC2Fao1a9iE
s/IOviHT55qGajOPOH+pdYp7w/AlgTm48mkL8ODICttnp+1bhHnmtgiy+ED3ZV7xicKAMVr2OXNu
/mjmeT4lDri7iob6esq4UFWl/fcuL8edaY/tMa8QyMoyeGwajeya9E/WVMklz0ci+0JVPyG8AlzX
B85bavXTFQU0yYu2gtBNm2f7qn1BM/BdIjlYWT4Z0nxMzzBq+pj9SFc6W5Ij0wcJ2VLhma8FqKME
H1K9i33Y0nlZ6FU/LoOhnskSuRbEJJlCsENi0pA+ch/4160lvXtmvV5JPTBmpyKBYd36ZvDodFmV
k35o2cGev5Smq3q0Jbg0VUwPAiHOgSgK98bk7UO0yS6bSVeY0tnbCIJl5TnP+PGcG1cGNqCZZsGI
yyoCtggblRT7eqc0kgameFH7jokrXm7KIHz0S6sGHJPyoIg9RKorrpPpkhDOcAcYAU41LTgJGDMD
jpoICtA4XZzej0FAvoOeABKw1Ry+12lW36Spo0+TWbo3OLhStSJlZ+ZfKhpwo711Hy5cmWBuIAtg
GR8eg3AUT730YanpcXoPi1QSbcx4jqlY5rxzfae/aNBsG4QG8GCirkTyZkUFVLgGxxpaG3rH28xB
mD2ZUrikh0m72eVV1ux13HQ4rdwo2dd9Xt6Sx2I/DpI0mUi54iGXrX1WRsMwgzfFu7CttLCKe8wu
WQrEzr43+/h21plFrllMXK4Gi9mRsfUz4xLmU41s8dxWbXcu8tbeRtbcHAKmZpAHi+CmLCWRV5jN
ykVgHZlXXlRbh7AhtMS1hoxMzzxv+aVca2JwyXDNoM8BauwVIECoDm98CCZ3xNya944YBWncOJcT
2Graf4oLadpQ0ib1U88w9k1ptmvfpLlZK7dhbBGcMii23PNZ1XQr1FOK3PoqJyBHs2vJ0yA52Qyu
Dzosb8xMMc+3UDNvantBNIWddRgDS955GU2iy427bRno7RX/t7L0XD60g43osE1botjDW7Bn8XU+
StRLdpheo/mBAiDABjSqG65iT4qDj+7+PZ+b/HoYAFlmZdTtE+n6V2008RmiRT9HIaHPBc3SmmdR
eVVOUzavK3gDW1/Kd6stKmichoJYXsIKRzPhBf1L5hUkiuVlcrSQbiSNYNyZ5cOHUyE3bmt/67XG
9P+YO7PltrHoiv5KVx7yFLgwXgCVSqoCzhQlUdSsFxQ1YZ5nfH0WbMuxut1DWk6q/dDVHgSSIIB7
7jl7rz3zGcvM2gyOOg2ybSDpxcpoDCAWSnCuSroJ0lRIF4qUmusBJwV4JHc7dQ+Ek4leZtQkDXdI
pWFFuopXXqiurtHe9SQa8bo6H9P4ikFAv0yMlvgwP7+L5UHdxDkaNVEGj6HUdvFWpc4mN9NuAM14
RF05cjP2y9rV24MC/PK0byUoXUTDnJUw18hbeGj6fK2jOHHSim5G1VcN8IReObMydUfc+Wg5mQ/Y
zRGlzYa4o7c3z8wmPFFxodK+zccBECzBVyu2fvxvk+nJqtDCbUmCZzhzCWca5qMv0yFXrHognj7r
8nVbxsdkiJOtiEVzr9EdtWeuPxCjNdQtDU8FEQ6YkOJQ1HG5GovOYkepW9QJbd+cJHCvk6WakDlc
DSON/0bSXpLaa4MFS7wBjDWvfYoZyYuhvzQBAsK8Yh0I1CrrybPC4TIb41A8pVnVnFPEd+dBhE4+
T2NrbjJeJ/a+GWaxpp7iWj7nYwlSDwzS77RKJl7BtesOUa7b9Teu6z/bXO73oyHmlD2nhs+wO6qK
ScXkFgf6kYEDYCzRcDpWsOLJhnFk7CAXODDHe8kDBeGZcb/FEmpPvJ0JcdbVw0yzy47omsh4rGjw
PHi8sOMpbDcsG5lDkkjmkgFQeZ2ZSHw8EcPlNautKJNmn4eudxMZqMQSNIevbIFiJgJ6vlTNEbqu
FaPRXMc10UddahtofPIyZ2CfgmdFLJnuWQO6FVjH9swySIBQKchugtGMtn0l9dtCBfapFYW8yROj
ZkEyDRKwUwChdOStjV9yrgy7Hp/oPchrCybLXDNGd4kju6VLoBgrOjUgWaLrQRBXVxvB3DQ64Dx4
YtXKmJsy1nKL5ga6cNBKTVcSu9ZRz2VcilEvFqosMia8KYiaLpnrQpoLdbiQaJdvs6zTN1E+GOuA
YdvR4Hk2q3RKCqNKCNKxUnmZ12Qnq6OKxa9EVS5GJAJgJ7tlklfuKc6p0AlQpyxzBmDz1i2nyGv1
zGubE1UdXhWl8gOnZZnqUUwI47mBJk+fFqsv2sz2zMbes0w9tmz16PkrAEzOZFzVHBuP4FXtlvX1
oINR7YO+XXZKfyZ7+A9gnlREEYhw7rbAUCuIQ4sIDKtDI8nGmw2kfKZp/T0/1O4CYm8fSyTzCxdV
91L3vXQn55E29Xos1AKiSaNZngdExPqA7w0a6Os00H1Ax6Z5kbes5W6Tw2Ur3OicsCkCIN3RvUDO
Y+0SOY129JRgUpEna+y5Q2m05Uwwd+xDkovUU42XUcYSr9dueq71qnJmNKrAMh0bLzah6qeCbEEn
6PzgUiuLguGw0AE9FWlA5lpSn/LYjDfFGHVz2jBP9GPstZmG8dzTw+as1hXrXtdraIgMSFKaimFO
XaSFSE6GIqHyD7RgkyVeVQGdyQeeHnXgeCMNKfKRmrVdmgIaijkcXNwOI56lZpsFpkv2qJ1uEdgM
Nx2T/vM+8e8yYbp72c2j+062irVmAvodIm2F6gVMrRcWSzMQyiIp8d0PvpKdlSbUXSd3PfBNGmNH
JhHzxhboaZLIuMWYhYwc/Mp50fDAo37M7gijM6aQ5mjLaJQLuKz0naXU0ABGDzs12C/Pv/BUuHlJ
I6A65mP/5A4QDgQxqo5rqbzyUE1zG9bx3jS9E8ap16JuId9ILlUmrFNiNtp7hkSEC0SrhDTQjZIQ
rNri8GNFZdynUfLOZaMBxCJLcxm95ZxtFt3UvHsKgq4hZDhPtmHZDVzWbbvRgFzQW2zihVpF8rxP
InfdAZGyZSRTeRGHGzN+Zr6I/40I+U2YcShKWJl2bVw+DZI/nMTQhkjPCcDjqB2SLzfpiJbP2PWl
Y8fp0zv9XDIs0Gp+VO67JsXqILL8UeaCOQObSgyhip49UEO4QAoYMDL9GM6aQw22hZDq3kPX4rpB
Rb0QxsdIsUc+Sg7PiLS/JzZjKs6pUpkDAyDXw66La4TF3QGZJVwqhArKfWpm0kNi2s2yCOR8bfT4
tJzAjnMb713Cpqe2lH1pIcZ0oaNWVgTAtLXtaGnlA4M/LBpiZCfXBrO84vsyTDu6G9K+48rqxCqb
sKWp25xqOD5EwZKS4f4RDUaONrBebQr+trZ3fUpyt0tIW9+m5KzSC6Q8lbeRIBgM189L0fXrzoM5
MXl2hNIG+4AlER50Oqwry/SWg16CWab5tIn4lOTeZ+0R1hxdUyIWb5jH2LuMSfiTRM2EZ7JJwZfT
nqbv5ekLRu/mqTbG+Q7baHJPxndDbWQYm0ympG00CYkwOXDSgizKAMXIaIALSRWp3xVpyiO+CAA/
IH0jnrFDaESpn1lLtwwtdDcDAY9uZSAhjl3zwRYSgCcY0dFNTom0yO3BPkPnFt8RuR6sBh8DIUHF
/VGkfsLaEZFyEjeDzLMsHS+YLbfbyBj7C6mqusqBx97OEBeoILfMcTPSqTjYCQmf3uAGK2TQ+R0k
faJsxkrbmIOeLETUAeapVbkhiiUXi6ZWZMTORXZRG7WQppFH+ULSa3slpfC0nKrVK6ADmVh0DRQp
JxpUixRDbRJxqK9BlNpbECIuGgWi5PY03AmdibXghgcHjUS5avx5LhnNKbFG6raEPoVgY0juGgZI
T9FI1H3K7U5kSJyduWVrnMXIbUnzm6QRmZ92dOATtdpHKBvPKa7DfJooDusyVHnUFCyiB4+kIOKV
fSPe5CKxVpEylpdhTg2LdSpK1gmW/LnNLmanMg2YFTFoagFzxck005wNVeTd6KEVrNzS1SzHHttw
06UCoGCF+DChPNtiN+vu2lFrr2yq0IspOX2Zj6F2k2BV3dqtEj56ZsNa5HbjmTEiWXKiXPZ2tFGV
07RqiXtQAHsYYWxs5LzFHMl4Q8WuEgrj2OqSj80p0uQjusiooHkw9rd61Jr0WkK7ovFQ6zLZfXbW
gDavlIWWWex2C1caia6PsDQgobr3exfEilkwj851NgYWzf7BUrNzrD3WtTAjc2uVuLOUpjXmiM0T
wjcGSqywJhfAIRK6vUMZRRiXHPrnLhbqVYlqAaprF4n7kdE8RQPJTDWglxMJiOFJEoRTMlKjFwuz
cMN9WAmPr9Y6ogbjCYbYc6RptZQH9uB8DmWmFkjrMW8LFxGTw2Q8guI39R4UsmPXAMyVeSnFybUW
y8U2i6qmXSB5EI9YFX0ESCHlkh0JUmEQaiV4KZXclUl5SWd8aspbMOyXgRvGp4HOqM1Qe3A6vU68
8+eG5v8bB+Mf2No1mQHIKjoXFZ8ATRFtQib9fpN3d3xGkP29GvuHB/ja65U/AS8F7YaOhf2ZYTNe
+KrLVj/RZpWnoZDO/6j/0+rVzE8y2X6GrKGThNKE+vqt1atNMFXTouMJDQNzDRP8t5b31wH/Hwmz
qc/ftXrxn+umbjLzmIQA382l9Lgmciqq/XXcmck0vrPRSmMfsmdWzjPF0QAMnJhSavHoL6utjK53
C6PIxyIjajyN+STESq3BSOa0BRE1SWhRK9sabrDT2Qg88QDS9YmSKKb6K+xDkofVhRnJej8zw4RJ
n2YiPi5Q53pSOctbxSUUT4anVoWF6j2SGyPleOYy/RShobbFJd4dW3dIH6lijYodcJjTvUvLxBmN
gBF83FaAmbtBiAdAO2hItMzuh9Ug19y0Ku3UYkNkJndxMfg64T25gp44tERwAY7J8GbhWBZXhtkk
l41l9viMm9bFl1OKe3WIkn3fK4PEyqyy2pQhgaRLdQAA4GDbk++LkErRsVGuITWPavPQpwHsdIPp
21NosEeyw0TfKo3nHQzJSCG5B+olaormltBXYw8xKzmYSSRWUq3baz3Ox9UkAqZ3QlG6aw3MLdBg
GTnTpKVRxIx72YKpAoSpNv6T3fV8j1JcwYiPVdEy/Iu68SSXhPbasYG4JGJkfAm6BDaV6+XF/ahG
+jkb2lBZ+FXIlibRQ+/a1GNIXk2T1Hsf9vUZOasgWe0+Hw2n8YZ2FcVIhx2as921qQjppoAVhg2s
w3eC1hS+pi1I9loEDIn3lvDVx1DpCkx0Funxak3MYC97WPBTMa08rMnmIsldG4F8VO/CFFGkU2hl
ujYRD1YbHXx+iZ8prR8SBM/EOelN9eIlbn9ltFnHysaOQwGNLlkz021g6eclUFSQmnE8r20dSmcR
VvY5xq24YMwZYigw7JZ0+EGKM7pFo9kHDmipTF+ELTbjZaKP5ksa4meaIy033BlIoXxcgJMFjijZ
SZixN4U0gLbAv5Mnmjl+1B4LtNEbLeVzMlST+z/paL6aDdoTt+ybWcDAmvPXov6aabwQil0MXAeD
vOmSsy+8O7qB7isbG3PYlrFKDp8r6jXQ+0Z5yuNWZlyCjqBdaYnL5pHXqjNyV2i378FzKbvGBs+L
+TZmp9111VMj/J6I3bxJ53KQ8PtKraSdIgUED7RNYz/o2TiG+9pvBSS23kVo3w3JdUHf8XnAxX2P
r8hF0ogtI0c9BQUAyK2xDGUp0gECpN0m90mxRfMpTOy+EpTFOTramBDiLKoVqmKvWQ422wrHHwfr
xW5Loc6jysb0bsYGJoy+Ni/kxq02LYHh2LKSpr+UYrt6tEujug1DXz4j2GVcskWpszmyNkEvorTb
CxLQqtuuNAynNDrE4SPT0DbGcrLorXAi97Zuu6DWYQsItgL2AO0bzkWSYTxn8cxvCZSOTlIlMvyF
CEWlOSECazh2HsQBxdVGMj1T5Kox8jdcckZrsAMyBb28rH2yGUsVKIQanIL1MNanMTbrA2Zon96b
m+UuQVpDv4JFbKyUPJY3gJwhI6h8jfelHY3PtVTBNFZreTgFZSWdNmRjntpISZGHZrp56JI8uGxb
Cf8W+yVlI3diXOswfA+B1aEJQh2EvLRLJbCxTXo3gcQW7Qhgo3Jd96pueOSAcfDGJdmPMdp/Oyff
qZbxTY+6FT6gwcjOw7g0gAF7Njijvt8Aoh2fp5LWmg0+PI1VFFEROoIxWI6BPPdBgHZefg/SPro3
FU+FvMqEIKOsMEuHZ3h9zbfDpEIePOUchgQ5CDF41K1k9FTmHeZne5XRC4ZDKgF4kZEn5FyrYfaI
CEtc1TrbXJySDekStEjCByXT8ztI2rQpi6KcKCWNXhtLHeGfD0o5xAlcm8iUVmou5zdVqITRQbVg
DfCVaDx0PBnptSYhrDnxwwHtdMvpH4kgqqUekdMAFVuNO03flPJQQQQo8vKUwECXzITUHqI5Ear2
WVmY8WPve/6rL5XZPK9kpidqWbH9iaH6OcBmrVVIwYd738vMBdFHjFq81Axom9K5n0sZaVd6W/Ro
/wY33jZdC1LAaOOkmsVZndH5VtlFghj25q3l9vsuL7RxLsF/XrWJL2+UGrwb4PtYnxGCaPTLQtPC
nVbSK0dWUGtrGT7GqiW4CIGAR5BQhSukrNpxN4R5vmiSJCV2o9Bl2IgiCR/NIkqxvGsnXc8G38Fy
wk+h1Coucnret1qM+QP9Ca19b6gNYIiRjBouQwc49wj/3HLbGNltgukAxkZdrU2B2gCRGv0oJb5H
Yw6fRSTUD+RrEcOQ2vHW1zp0R2jyaa4HlWvI0COY503d/lWpHDSrv1AVEsAtGa9jzGrAQo35Pqbh
ekLgySSaIwcNvF99YOPcvuosPiv4qKhqbXE0y47sV1AV67HTAFjWVXWt9Ya2pj1qcuvGMMnZsZOu
GNgEHOFGsveNgtmL7KSmnyEIyreKi5RaDEGDfpwJiqMFQInm6CP63agVuDK8TJ7brYu5xuBBPkWO
AmNQevZeMx3tGihYobjRzEfYt6rCwQ4JBCuizRhAdlRDPd72XGo7y6rDk9EO9JPGb6wCQEJT3ZGs
YWOdT60nQWsxRRWiF+d6ElsHhJAm4Ow6hcebu0zZekl9trlg5i7xlBdFSF+iiMdAXySRp69lo86v
5VQOiNTh688IK7pLGPcmTqdGI34M4ckME0PzLIWb8gRq3ZAX9JWzmSjrHKenbczGuoB6ACjhqfeU
fC9q0Z+mGK0gU0YhURNGZbLhMn30yKBoHCnOtZqaSzUfklELh1nWxP210AMGwkaXeC+uX/jniStp
OwRoNNnjhLvQ6RhLsIACerpv9cEEllZYl5Ku0WMuZNe7N8kxo6EdtP2DJHzpIWr0MmBvFvbwfUOx
8q3cJD5VaFt0htEr77fcm17F5G5saOCO+VBRnjGupH1dWvWVjRGmcMKqM8I55BGLfosxDBeWV1pL
METdzYhaa2kWaXK0VUGpkVcwGRkuufhlaMumJds1zVvxVXU7xfNqng6BW14EpQbNOwN7GqIhj3lS
wTeq40WOPTfApiQ12aqpcbFt8rKWPXLt4WQtY8VXzqo8129VsyMxQ61QtC3BiE+D7tICVBLglj8J
GOUmRH/1VT0HyVnCJx/lkYkbO0fmIUNX3nd1UIbzktlKNgvG2D1loEDmMI0LIt+V1GZ2pQY103KT
RQ0xp0Kby+T8V1ZD3xWMQrNWYfvc6LpfHGjfVZFTsh86hIPO/FxpQQuosnkSVIZ1rqDufwnoG8QO
V0GqLlh3p6miSrCZE7GZvsTvEgADGSgJnK6s/BQE9EjjVJHYwuwtI2lhYEJ9XpuxmjGaj3QGCzFx
JdBGWSraUzWoCJvkW/C8WW9n5kootXWIYzUv5qPdWaOT2bH+GibIKuYpVNNr25AGACOS/GxZcdMQ
p0hjx4lwRpCr1tMmZgBeEOEdhyFsqar2cUPG3quKZfJQj4gvBztXEHgEFegH3QoWo5mVF42FML9E
u7lTUjJglgNVWzjXewDfhHpZPKeayHKEqNyj3RXqQU4pMRZUvbY0KxPbiBd9LrAV4LySXgkTGqnR
mnKDyBFWzAgxdCm5ab8oTY3bRGddBqrRN8qiCOXsqNlFru7Z3scLAodhm+Zqv8/kGMJEmmcdKTx5
CXWbq0qdgW/z9y46yo0WWcR1IQIpcS9iKWAHpBZElGoT1N3kkN51GOi8J4W50E3emVY1L2w3fs0Q
xR7AoTGjiHGez2O3IKwilMY5Fm++5LKnuaqV9YIA4dwDS0UFSKIawHOPoMNFM8JUd/MgMhxD9vKj
H0vlSdSPpE71CsYaqYZJMuimO6zAsJv9Kfoh6aqVWo5i+ZWx8ZhisSVjzzlZcRp3m3FNPw2xTdE8
kvN0YOUmNVFTA/uE2J4U35Yc5bg4Mm0lQyyatQUMeuBh/cIr1WIhVD/q4QHT/dNDiGEg6puFnSH5
aYaqOeVN61vwYvIddUCxwDwPfAr+u8RNE2eO2THtIG2giKG2kVPah1FzyPQGXVyiIQYkKwhFJAyG
4AKEVbxQclL5HMOyjZNp7r+ggnMXqnAfqVPtlcw9uciamiGQbXsPapnUj4OMYcqRAsWde4MaMbrL
zAtvVNBjsjtA1JKRPj1KSTJD3N9fkaCxB/Gg3MOf8y9wOnBfqj0qWFcY/dZCu7PW89g7ESKPOO8i
AJNP1NAMeZGxyiJZvS3KEXxPFmRiqtARZDFtRY1ufmGceCHVbBTIjwaPmHVAWUr6WR9Wp0iHCINq
AeM3ZUsQgCoFYT336AlvCNqjiGYOn11lHhUvJZzYC0KlLvUxo63KuHufVZBnOiASgBNC0V4VUg77
nCevuhGeZS2QtPhX3HouQXMqLEEazDmPRw9lN50uQFpxKidnsMHQCLi+2INMFiSXofUARiPk6NSQ
tGbtg7s4C9QRR7GLMPm8jAsPeb6cEAMhN+bGTbyBrK0mrC9hhATXTdy0exSUxhP3rrJXkAm9FDDQ
luRlucRcqwP0NqnTlVuS66nqlSjcAMIKT00ZiYwjt/QykprnFfAsZoSNlRBelNLSbdIkAclckNhK
2ttGzUWOM0bvT6SYDxuZHMRxpRQ6Xu3ROjYwzdyWLHU+r4buXpYBbAUy/GFXJe209huyUIYG44uT
+51YFlGIeltTeybOqDRmU+VizIhcSK+URAG1q7fhPtPVV5PNIKtyETEy7CHq7FDPmjfT8rloo8hK
D3iDuxvBosx3ORY05Zs2q58jNLazf2NzHuduqsVrbTCoaOKy7+eyCImDZYxvnNNsTRus7iE6j/+T
LuLqJTs7Ji/VZwHoN0HoFwnot9/+M/Shpg46VliKquqKgYhTmQiyv99EnB+fy+MvUB1+OTsCKv1l
fWxf4uCX/+IP5sfkmH7+K66q923GH7zElzajqX1CLq3ik9XJjzV5G9/ajPInhJwGqFLN1L5Sd99Q
psB1QT/APJu6njoN0G99RlUGJ6ELjsfHmQ75vwpZUrRfS0onxCpSeAUhJQw0tHXv+41sl5D1gVXB
CX7dDNmpfaUsvSUKfqq8gPl+OAuMpVwdtGtiMOxmNhLEUATLILl1+3oe0LezWh0kRPJARU+A8dpP
MOxLS2xlq5aiwq0IJbUeh57uTU7QUhPcNt0DpdBCoodHTs3lpFTr1OFcA2OlSVtSJ0r4mmuYBS3z
/Gcff21q7AYcmWl3mpXNzBWvNKuIzWP4LTF4FJBEcbsSIHXG43E+QO+M/WGVTKWgoNXT6ySjSCtu
n3JJZJA3VcZnPdmRNmKZtHuU7fS6quWLZMrto9SzHEMjLK8yQzY6T3V8LqyWJwzUKDZOsAp4esbU
xOXgdKa6h9d36cVgJLWSkYK6lvRkG4Fcgt+003og4ZSX51VTsj/wEMZKEj0OeY9b3enzkEVRy/AR
AZFLC/1eZjbB17RoSeUEtkMfpFvqVcQAcZiVJMaEoiTNrzrVgnpfC+2M5shTZIp9n/Feu2EgClNR
b/pguM4YwaD4XHgw/R0UgIrjC3YfcMM8IJbB3ktydvjIGaZS66yoQPH3p9/dNj8wrbFPe9fD/nLf
yTyPTUWhkU0//f21BRKkAlmKoaIfk+uyxoao69W+b401T9KFoYKDj02xRa+1ivNzrB4rQ9FPYHg2
80HGIJFUk57PtTdTum0kycug6ZZlCM2tcbW91mYgy41LTTfwJIUUUVpwUqQncqOvyjw9UYalIlnY
jpHKBeOFgbwNENCiVBhq8hWCjnzVS+NgRPfM6JcuT/GgTJZeGAHr92fUrfgFJ/h+tUNIO1dxqXql
tM5HeV8a5bLV9P0g2zvBSKsHUGX3uNf9+irM0cUqAmb6VlceBB3IcGy2hSCrPqPvJGUeMy2TFoTN
VQkJaJm3wc5KT80Cq67LVi2xHpN6WMexTKhf5XEvVfIsasbd2BN1abnHITeWGalWCQd0cKCxyCgD
Dmb2MKp3FqZXalmeltCfKqW7SvuHMTT6k1wdUEKDPLovXA0PoA9lLNQWfq4AkecS6YS+VIS9ptP7
jGwEyGAynHsDUBUqPWNuUw+eFB1TATE+/PFlok42ju9F7dOjE0KoJsMAlPHk/GriMWYMnHHRk6OS
RS+e1Ny6nD63VB4K9lljW2IlKw9oYM7Gpj33qpLGaD+pSh0F9dYSRxeoBDucI+/bAIY799WEZ1d9
qMAYQ3eK9qHfvuZG+idXNyOiX71vwZNb5j+ywQKjAFx4f3VXbNKYjhDPVZil6QB/BtTBGzYwozfM
iRHa0FLz6cjwXMwxKkt4yZ1CaY6quexprBQ+7UBTootfFkB3ctPkmiXiln0iYRch0T0CyU/QXvJg
XWlxvw/C5jJnpzXCVklK9dkzCKHRKYQ1q2YiXbI/DpjqlKLO6LxaPBpb9VWmveF4dS1hZmEHHY7w
UeO8O/htu++s5iQXDMgDkZ76rUv1IuyHwhwVB3PUlVDi8zbW8Roa+StgMX9haPlVV0uvtq/FMysQ
rxjPLisR3iX0/sq2wruovOZ0hHyUR3bKO/CKDWoaZwRJDIjzpkvIH7XYnJvlY+dLmwH4QZZ0i0rB
P9zN5NafsX+5TXP2yJhddbdfoF07xVq8r2pWj1xWAWjZa0mBmug3CD7L+rrAr0en5m6Mimsv6M8b
DOnzdtq0SPVaQwNbePLaIO7P8Lu1DDEjrcMnV84vY7/eNirkULqYZWgQ92DtvVTeZHm373R88bF1
mSgq+5VEzDFyLWyQQQHwTM+Xl3z1O1mJF13bscoEt7Sh1/QGF7UJ25Fecrar3XFRDcYSYOosNpHK
VnfheIkrdIbgdu43J3YebZC+3pacwtXAJofZBNRbbM9WNC78aU+PW+418tlE1GLfIM0Ej3hfkLjm
gE9M16oay7NRgwtA17++DRPzIkO5TtVZgLZlGGPnLdCQkLQVHWQHoggr2biSfavTNUUA/Gx50hIw
OcyczN2l3IZsuLJ9XURrdWS4kOWX6GQOkRee6CqhTFhanQIRHaZzhZ+v50z+l1g3565XpaxMd6Ha
kY/Ur5PGt5G+B+BHa+bmfnrnVcauL7WbuLaYlog7Yyyu+qSpF1zVm8I1X0dVO3EbHzEH9mrsKd7J
0CNHaYhLnJOVEi8MfdxhDHTgrJ7jEi5XZikf9Yp9HUDxQ6YNx6jAHAHA5I6equ8gbKAVYw/7Uq+v
29HatoThgsum/R5tIiAp0LIIj1N6CBnhFRDEu0ZtTmRC4pN+xMKbwpOJtbXU9fNelveEMs5hstwg
ZnSsMsKJZh9EI5160T2aCQdn9cwGJFq1wQVphguqdMQb+esYAETmjPW9fdkPk/gvWGU1FmelOLjS
YxuhMxrlh54Jnqf2S6Wxn0JExIgHW8wZxsG1XxI2jaa90KWz0jrLEfJp52lzQJa6L6Vk3mhwdrVD
O0A/D63rpK9mEVVHBpOBaB80o0wmw5coGIBqsP+p7kz7qqOZDHnU0WJETv5cUe8b79L0sNtbJanA
FxK9C6/qDnhMuFwknD6w+YJpcrSTXXAnA4RS1qiA5BBoLgbanSiYeN+C9eFc6Z4Qq6KR0u5qwPJi
4L6O1DvL3uORgNV3IU9gSZ6Vt4WrRjNiYede8NhB0Uqa1z7MZkluP/aaFi/ttnok+msdlN46CpTn
tgvJHLJ9tnaZPR+ARDBO6eYMfOFVZWSW02F1sMWTyuclN8EgeYteHfRnqVSZSIJ5YIpiLbtsPIGL
fuV7hTkfQ+XKjqT7bBhus2i8mmIPR7cmOS5nZqyRm7ihxRgv6H+naPHZdLVd+pQ148oazTWzo2nY
WM5ki3IKnCGdU2I+S5moZXDICb71Gph2g7NGdC7GEOwHozAfk7bdAn56IfT7Csp7PitCFV/U4M2z
itIEWni0cM3JhAolPWzpvzMEyxX64qO+y3LtNZLpiigrrxZbDDFzJStPiZ/h6QtXpTAIW6pXYCnU
ue5q3rLUkXvrHXp+5v3BnGGphNjWrhcEwg/Ov/kjO12zoUzLDXsfoSJmhNRcBXJyB14Qv0SGnNyr
3IPmK1vOTbBw7QFkYu4OTmaaJAOkRPDJEsAz/JqXP2s7+gG5ynemxd9YEb+pNCaj4j4L0voq+3v/
6E3+8eMDvfM2csGk9eSU9IIs/X5j+bmmfrdX/fyWPvsq/+gI8bEO6uaZVDUVXQq2RIHz+MsvivA4
S72vf23an5DWaJasa/LnX18ENt+dod87B3/88X5r+vztcd59gN9NfzNtYFsau+a/chp+dZR3p0Ew
L2AfQo05/aIH8P1pUD4Z0NIEKMQvZwkPJ6/3DzoNikwDgzCcj54H6xOZyoB3QFH+6DyYnzgFuJwN
5Z96HjRjMth+7GKwP5FOpKDuen8RiE+aLqu6rFtfzs0/7iLQaPxw/37swwtSujX4isqXD/mrO4GA
HWzK0yPj6wODbc8/607AW6B+9ArAs41Zm9xzNp8/ug0EUUL4c2jbffnFhfLPOgmMPuUv38yXIK1v
i8xvl4bffSaS02Xp2EF5Jr6/D4xPdEp1Ex3jl0//5ZL7Bz0Mp4bqRz+9Kj4Zls61rnxdEX51EjRO
DtFOgj3d51//i0vgL5ypb2UGWQ7x8+cCI3ipvuMl/Ok/eFt/f3uAr+vq5vk//mWqH979w4ml8OXQ
L99IyP/57gr5vOh995dvi+Dn1/n6418/4G9f+t1rvX2qtz9cBy/lsXzyh89/MXx9m9MY4T/+hfa6
T9t9Xx6fXyr/XQlkTDGt//OGfhMU++1p+IfHr6pj8naY6cxMAtu33/8QMPGXDot4/1i+HWY6LEgW
rqOPvtv1sRx+zar4su59+MhBcnwiKfeHZ1qXNeqLj77E9khg2C//ekzyf//l5AhaL3h3hhSD58rH
X+XkWKZU6NGvgB6q8hO+1ROu0/hXB9YnffhHT83uGFX+8bl7ecnfDvb5Lp205G9/8PcvxtPjsz/8
+B6atOoff4Hz54C3/3acz3cRrc+f8GXum+fmyX8py+HdwYWmUKZ/9KTvmzQ8Pr4d5/O7/rJ4fvTA
h2N4RKdyfLdj+7o0ffTYl0EUBe8eWPTHjZ/wHV4dkyBmtPncfH9GNFUIFriPvuvPTPwfPVq+Fq4f
Pf7tS1X/4rwA8onf3uznh+60b3v7g4/cPzzMeWDV5btr/Gu9+dH3vmpCjl6/vc3pfX/b2n742Nm7
dzwdF67Z20v9/TPCqvxt5H0WPGWPzMM3FSSl5+rt4F8+h6Ion+Nkv9UUf3OVLpv095cn9Ezw2n7G
gzIYs/J9OcChZVO12Vd89Lu4KpGKvr+Cvh78J9y9PxYnvL3p6bv4/FoICt7+7O9/+ZP8Yfqq3470
9eh0IbSfcJpOj+l0nn5w8J9wmk5fPGqc4/DuruDMTO/9JxST85fYD377zqfmzEevnt+VmHx59/pP
WA//NBP6gzfxzP/zlN8PvsRfyF754CtsWQp+N9vlJ1xCf8qj++D7/6tWyA++zI+fR39HLPWHb+RH
+81v3dnf7kLfms8/+rH3W+zpXzzFL8fyP/8bAAD//w==</cx:binary>
              </cx:geoCache>
            </cx:geography>
          </cx:layoutPr>
        </cx:series>
      </cx:plotAreaRegion>
    </cx:plotArea>
  </cx:chart>
  <cx:spPr>
    <a:ln>
      <a:solidFill>
        <a:schemeClr val="tx1">
          <a:lumMod val="50000"/>
          <a:lumOff val="5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10" Type="http://schemas.microsoft.com/office/2014/relationships/chartEx" Target="../charts/chartEx4.xml"/><Relationship Id="rId4" Type="http://schemas.openxmlformats.org/officeDocument/2006/relationships/chart" Target="../charts/chart4.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hyperlink" Target="mailto:mauwazahmed@gmail.com?subject=Query%20for%20Sales%20Dashboard" TargetMode="External"/><Relationship Id="rId3" Type="http://schemas.openxmlformats.org/officeDocument/2006/relationships/chart" Target="../charts/chart14.xml"/><Relationship Id="rId7" Type="http://schemas.openxmlformats.org/officeDocument/2006/relationships/hyperlink" Target="#'Order Data'!A200"/><Relationship Id="rId2" Type="http://schemas.openxmlformats.org/officeDocument/2006/relationships/chart" Target="../charts/chart13.xml"/><Relationship Id="rId1" Type="http://schemas.openxmlformats.org/officeDocument/2006/relationships/chart" Target="../charts/chart12.xml"/><Relationship Id="rId6" Type="http://schemas.microsoft.com/office/2014/relationships/chartEx" Target="../charts/chartEx5.xml"/><Relationship Id="rId5" Type="http://schemas.openxmlformats.org/officeDocument/2006/relationships/hyperlink" Target="#Inspect!A1"/><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hyperlink" Target="#Home!A1"/><Relationship Id="rId2" Type="http://schemas.openxmlformats.org/officeDocument/2006/relationships/hyperlink" Target="mailto:mauwazahmed@gmail.com?subject=Query%20for%20Sales%20Dashboard" TargetMode="External"/><Relationship Id="rId1" Type="http://schemas.openxmlformats.org/officeDocument/2006/relationships/hyperlink" Target="#Sheet2!A1"/><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5</xdr:col>
      <xdr:colOff>101600</xdr:colOff>
      <xdr:row>398</xdr:row>
      <xdr:rowOff>50801</xdr:rowOff>
    </xdr:from>
    <xdr:to>
      <xdr:col>6</xdr:col>
      <xdr:colOff>596900</xdr:colOff>
      <xdr:row>406</xdr:row>
      <xdr:rowOff>127001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26F402A-B677-7A8F-7DFB-23D1DABC79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05600" y="73342501"/>
              <a:ext cx="1828800" cy="154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397</xdr:row>
      <xdr:rowOff>120651</xdr:rowOff>
    </xdr:from>
    <xdr:to>
      <xdr:col>8</xdr:col>
      <xdr:colOff>939800</xdr:colOff>
      <xdr:row>407</xdr:row>
      <xdr:rowOff>88901</xdr:rowOff>
    </xdr:to>
    <mc:AlternateContent xmlns:mc="http://schemas.openxmlformats.org/markup-compatibility/2006" xmlns:a14="http://schemas.microsoft.com/office/drawing/2010/main">
      <mc:Choice Requires="a14">
        <xdr:graphicFrame macro="">
          <xdr:nvGraphicFramePr>
            <xdr:cNvPr id="3" name="Payment Method">
              <a:extLst>
                <a:ext uri="{FF2B5EF4-FFF2-40B4-BE49-F238E27FC236}">
                  <a16:creationId xmlns:a16="http://schemas.microsoft.com/office/drawing/2014/main" id="{B82E63AC-60AB-8C91-2341-7C3D614BBD4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232900" y="73228201"/>
              <a:ext cx="182880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418</xdr:row>
      <xdr:rowOff>0</xdr:rowOff>
    </xdr:from>
    <xdr:to>
      <xdr:col>5</xdr:col>
      <xdr:colOff>76200</xdr:colOff>
      <xdr:row>425</xdr:row>
      <xdr:rowOff>82550</xdr:rowOff>
    </xdr:to>
    <mc:AlternateContent xmlns:mc="http://schemas.openxmlformats.org/markup-compatibility/2006">
      <mc:Choice xmlns:tsle="http://schemas.microsoft.com/office/drawing/2012/timeslicer" Requires="tsle">
        <xdr:graphicFrame macro="">
          <xdr:nvGraphicFramePr>
            <xdr:cNvPr id="12" name="Order Date">
              <a:extLst>
                <a:ext uri="{FF2B5EF4-FFF2-40B4-BE49-F238E27FC236}">
                  <a16:creationId xmlns:a16="http://schemas.microsoft.com/office/drawing/2014/main" id="{D97460AE-9472-3857-569E-1C224BE2153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3346450" y="769747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960471</xdr:colOff>
      <xdr:row>0</xdr:row>
      <xdr:rowOff>85253</xdr:rowOff>
    </xdr:from>
    <xdr:to>
      <xdr:col>20</xdr:col>
      <xdr:colOff>104032</xdr:colOff>
      <xdr:row>15</xdr:row>
      <xdr:rowOff>66203</xdr:rowOff>
    </xdr:to>
    <xdr:graphicFrame macro="">
      <xdr:nvGraphicFramePr>
        <xdr:cNvPr id="16" name="Chart 15">
          <a:extLst>
            <a:ext uri="{FF2B5EF4-FFF2-40B4-BE49-F238E27FC236}">
              <a16:creationId xmlns:a16="http://schemas.microsoft.com/office/drawing/2014/main" id="{EBFC00E6-E8F4-EF16-8A76-EEC333B54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0</xdr:colOff>
      <xdr:row>3</xdr:row>
      <xdr:rowOff>0</xdr:rowOff>
    </xdr:from>
    <xdr:to>
      <xdr:col>39</xdr:col>
      <xdr:colOff>35560</xdr:colOff>
      <xdr:row>19</xdr:row>
      <xdr:rowOff>0</xdr:rowOff>
    </xdr:to>
    <xdr:graphicFrame macro="">
      <xdr:nvGraphicFramePr>
        <xdr:cNvPr id="18" name="Chart 17">
          <a:extLst>
            <a:ext uri="{FF2B5EF4-FFF2-40B4-BE49-F238E27FC236}">
              <a16:creationId xmlns:a16="http://schemas.microsoft.com/office/drawing/2014/main" id="{4D93B98E-BB50-42BC-AD96-DF7E06B28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647700</xdr:colOff>
      <xdr:row>427</xdr:row>
      <xdr:rowOff>53974</xdr:rowOff>
    </xdr:from>
    <xdr:to>
      <xdr:col>7</xdr:col>
      <xdr:colOff>476250</xdr:colOff>
      <xdr:row>443</xdr:row>
      <xdr:rowOff>50799</xdr:rowOff>
    </xdr:to>
    <xdr:graphicFrame macro="">
      <xdr:nvGraphicFramePr>
        <xdr:cNvPr id="22" name="Chart 21">
          <a:extLst>
            <a:ext uri="{FF2B5EF4-FFF2-40B4-BE49-F238E27FC236}">
              <a16:creationId xmlns:a16="http://schemas.microsoft.com/office/drawing/2014/main" id="{8F4E2AD9-609F-B032-04DE-847B608EB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768350</xdr:colOff>
      <xdr:row>35</xdr:row>
      <xdr:rowOff>38100</xdr:rowOff>
    </xdr:from>
    <xdr:to>
      <xdr:col>5</xdr:col>
      <xdr:colOff>984250</xdr:colOff>
      <xdr:row>47</xdr:row>
      <xdr:rowOff>133350</xdr:rowOff>
    </xdr:to>
    <xdr:graphicFrame macro="">
      <xdr:nvGraphicFramePr>
        <xdr:cNvPr id="23" name="Chart 22">
          <a:extLst>
            <a:ext uri="{FF2B5EF4-FFF2-40B4-BE49-F238E27FC236}">
              <a16:creationId xmlns:a16="http://schemas.microsoft.com/office/drawing/2014/main" id="{6596181E-5E27-526C-4BBF-EEA720D22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873124</xdr:colOff>
      <xdr:row>32</xdr:row>
      <xdr:rowOff>139700</xdr:rowOff>
    </xdr:from>
    <xdr:to>
      <xdr:col>11</xdr:col>
      <xdr:colOff>958850</xdr:colOff>
      <xdr:row>53</xdr:row>
      <xdr:rowOff>31750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8C153FFC-413E-F470-B57D-7410D05122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477124" y="6032500"/>
              <a:ext cx="5508626" cy="3759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117475</xdr:colOff>
      <xdr:row>450</xdr:row>
      <xdr:rowOff>76200</xdr:rowOff>
    </xdr:from>
    <xdr:to>
      <xdr:col>10</xdr:col>
      <xdr:colOff>107950</xdr:colOff>
      <xdr:row>470</xdr:row>
      <xdr:rowOff>69850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FDFA2B90-FC3B-065C-2817-0BD6490F61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21475" y="82943700"/>
              <a:ext cx="4968875" cy="3676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768350</xdr:colOff>
      <xdr:row>472</xdr:row>
      <xdr:rowOff>158750</xdr:rowOff>
    </xdr:from>
    <xdr:to>
      <xdr:col>7</xdr:col>
      <xdr:colOff>171450</xdr:colOff>
      <xdr:row>493</xdr:row>
      <xdr:rowOff>44450</xdr:rowOff>
    </xdr:to>
    <xdr:graphicFrame macro="">
      <xdr:nvGraphicFramePr>
        <xdr:cNvPr id="27" name="Chart 26">
          <a:extLst>
            <a:ext uri="{FF2B5EF4-FFF2-40B4-BE49-F238E27FC236}">
              <a16:creationId xmlns:a16="http://schemas.microsoft.com/office/drawing/2014/main" id="{CB088EDA-F2E8-1C12-9560-D77665705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15874</xdr:colOff>
      <xdr:row>210</xdr:row>
      <xdr:rowOff>127000</xdr:rowOff>
    </xdr:from>
    <xdr:to>
      <xdr:col>17</xdr:col>
      <xdr:colOff>209549</xdr:colOff>
      <xdr:row>227</xdr:row>
      <xdr:rowOff>152400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53C1907B-E0E4-E402-19E2-B0AA549BBE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598274" y="38798500"/>
              <a:ext cx="5222875" cy="31559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0</xdr:colOff>
      <xdr:row>211</xdr:row>
      <xdr:rowOff>0</xdr:rowOff>
    </xdr:from>
    <xdr:to>
      <xdr:col>30</xdr:col>
      <xdr:colOff>333375</xdr:colOff>
      <xdr:row>228</xdr:row>
      <xdr:rowOff>25400</xdr:rowOff>
    </xdr:to>
    <xdr:graphicFrame macro="">
      <xdr:nvGraphicFramePr>
        <xdr:cNvPr id="29" name="Chart 28">
          <a:extLst>
            <a:ext uri="{FF2B5EF4-FFF2-40B4-BE49-F238E27FC236}">
              <a16:creationId xmlns:a16="http://schemas.microsoft.com/office/drawing/2014/main" id="{551C9662-0AED-4246-AC14-DE288D697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625475</xdr:colOff>
      <xdr:row>499</xdr:row>
      <xdr:rowOff>69850</xdr:rowOff>
    </xdr:from>
    <xdr:to>
      <xdr:col>8</xdr:col>
      <xdr:colOff>914400</xdr:colOff>
      <xdr:row>511</xdr:row>
      <xdr:rowOff>63500</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62889229-B4BF-9F96-E35D-DFA53555D5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229475" y="91960700"/>
              <a:ext cx="3806825" cy="2203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615950</xdr:colOff>
      <xdr:row>98</xdr:row>
      <xdr:rowOff>9524</xdr:rowOff>
    </xdr:from>
    <xdr:to>
      <xdr:col>15</xdr:col>
      <xdr:colOff>603250</xdr:colOff>
      <xdr:row>115</xdr:row>
      <xdr:rowOff>95250</xdr:rowOff>
    </xdr:to>
    <xdr:graphicFrame macro="">
      <xdr:nvGraphicFramePr>
        <xdr:cNvPr id="4" name="Chart 3">
          <a:extLst>
            <a:ext uri="{FF2B5EF4-FFF2-40B4-BE49-F238E27FC236}">
              <a16:creationId xmlns:a16="http://schemas.microsoft.com/office/drawing/2014/main" id="{73EC58B0-C1CC-4E71-F134-0133FBCBD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219075</xdr:colOff>
      <xdr:row>61</xdr:row>
      <xdr:rowOff>114300</xdr:rowOff>
    </xdr:from>
    <xdr:to>
      <xdr:col>16</xdr:col>
      <xdr:colOff>523875</xdr:colOff>
      <xdr:row>76</xdr:row>
      <xdr:rowOff>95250</xdr:rowOff>
    </xdr:to>
    <xdr:graphicFrame macro="">
      <xdr:nvGraphicFramePr>
        <xdr:cNvPr id="6" name="Chart 5">
          <a:extLst>
            <a:ext uri="{FF2B5EF4-FFF2-40B4-BE49-F238E27FC236}">
              <a16:creationId xmlns:a16="http://schemas.microsoft.com/office/drawing/2014/main" id="{FC1D81D5-9115-3156-D5B6-73DA66491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196850</xdr:colOff>
      <xdr:row>79</xdr:row>
      <xdr:rowOff>9525</xdr:rowOff>
    </xdr:from>
    <xdr:to>
      <xdr:col>17</xdr:col>
      <xdr:colOff>190500</xdr:colOff>
      <xdr:row>93</xdr:row>
      <xdr:rowOff>174625</xdr:rowOff>
    </xdr:to>
    <xdr:graphicFrame macro="">
      <xdr:nvGraphicFramePr>
        <xdr:cNvPr id="7" name="Chart 6">
          <a:extLst>
            <a:ext uri="{FF2B5EF4-FFF2-40B4-BE49-F238E27FC236}">
              <a16:creationId xmlns:a16="http://schemas.microsoft.com/office/drawing/2014/main" id="{C21A9588-DD10-001E-E0B3-463ACF90A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577850</xdr:colOff>
      <xdr:row>5</xdr:row>
      <xdr:rowOff>22224</xdr:rowOff>
    </xdr:from>
    <xdr:to>
      <xdr:col>10</xdr:col>
      <xdr:colOff>857250</xdr:colOff>
      <xdr:row>21</xdr:row>
      <xdr:rowOff>126999</xdr:rowOff>
    </xdr:to>
    <xdr:graphicFrame macro="">
      <xdr:nvGraphicFramePr>
        <xdr:cNvPr id="8" name="Chart 7">
          <a:extLst>
            <a:ext uri="{FF2B5EF4-FFF2-40B4-BE49-F238E27FC236}">
              <a16:creationId xmlns:a16="http://schemas.microsoft.com/office/drawing/2014/main" id="{01C8E0DB-9FFC-CA7A-6F93-7C27C4D49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695325</xdr:colOff>
      <xdr:row>80</xdr:row>
      <xdr:rowOff>69850</xdr:rowOff>
    </xdr:from>
    <xdr:to>
      <xdr:col>10</xdr:col>
      <xdr:colOff>758825</xdr:colOff>
      <xdr:row>95</xdr:row>
      <xdr:rowOff>50800</xdr:rowOff>
    </xdr:to>
    <xdr:graphicFrame macro="">
      <xdr:nvGraphicFramePr>
        <xdr:cNvPr id="9" name="Chart 8">
          <a:extLst>
            <a:ext uri="{FF2B5EF4-FFF2-40B4-BE49-F238E27FC236}">
              <a16:creationId xmlns:a16="http://schemas.microsoft.com/office/drawing/2014/main" id="{4A2D0EFF-E7D0-EC80-94BE-88F36EC96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317500</xdr:colOff>
      <xdr:row>3</xdr:row>
      <xdr:rowOff>8819</xdr:rowOff>
    </xdr:from>
    <xdr:to>
      <xdr:col>5</xdr:col>
      <xdr:colOff>468277</xdr:colOff>
      <xdr:row>7</xdr:row>
      <xdr:rowOff>176389</xdr:rowOff>
    </xdr:to>
    <xdr:sp macro="" textlink="">
      <xdr:nvSpPr>
        <xdr:cNvPr id="19" name="Rectangle 18">
          <a:extLst>
            <a:ext uri="{FF2B5EF4-FFF2-40B4-BE49-F238E27FC236}">
              <a16:creationId xmlns:a16="http://schemas.microsoft.com/office/drawing/2014/main" id="{738BC980-B05A-D73C-6302-8CF746062B52}"/>
            </a:ext>
          </a:extLst>
        </xdr:cNvPr>
        <xdr:cNvSpPr/>
      </xdr:nvSpPr>
      <xdr:spPr>
        <a:xfrm>
          <a:off x="1534583" y="564444"/>
          <a:ext cx="1976402" cy="908403"/>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526314</xdr:colOff>
      <xdr:row>8</xdr:row>
      <xdr:rowOff>8820</xdr:rowOff>
    </xdr:from>
    <xdr:to>
      <xdr:col>13</xdr:col>
      <xdr:colOff>221514</xdr:colOff>
      <xdr:row>22</xdr:row>
      <xdr:rowOff>183507</xdr:rowOff>
    </xdr:to>
    <xdr:graphicFrame macro="">
      <xdr:nvGraphicFramePr>
        <xdr:cNvPr id="4" name="Chart 3">
          <a:extLst>
            <a:ext uri="{FF2B5EF4-FFF2-40B4-BE49-F238E27FC236}">
              <a16:creationId xmlns:a16="http://schemas.microsoft.com/office/drawing/2014/main" id="{76DBB2FA-2060-46FA-BDC9-192524B11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218661</xdr:colOff>
      <xdr:row>8</xdr:row>
      <xdr:rowOff>9203</xdr:rowOff>
    </xdr:from>
    <xdr:to>
      <xdr:col>18</xdr:col>
      <xdr:colOff>586962</xdr:colOff>
      <xdr:row>23</xdr:row>
      <xdr:rowOff>0</xdr:rowOff>
    </xdr:to>
    <xdr:graphicFrame macro="">
      <xdr:nvGraphicFramePr>
        <xdr:cNvPr id="5" name="Chart 4">
          <a:extLst>
            <a:ext uri="{FF2B5EF4-FFF2-40B4-BE49-F238E27FC236}">
              <a16:creationId xmlns:a16="http://schemas.microsoft.com/office/drawing/2014/main" id="{EF2EE0CA-8CD4-4A06-B436-68D9F3832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311150</xdr:colOff>
      <xdr:row>23</xdr:row>
      <xdr:rowOff>12700</xdr:rowOff>
    </xdr:from>
    <xdr:to>
      <xdr:col>10</xdr:col>
      <xdr:colOff>6350</xdr:colOff>
      <xdr:row>39</xdr:row>
      <xdr:rowOff>114653</xdr:rowOff>
    </xdr:to>
    <xdr:graphicFrame macro="">
      <xdr:nvGraphicFramePr>
        <xdr:cNvPr id="6" name="Chart 5">
          <a:extLst>
            <a:ext uri="{FF2B5EF4-FFF2-40B4-BE49-F238E27FC236}">
              <a16:creationId xmlns:a16="http://schemas.microsoft.com/office/drawing/2014/main" id="{A407C0FE-FB6D-401D-895C-471B8B6D0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23</xdr:row>
      <xdr:rowOff>0</xdr:rowOff>
    </xdr:from>
    <xdr:to>
      <xdr:col>18</xdr:col>
      <xdr:colOff>582083</xdr:colOff>
      <xdr:row>39</xdr:row>
      <xdr:rowOff>113758</xdr:rowOff>
    </xdr:to>
    <xdr:graphicFrame macro="">
      <xdr:nvGraphicFramePr>
        <xdr:cNvPr id="7" name="Chart 6">
          <a:extLst>
            <a:ext uri="{FF2B5EF4-FFF2-40B4-BE49-F238E27FC236}">
              <a16:creationId xmlns:a16="http://schemas.microsoft.com/office/drawing/2014/main" id="{170291A2-1404-4CE5-9201-3CC16E6B9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317500</xdr:colOff>
      <xdr:row>8</xdr:row>
      <xdr:rowOff>24422</xdr:rowOff>
    </xdr:from>
    <xdr:to>
      <xdr:col>5</xdr:col>
      <xdr:colOff>520348</xdr:colOff>
      <xdr:row>14</xdr:row>
      <xdr:rowOff>114653</xdr:rowOff>
    </xdr:to>
    <mc:AlternateContent xmlns:mc="http://schemas.openxmlformats.org/markup-compatibility/2006">
      <mc:Choice xmlns:a14="http://schemas.microsoft.com/office/drawing/2010/main" Requires="a14">
        <xdr:graphicFrame macro="">
          <xdr:nvGraphicFramePr>
            <xdr:cNvPr id="8" name="Years (Order Date)">
              <a:extLst>
                <a:ext uri="{FF2B5EF4-FFF2-40B4-BE49-F238E27FC236}">
                  <a16:creationId xmlns:a16="http://schemas.microsoft.com/office/drawing/2014/main" id="{BDD98D64-7C68-4440-BB55-06524F69DF3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543707" y="1513388"/>
              <a:ext cx="2042158" cy="1206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317500</xdr:colOff>
      <xdr:row>14</xdr:row>
      <xdr:rowOff>105834</xdr:rowOff>
    </xdr:from>
    <xdr:to>
      <xdr:col>5</xdr:col>
      <xdr:colOff>529167</xdr:colOff>
      <xdr:row>23</xdr:row>
      <xdr:rowOff>8819</xdr:rowOff>
    </xdr:to>
    <mc:AlternateContent xmlns:mc="http://schemas.openxmlformats.org/markup-compatibility/2006">
      <mc:Choice xmlns:a14="http://schemas.microsoft.com/office/drawing/2010/main" Requires="a14">
        <xdr:graphicFrame macro="">
          <xdr:nvGraphicFramePr>
            <xdr:cNvPr id="9" name="Quarters (Order Date)">
              <a:extLst>
                <a:ext uri="{FF2B5EF4-FFF2-40B4-BE49-F238E27FC236}">
                  <a16:creationId xmlns:a16="http://schemas.microsoft.com/office/drawing/2014/main" id="{623951DD-E0D5-40A3-89D2-17867705E71D}"/>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1543707" y="2711524"/>
              <a:ext cx="2050977" cy="1578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308681</xdr:colOff>
      <xdr:row>0</xdr:row>
      <xdr:rowOff>36080</xdr:rowOff>
    </xdr:from>
    <xdr:to>
      <xdr:col>24</xdr:col>
      <xdr:colOff>440614</xdr:colOff>
      <xdr:row>3</xdr:row>
      <xdr:rowOff>0</xdr:rowOff>
    </xdr:to>
    <xdr:sp macro="" textlink="">
      <xdr:nvSpPr>
        <xdr:cNvPr id="10" name="TextBox 9">
          <a:extLst>
            <a:ext uri="{FF2B5EF4-FFF2-40B4-BE49-F238E27FC236}">
              <a16:creationId xmlns:a16="http://schemas.microsoft.com/office/drawing/2014/main" id="{99841F2A-B121-8388-545B-6AEC40D378FE}"/>
            </a:ext>
          </a:extLst>
        </xdr:cNvPr>
        <xdr:cNvSpPr txBox="1"/>
      </xdr:nvSpPr>
      <xdr:spPr>
        <a:xfrm>
          <a:off x="1526844" y="36080"/>
          <a:ext cx="13764994" cy="508206"/>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tx2">
                  <a:lumMod val="75000"/>
                </a:schemeClr>
              </a:solidFill>
            </a:rPr>
            <a:t>Sales Dashboard</a:t>
          </a:r>
        </a:p>
      </xdr:txBody>
    </xdr:sp>
    <xdr:clientData/>
  </xdr:twoCellAnchor>
  <xdr:twoCellAnchor>
    <xdr:from>
      <xdr:col>7</xdr:col>
      <xdr:colOff>135749</xdr:colOff>
      <xdr:row>33</xdr:row>
      <xdr:rowOff>58052</xdr:rowOff>
    </xdr:from>
    <xdr:to>
      <xdr:col>9</xdr:col>
      <xdr:colOff>365593</xdr:colOff>
      <xdr:row>36</xdr:row>
      <xdr:rowOff>65926</xdr:rowOff>
    </xdr:to>
    <xdr:sp macro="" textlink="">
      <xdr:nvSpPr>
        <xdr:cNvPr id="11" name="Speech Bubble: Rectangle 10">
          <a:hlinkClick xmlns:r="http://schemas.openxmlformats.org/officeDocument/2006/relationships" r:id="rId5" tooltip="Inspect Reason"/>
          <a:extLst>
            <a:ext uri="{FF2B5EF4-FFF2-40B4-BE49-F238E27FC236}">
              <a16:creationId xmlns:a16="http://schemas.microsoft.com/office/drawing/2014/main" id="{9AAEFFB5-A148-4D44-A44D-D4884A0FF7B0}"/>
            </a:ext>
          </a:extLst>
        </xdr:cNvPr>
        <xdr:cNvSpPr/>
      </xdr:nvSpPr>
      <xdr:spPr>
        <a:xfrm rot="21413641">
          <a:off x="4378704" y="6090552"/>
          <a:ext cx="1442116" cy="556283"/>
        </a:xfrm>
        <a:prstGeom prst="wedgeRectCallout">
          <a:avLst>
            <a:gd name="adj1" fmla="val -118482"/>
            <a:gd name="adj2" fmla="val 34081"/>
          </a:avLst>
        </a:prstGeom>
        <a:solidFill>
          <a:sysClr val="window" lastClr="FFFFFF"/>
        </a:solidFill>
        <a:ln>
          <a:solidFill>
            <a:srgbClr val="C0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ysClr val="windowText" lastClr="000000"/>
              </a:solidFill>
            </a:rPr>
            <a:t>The Sales from North region is the highest but profit earned in minimum</a:t>
          </a:r>
        </a:p>
      </xdr:txBody>
    </xdr:sp>
    <xdr:clientData/>
  </xdr:twoCellAnchor>
  <xdr:twoCellAnchor>
    <xdr:from>
      <xdr:col>5</xdr:col>
      <xdr:colOff>467430</xdr:colOff>
      <xdr:row>3</xdr:row>
      <xdr:rowOff>8819</xdr:rowOff>
    </xdr:from>
    <xdr:to>
      <xdr:col>9</xdr:col>
      <xdr:colOff>44943</xdr:colOff>
      <xdr:row>7</xdr:row>
      <xdr:rowOff>167570</xdr:rowOff>
    </xdr:to>
    <xdr:sp macro="" textlink="">
      <xdr:nvSpPr>
        <xdr:cNvPr id="20" name="Rectangle 19">
          <a:extLst>
            <a:ext uri="{FF2B5EF4-FFF2-40B4-BE49-F238E27FC236}">
              <a16:creationId xmlns:a16="http://schemas.microsoft.com/office/drawing/2014/main" id="{E2B3DF6C-77DA-971B-A87E-F9CF7C0F9CC0}"/>
            </a:ext>
          </a:extLst>
        </xdr:cNvPr>
        <xdr:cNvSpPr/>
      </xdr:nvSpPr>
      <xdr:spPr>
        <a:xfrm>
          <a:off x="3510138" y="564444"/>
          <a:ext cx="2011680" cy="899584"/>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26457</xdr:colOff>
      <xdr:row>3</xdr:row>
      <xdr:rowOff>8819</xdr:rowOff>
    </xdr:from>
    <xdr:to>
      <xdr:col>12</xdr:col>
      <xdr:colOff>212512</xdr:colOff>
      <xdr:row>7</xdr:row>
      <xdr:rowOff>167570</xdr:rowOff>
    </xdr:to>
    <xdr:sp macro="" textlink="">
      <xdr:nvSpPr>
        <xdr:cNvPr id="21" name="Rectangle 20">
          <a:extLst>
            <a:ext uri="{FF2B5EF4-FFF2-40B4-BE49-F238E27FC236}">
              <a16:creationId xmlns:a16="http://schemas.microsoft.com/office/drawing/2014/main" id="{8382CB80-0079-9A7D-8744-91ABBC8E17F5}"/>
            </a:ext>
          </a:extLst>
        </xdr:cNvPr>
        <xdr:cNvSpPr/>
      </xdr:nvSpPr>
      <xdr:spPr>
        <a:xfrm>
          <a:off x="5503332" y="564444"/>
          <a:ext cx="2011680" cy="899584"/>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211666</xdr:colOff>
      <xdr:row>3</xdr:row>
      <xdr:rowOff>8819</xdr:rowOff>
    </xdr:from>
    <xdr:to>
      <xdr:col>15</xdr:col>
      <xdr:colOff>397721</xdr:colOff>
      <xdr:row>7</xdr:row>
      <xdr:rowOff>167570</xdr:rowOff>
    </xdr:to>
    <xdr:sp macro="" textlink="">
      <xdr:nvSpPr>
        <xdr:cNvPr id="22" name="Rectangle 21">
          <a:extLst>
            <a:ext uri="{FF2B5EF4-FFF2-40B4-BE49-F238E27FC236}">
              <a16:creationId xmlns:a16="http://schemas.microsoft.com/office/drawing/2014/main" id="{9B6EE2F3-6E28-2878-73D0-69AB5BFFACDD}"/>
            </a:ext>
          </a:extLst>
        </xdr:cNvPr>
        <xdr:cNvSpPr/>
      </xdr:nvSpPr>
      <xdr:spPr>
        <a:xfrm>
          <a:off x="7514166" y="564444"/>
          <a:ext cx="2011680" cy="899584"/>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529163</xdr:colOff>
      <xdr:row>3</xdr:row>
      <xdr:rowOff>8819</xdr:rowOff>
    </xdr:from>
    <xdr:to>
      <xdr:col>21</xdr:col>
      <xdr:colOff>715218</xdr:colOff>
      <xdr:row>7</xdr:row>
      <xdr:rowOff>167570</xdr:rowOff>
    </xdr:to>
    <xdr:sp macro="" textlink="">
      <xdr:nvSpPr>
        <xdr:cNvPr id="23" name="Rectangle 22">
          <a:extLst>
            <a:ext uri="{FF2B5EF4-FFF2-40B4-BE49-F238E27FC236}">
              <a16:creationId xmlns:a16="http://schemas.microsoft.com/office/drawing/2014/main" id="{C2C46470-9842-5BFF-1750-21582E155605}"/>
            </a:ext>
          </a:extLst>
        </xdr:cNvPr>
        <xdr:cNvSpPr/>
      </xdr:nvSpPr>
      <xdr:spPr>
        <a:xfrm>
          <a:off x="11482913" y="564444"/>
          <a:ext cx="2011680" cy="899584"/>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35278</xdr:colOff>
      <xdr:row>6</xdr:row>
      <xdr:rowOff>0</xdr:rowOff>
    </xdr:from>
    <xdr:to>
      <xdr:col>5</xdr:col>
      <xdr:colOff>185208</xdr:colOff>
      <xdr:row>7</xdr:row>
      <xdr:rowOff>123473</xdr:rowOff>
    </xdr:to>
    <xdr:sp macro="" textlink="">
      <xdr:nvSpPr>
        <xdr:cNvPr id="24" name="TextBox 23">
          <a:extLst>
            <a:ext uri="{FF2B5EF4-FFF2-40B4-BE49-F238E27FC236}">
              <a16:creationId xmlns:a16="http://schemas.microsoft.com/office/drawing/2014/main" id="{0DF962F2-0D14-17FA-733F-B8523223D6B5}"/>
            </a:ext>
          </a:extLst>
        </xdr:cNvPr>
        <xdr:cNvSpPr txBox="1"/>
      </xdr:nvSpPr>
      <xdr:spPr>
        <a:xfrm>
          <a:off x="1860903" y="1111250"/>
          <a:ext cx="1367013" cy="3086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2">
                  <a:lumMod val="75000"/>
                </a:schemeClr>
              </a:solidFill>
            </a:rPr>
            <a:t>Total Sales</a:t>
          </a:r>
        </a:p>
      </xdr:txBody>
    </xdr:sp>
    <xdr:clientData/>
  </xdr:twoCellAnchor>
  <xdr:twoCellAnchor>
    <xdr:from>
      <xdr:col>6</xdr:col>
      <xdr:colOff>52918</xdr:colOff>
      <xdr:row>6</xdr:row>
      <xdr:rowOff>26458</xdr:rowOff>
    </xdr:from>
    <xdr:to>
      <xdr:col>8</xdr:col>
      <xdr:colOff>449793</xdr:colOff>
      <xdr:row>7</xdr:row>
      <xdr:rowOff>123473</xdr:rowOff>
    </xdr:to>
    <xdr:sp macro="" textlink="">
      <xdr:nvSpPr>
        <xdr:cNvPr id="25" name="TextBox 24">
          <a:extLst>
            <a:ext uri="{FF2B5EF4-FFF2-40B4-BE49-F238E27FC236}">
              <a16:creationId xmlns:a16="http://schemas.microsoft.com/office/drawing/2014/main" id="{F97AE1CE-FCEA-E176-0A12-E5E3F48C4481}"/>
            </a:ext>
          </a:extLst>
        </xdr:cNvPr>
        <xdr:cNvSpPr txBox="1"/>
      </xdr:nvSpPr>
      <xdr:spPr>
        <a:xfrm>
          <a:off x="3704168" y="1137708"/>
          <a:ext cx="1613958" cy="2822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tx2">
                  <a:lumMod val="75000"/>
                </a:schemeClr>
              </a:solidFill>
              <a:latin typeface="+mn-lt"/>
              <a:ea typeface="+mn-ea"/>
              <a:cs typeface="+mn-cs"/>
            </a:rPr>
            <a:t>Total Quantity</a:t>
          </a:r>
        </a:p>
      </xdr:txBody>
    </xdr:sp>
    <xdr:clientData/>
  </xdr:twoCellAnchor>
  <xdr:twoCellAnchor>
    <xdr:from>
      <xdr:col>9</xdr:col>
      <xdr:colOff>343959</xdr:colOff>
      <xdr:row>6</xdr:row>
      <xdr:rowOff>0</xdr:rowOff>
    </xdr:from>
    <xdr:to>
      <xdr:col>11</xdr:col>
      <xdr:colOff>493889</xdr:colOff>
      <xdr:row>7</xdr:row>
      <xdr:rowOff>123473</xdr:rowOff>
    </xdr:to>
    <xdr:sp macro="" textlink="">
      <xdr:nvSpPr>
        <xdr:cNvPr id="26" name="TextBox 25">
          <a:extLst>
            <a:ext uri="{FF2B5EF4-FFF2-40B4-BE49-F238E27FC236}">
              <a16:creationId xmlns:a16="http://schemas.microsoft.com/office/drawing/2014/main" id="{474B6EBF-27B4-03D1-B86B-7DBB248ED8D0}"/>
            </a:ext>
          </a:extLst>
        </xdr:cNvPr>
        <xdr:cNvSpPr txBox="1"/>
      </xdr:nvSpPr>
      <xdr:spPr>
        <a:xfrm>
          <a:off x="5820834" y="1111250"/>
          <a:ext cx="1367013" cy="3086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tx2">
                  <a:lumMod val="75000"/>
                </a:schemeClr>
              </a:solidFill>
              <a:latin typeface="+mn-lt"/>
              <a:ea typeface="+mn-ea"/>
              <a:cs typeface="+mn-cs"/>
            </a:rPr>
            <a:t>Profit</a:t>
          </a:r>
        </a:p>
      </xdr:txBody>
    </xdr:sp>
    <xdr:clientData/>
  </xdr:twoCellAnchor>
  <xdr:twoCellAnchor>
    <xdr:from>
      <xdr:col>12</xdr:col>
      <xdr:colOff>485070</xdr:colOff>
      <xdr:row>5</xdr:row>
      <xdr:rowOff>167571</xdr:rowOff>
    </xdr:from>
    <xdr:to>
      <xdr:col>15</xdr:col>
      <xdr:colOff>185209</xdr:colOff>
      <xdr:row>7</xdr:row>
      <xdr:rowOff>114655</xdr:rowOff>
    </xdr:to>
    <xdr:sp macro="" textlink="">
      <xdr:nvSpPr>
        <xdr:cNvPr id="27" name="TextBox 26">
          <a:extLst>
            <a:ext uri="{FF2B5EF4-FFF2-40B4-BE49-F238E27FC236}">
              <a16:creationId xmlns:a16="http://schemas.microsoft.com/office/drawing/2014/main" id="{6530E4C0-40F1-E503-E63A-2D11C6427BC0}"/>
            </a:ext>
          </a:extLst>
        </xdr:cNvPr>
        <xdr:cNvSpPr txBox="1"/>
      </xdr:nvSpPr>
      <xdr:spPr>
        <a:xfrm>
          <a:off x="7787570" y="1093613"/>
          <a:ext cx="1525764"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tx2">
                  <a:lumMod val="75000"/>
                </a:schemeClr>
              </a:solidFill>
              <a:latin typeface="+mn-lt"/>
              <a:ea typeface="+mn-ea"/>
              <a:cs typeface="+mn-cs"/>
            </a:rPr>
            <a:t>Customers</a:t>
          </a:r>
        </a:p>
      </xdr:txBody>
    </xdr:sp>
    <xdr:clientData/>
  </xdr:twoCellAnchor>
  <xdr:twoCellAnchor>
    <xdr:from>
      <xdr:col>18</xdr:col>
      <xdr:colOff>590900</xdr:colOff>
      <xdr:row>6</xdr:row>
      <xdr:rowOff>17640</xdr:rowOff>
    </xdr:from>
    <xdr:to>
      <xdr:col>21</xdr:col>
      <xdr:colOff>634997</xdr:colOff>
      <xdr:row>7</xdr:row>
      <xdr:rowOff>123474</xdr:rowOff>
    </xdr:to>
    <xdr:sp macro="" textlink="">
      <xdr:nvSpPr>
        <xdr:cNvPr id="30" name="TextBox 29">
          <a:extLst>
            <a:ext uri="{FF2B5EF4-FFF2-40B4-BE49-F238E27FC236}">
              <a16:creationId xmlns:a16="http://schemas.microsoft.com/office/drawing/2014/main" id="{C09969C0-1351-A3E4-0AA2-DBDA3B02BCB7}"/>
            </a:ext>
          </a:extLst>
        </xdr:cNvPr>
        <xdr:cNvSpPr txBox="1"/>
      </xdr:nvSpPr>
      <xdr:spPr>
        <a:xfrm>
          <a:off x="11544650" y="1128890"/>
          <a:ext cx="1869722" cy="2910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500" b="1">
              <a:solidFill>
                <a:schemeClr val="tx2">
                  <a:lumMod val="75000"/>
                </a:schemeClr>
              </a:solidFill>
              <a:latin typeface="+mn-lt"/>
              <a:ea typeface="+mn-ea"/>
              <a:cs typeface="+mn-cs"/>
            </a:rPr>
            <a:t>Average Order Value</a:t>
          </a:r>
        </a:p>
      </xdr:txBody>
    </xdr:sp>
    <xdr:clientData/>
  </xdr:twoCellAnchor>
  <xdr:twoCellAnchor>
    <xdr:from>
      <xdr:col>2</xdr:col>
      <xdr:colOff>529166</xdr:colOff>
      <xdr:row>3</xdr:row>
      <xdr:rowOff>141111</xdr:rowOff>
    </xdr:from>
    <xdr:to>
      <xdr:col>5</xdr:col>
      <xdr:colOff>299861</xdr:colOff>
      <xdr:row>5</xdr:row>
      <xdr:rowOff>176389</xdr:rowOff>
    </xdr:to>
    <xdr:sp macro="" textlink="Pivots!E19">
      <xdr:nvSpPr>
        <xdr:cNvPr id="32" name="TextBox 31">
          <a:extLst>
            <a:ext uri="{FF2B5EF4-FFF2-40B4-BE49-F238E27FC236}">
              <a16:creationId xmlns:a16="http://schemas.microsoft.com/office/drawing/2014/main" id="{FE4DC3A7-9E7A-D0E9-8825-CE6D59A059BF}"/>
            </a:ext>
          </a:extLst>
        </xdr:cNvPr>
        <xdr:cNvSpPr txBox="1"/>
      </xdr:nvSpPr>
      <xdr:spPr>
        <a:xfrm>
          <a:off x="1746249" y="696736"/>
          <a:ext cx="1596320" cy="4056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A949AA-9616-4CC8-931E-704394B075DD}" type="TxLink">
            <a:rPr lang="en-US" sz="2000" b="1" i="0" u="none" strike="noStrike">
              <a:solidFill>
                <a:srgbClr val="000000"/>
              </a:solidFill>
              <a:latin typeface="Calibri"/>
              <a:cs typeface="Calibri"/>
            </a:rPr>
            <a:t>₹ 8451.6 K</a:t>
          </a:fld>
          <a:endParaRPr lang="en-US" sz="2000" b="1"/>
        </a:p>
      </xdr:txBody>
    </xdr:sp>
    <xdr:clientData/>
  </xdr:twoCellAnchor>
  <xdr:twoCellAnchor>
    <xdr:from>
      <xdr:col>6</xdr:col>
      <xdr:colOff>282222</xdr:colOff>
      <xdr:row>3</xdr:row>
      <xdr:rowOff>141111</xdr:rowOff>
    </xdr:from>
    <xdr:to>
      <xdr:col>8</xdr:col>
      <xdr:colOff>476251</xdr:colOff>
      <xdr:row>5</xdr:row>
      <xdr:rowOff>105833</xdr:rowOff>
    </xdr:to>
    <xdr:sp macro="" textlink="Pivots!G19">
      <xdr:nvSpPr>
        <xdr:cNvPr id="34" name="TextBox 33">
          <a:extLst>
            <a:ext uri="{FF2B5EF4-FFF2-40B4-BE49-F238E27FC236}">
              <a16:creationId xmlns:a16="http://schemas.microsoft.com/office/drawing/2014/main" id="{2891FC45-1F55-520E-F29C-F7646C2EE896}"/>
            </a:ext>
          </a:extLst>
        </xdr:cNvPr>
        <xdr:cNvSpPr txBox="1"/>
      </xdr:nvSpPr>
      <xdr:spPr>
        <a:xfrm>
          <a:off x="3933472" y="696736"/>
          <a:ext cx="1411112" cy="3351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4B75AF5-5D2B-4A3B-8B25-CC28FB6572D0}" type="TxLink">
            <a:rPr lang="en-US" sz="2000" b="1" i="0" u="none" strike="noStrike">
              <a:solidFill>
                <a:srgbClr val="000000"/>
              </a:solidFill>
              <a:latin typeface="Calibri"/>
              <a:ea typeface="+mn-ea"/>
              <a:cs typeface="Calibri"/>
            </a:rPr>
            <a:pPr marL="0" indent="0" algn="ctr"/>
            <a:t> 986 </a:t>
          </a:fld>
          <a:endParaRPr lang="en-US" sz="2000" b="1" i="0" u="none" strike="noStrike">
            <a:solidFill>
              <a:srgbClr val="000000"/>
            </a:solidFill>
            <a:latin typeface="Calibri"/>
            <a:ea typeface="+mn-ea"/>
            <a:cs typeface="Calibri"/>
          </a:endParaRPr>
        </a:p>
      </xdr:txBody>
    </xdr:sp>
    <xdr:clientData/>
  </xdr:twoCellAnchor>
  <xdr:twoCellAnchor>
    <xdr:from>
      <xdr:col>9</xdr:col>
      <xdr:colOff>282222</xdr:colOff>
      <xdr:row>3</xdr:row>
      <xdr:rowOff>149931</xdr:rowOff>
    </xdr:from>
    <xdr:to>
      <xdr:col>12</xdr:col>
      <xdr:colOff>44097</xdr:colOff>
      <xdr:row>5</xdr:row>
      <xdr:rowOff>176389</xdr:rowOff>
    </xdr:to>
    <xdr:sp macro="" textlink="Pivots!D19">
      <xdr:nvSpPr>
        <xdr:cNvPr id="35" name="TextBox 34">
          <a:extLst>
            <a:ext uri="{FF2B5EF4-FFF2-40B4-BE49-F238E27FC236}">
              <a16:creationId xmlns:a16="http://schemas.microsoft.com/office/drawing/2014/main" id="{5FF735CC-61CD-2F29-56A2-74910F0749E3}"/>
            </a:ext>
          </a:extLst>
        </xdr:cNvPr>
        <xdr:cNvSpPr txBox="1"/>
      </xdr:nvSpPr>
      <xdr:spPr>
        <a:xfrm>
          <a:off x="5759097" y="705556"/>
          <a:ext cx="1587500" cy="396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688C3A-F8E6-420C-BD1B-B3B207717F5C}" type="TxLink">
            <a:rPr lang="en-US" sz="2000" b="1" i="0" u="none" strike="noStrike">
              <a:solidFill>
                <a:srgbClr val="000000"/>
              </a:solidFill>
              <a:latin typeface="Calibri"/>
              <a:ea typeface="+mn-ea"/>
              <a:cs typeface="Calibri"/>
            </a:rPr>
            <a:pPr marL="0" indent="0"/>
            <a:t>₹ 666.7 K</a:t>
          </a:fld>
          <a:endParaRPr lang="en-US" sz="2000" b="1" i="0" u="none" strike="noStrike">
            <a:solidFill>
              <a:srgbClr val="000000"/>
            </a:solidFill>
            <a:latin typeface="Calibri"/>
            <a:ea typeface="+mn-ea"/>
            <a:cs typeface="Calibri"/>
          </a:endParaRPr>
        </a:p>
      </xdr:txBody>
    </xdr:sp>
    <xdr:clientData/>
  </xdr:twoCellAnchor>
  <xdr:twoCellAnchor>
    <xdr:from>
      <xdr:col>12</xdr:col>
      <xdr:colOff>493888</xdr:colOff>
      <xdr:row>3</xdr:row>
      <xdr:rowOff>158750</xdr:rowOff>
    </xdr:from>
    <xdr:to>
      <xdr:col>15</xdr:col>
      <xdr:colOff>79375</xdr:colOff>
      <xdr:row>5</xdr:row>
      <xdr:rowOff>123472</xdr:rowOff>
    </xdr:to>
    <xdr:sp macro="" textlink="Pivots!G19">
      <xdr:nvSpPr>
        <xdr:cNvPr id="36" name="TextBox 35">
          <a:extLst>
            <a:ext uri="{FF2B5EF4-FFF2-40B4-BE49-F238E27FC236}">
              <a16:creationId xmlns:a16="http://schemas.microsoft.com/office/drawing/2014/main" id="{7073448E-3809-74FC-CFE5-01328CED44C2}"/>
            </a:ext>
          </a:extLst>
        </xdr:cNvPr>
        <xdr:cNvSpPr txBox="1"/>
      </xdr:nvSpPr>
      <xdr:spPr>
        <a:xfrm>
          <a:off x="7796388" y="714375"/>
          <a:ext cx="1411112" cy="3351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97DAF7-EE00-493D-834D-A2BC28018362}" type="TxLink">
            <a:rPr lang="en-US" sz="2000" b="1" i="0" u="none" strike="noStrike">
              <a:solidFill>
                <a:srgbClr val="000000"/>
              </a:solidFill>
              <a:latin typeface="Calibri"/>
              <a:cs typeface="Calibri"/>
            </a:rPr>
            <a:pPr algn="ctr"/>
            <a:t> 986 </a:t>
          </a:fld>
          <a:endParaRPr lang="en-US" sz="2000" b="1"/>
        </a:p>
      </xdr:txBody>
    </xdr:sp>
    <xdr:clientData/>
  </xdr:twoCellAnchor>
  <xdr:twoCellAnchor>
    <xdr:from>
      <xdr:col>19</xdr:col>
      <xdr:colOff>185204</xdr:colOff>
      <xdr:row>3</xdr:row>
      <xdr:rowOff>158750</xdr:rowOff>
    </xdr:from>
    <xdr:to>
      <xdr:col>21</xdr:col>
      <xdr:colOff>379233</xdr:colOff>
      <xdr:row>5</xdr:row>
      <xdr:rowOff>123472</xdr:rowOff>
    </xdr:to>
    <xdr:sp macro="" textlink="Pivots!H19">
      <xdr:nvSpPr>
        <xdr:cNvPr id="37" name="TextBox 36">
          <a:extLst>
            <a:ext uri="{FF2B5EF4-FFF2-40B4-BE49-F238E27FC236}">
              <a16:creationId xmlns:a16="http://schemas.microsoft.com/office/drawing/2014/main" id="{070E6778-005A-71E3-D309-71A0E22B4972}"/>
            </a:ext>
          </a:extLst>
        </xdr:cNvPr>
        <xdr:cNvSpPr txBox="1"/>
      </xdr:nvSpPr>
      <xdr:spPr>
        <a:xfrm>
          <a:off x="11747496" y="714375"/>
          <a:ext cx="1411112" cy="3351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257B580-2442-4225-9106-DD40B3EDCC02}" type="TxLink">
            <a:rPr lang="en-US" sz="2000" b="1" i="0" u="none" strike="noStrike">
              <a:solidFill>
                <a:srgbClr val="000000"/>
              </a:solidFill>
              <a:latin typeface="Calibri"/>
              <a:ea typeface="+mn-ea"/>
              <a:cs typeface="Calibri"/>
            </a:rPr>
            <a:pPr marL="0" indent="0" algn="ctr"/>
            <a:t>₹ 16.8 K</a:t>
          </a:fld>
          <a:endParaRPr lang="en-US" sz="2000" b="1" i="0" u="none" strike="noStrike">
            <a:solidFill>
              <a:srgbClr val="000000"/>
            </a:solidFill>
            <a:latin typeface="Calibri"/>
            <a:ea typeface="+mn-ea"/>
            <a:cs typeface="Calibri"/>
          </a:endParaRPr>
        </a:p>
      </xdr:txBody>
    </xdr:sp>
    <xdr:clientData/>
  </xdr:twoCellAnchor>
  <xdr:twoCellAnchor>
    <xdr:from>
      <xdr:col>18</xdr:col>
      <xdr:colOff>573265</xdr:colOff>
      <xdr:row>8</xdr:row>
      <xdr:rowOff>17639</xdr:rowOff>
    </xdr:from>
    <xdr:to>
      <xdr:col>24</xdr:col>
      <xdr:colOff>467432</xdr:colOff>
      <xdr:row>39</xdr:row>
      <xdr:rowOff>123472</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5740F8D1-D7C8-4E94-A1B2-E715347E6E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527015" y="1499306"/>
              <a:ext cx="3774723" cy="58472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723191</xdr:colOff>
      <xdr:row>3</xdr:row>
      <xdr:rowOff>8819</xdr:rowOff>
    </xdr:from>
    <xdr:to>
      <xdr:col>24</xdr:col>
      <xdr:colOff>453572</xdr:colOff>
      <xdr:row>7</xdr:row>
      <xdr:rowOff>167570</xdr:rowOff>
    </xdr:to>
    <xdr:sp macro="" textlink="">
      <xdr:nvSpPr>
        <xdr:cNvPr id="39" name="Rectangle 38">
          <a:extLst>
            <a:ext uri="{FF2B5EF4-FFF2-40B4-BE49-F238E27FC236}">
              <a16:creationId xmlns:a16="http://schemas.microsoft.com/office/drawing/2014/main" id="{2AE6EE41-BD6C-485B-85CD-DCD297E99A71}"/>
            </a:ext>
          </a:extLst>
        </xdr:cNvPr>
        <xdr:cNvSpPr/>
      </xdr:nvSpPr>
      <xdr:spPr>
        <a:xfrm>
          <a:off x="13513905" y="553105"/>
          <a:ext cx="1790891" cy="884465"/>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771969</xdr:colOff>
      <xdr:row>6</xdr:row>
      <xdr:rowOff>35279</xdr:rowOff>
    </xdr:from>
    <xdr:to>
      <xdr:col>24</xdr:col>
      <xdr:colOff>427654</xdr:colOff>
      <xdr:row>7</xdr:row>
      <xdr:rowOff>116634</xdr:rowOff>
    </xdr:to>
    <xdr:sp macro="" textlink="">
      <xdr:nvSpPr>
        <xdr:cNvPr id="40" name="TextBox 39">
          <a:extLst>
            <a:ext uri="{FF2B5EF4-FFF2-40B4-BE49-F238E27FC236}">
              <a16:creationId xmlns:a16="http://schemas.microsoft.com/office/drawing/2014/main" id="{FA8DB547-AF13-9167-6C43-5D047FC35864}"/>
            </a:ext>
          </a:extLst>
        </xdr:cNvPr>
        <xdr:cNvSpPr txBox="1"/>
      </xdr:nvSpPr>
      <xdr:spPr>
        <a:xfrm>
          <a:off x="13562683" y="1123850"/>
          <a:ext cx="1716195" cy="2627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500" b="1">
              <a:solidFill>
                <a:schemeClr val="tx2">
                  <a:lumMod val="75000"/>
                </a:schemeClr>
              </a:solidFill>
              <a:latin typeface="+mn-lt"/>
              <a:ea typeface="+mn-ea"/>
              <a:cs typeface="+mn-cs"/>
            </a:rPr>
            <a:t>Average Discount</a:t>
          </a:r>
          <a:endParaRPr lang="en-US" sz="1500" b="1" baseline="0">
            <a:solidFill>
              <a:schemeClr val="tx2">
                <a:lumMod val="75000"/>
              </a:schemeClr>
            </a:solidFill>
            <a:latin typeface="+mn-lt"/>
            <a:ea typeface="+mn-ea"/>
            <a:cs typeface="+mn-cs"/>
          </a:endParaRPr>
        </a:p>
      </xdr:txBody>
    </xdr:sp>
    <xdr:clientData/>
  </xdr:twoCellAnchor>
  <xdr:twoCellAnchor>
    <xdr:from>
      <xdr:col>22</xdr:col>
      <xdr:colOff>79371</xdr:colOff>
      <xdr:row>3</xdr:row>
      <xdr:rowOff>158750</xdr:rowOff>
    </xdr:from>
    <xdr:to>
      <xdr:col>24</xdr:col>
      <xdr:colOff>273399</xdr:colOff>
      <xdr:row>5</xdr:row>
      <xdr:rowOff>123472</xdr:rowOff>
    </xdr:to>
    <xdr:sp macro="" textlink="Pivots!I19">
      <xdr:nvSpPr>
        <xdr:cNvPr id="41" name="TextBox 40">
          <a:extLst>
            <a:ext uri="{FF2B5EF4-FFF2-40B4-BE49-F238E27FC236}">
              <a16:creationId xmlns:a16="http://schemas.microsoft.com/office/drawing/2014/main" id="{DC1B0655-7348-E06B-4432-E22B95EB6F29}"/>
            </a:ext>
          </a:extLst>
        </xdr:cNvPr>
        <xdr:cNvSpPr txBox="1"/>
      </xdr:nvSpPr>
      <xdr:spPr>
        <a:xfrm>
          <a:off x="13696593" y="714375"/>
          <a:ext cx="1411112" cy="3351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E04F81A-32B2-4FC9-B5EC-FC69B36C3819}" type="TxLink">
            <a:rPr lang="en-US" sz="2000" b="1" i="0" u="none" strike="noStrike">
              <a:solidFill>
                <a:schemeClr val="tx2">
                  <a:lumMod val="50000"/>
                </a:schemeClr>
              </a:solidFill>
              <a:latin typeface="Calibri"/>
              <a:ea typeface="+mn-ea"/>
              <a:cs typeface="Calibri"/>
            </a:rPr>
            <a:t>10.1%</a:t>
          </a:fld>
          <a:endParaRPr lang="en-US" sz="2000" b="1" i="0" u="none" strike="noStrike">
            <a:solidFill>
              <a:schemeClr val="tx2">
                <a:lumMod val="50000"/>
              </a:schemeClr>
            </a:solidFill>
            <a:latin typeface="Calibri"/>
            <a:ea typeface="+mn-ea"/>
            <a:cs typeface="Calibri"/>
          </a:endParaRPr>
        </a:p>
      </xdr:txBody>
    </xdr:sp>
    <xdr:clientData/>
  </xdr:twoCellAnchor>
  <xdr:twoCellAnchor>
    <xdr:from>
      <xdr:col>15</xdr:col>
      <xdr:colOff>396879</xdr:colOff>
      <xdr:row>3</xdr:row>
      <xdr:rowOff>8820</xdr:rowOff>
    </xdr:from>
    <xdr:to>
      <xdr:col>18</xdr:col>
      <xdr:colOff>511532</xdr:colOff>
      <xdr:row>7</xdr:row>
      <xdr:rowOff>167571</xdr:rowOff>
    </xdr:to>
    <xdr:sp macro="" textlink="">
      <xdr:nvSpPr>
        <xdr:cNvPr id="42" name="Rectangle 41">
          <a:extLst>
            <a:ext uri="{FF2B5EF4-FFF2-40B4-BE49-F238E27FC236}">
              <a16:creationId xmlns:a16="http://schemas.microsoft.com/office/drawing/2014/main" id="{B7DCD40B-2B94-3249-A33F-9869DBF1B701}"/>
            </a:ext>
          </a:extLst>
        </xdr:cNvPr>
        <xdr:cNvSpPr/>
      </xdr:nvSpPr>
      <xdr:spPr>
        <a:xfrm>
          <a:off x="9525004" y="564445"/>
          <a:ext cx="1940278" cy="899584"/>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70555</xdr:colOff>
      <xdr:row>0</xdr:row>
      <xdr:rowOff>132292</xdr:rowOff>
    </xdr:from>
    <xdr:to>
      <xdr:col>22</xdr:col>
      <xdr:colOff>326319</xdr:colOff>
      <xdr:row>2</xdr:row>
      <xdr:rowOff>70556</xdr:rowOff>
    </xdr:to>
    <xdr:sp macro="" textlink="">
      <xdr:nvSpPr>
        <xdr:cNvPr id="12" name="TextBox 11">
          <a:hlinkClick xmlns:r="http://schemas.openxmlformats.org/officeDocument/2006/relationships" r:id="rId7" tooltip="Navigate to Original Data"/>
          <a:extLst>
            <a:ext uri="{FF2B5EF4-FFF2-40B4-BE49-F238E27FC236}">
              <a16:creationId xmlns:a16="http://schemas.microsoft.com/office/drawing/2014/main" id="{34A9C73B-55AB-5B07-F104-EEEC2FB6F5E9}"/>
            </a:ext>
          </a:extLst>
        </xdr:cNvPr>
        <xdr:cNvSpPr txBox="1"/>
      </xdr:nvSpPr>
      <xdr:spPr>
        <a:xfrm>
          <a:off x="12849930" y="132292"/>
          <a:ext cx="1093611" cy="308681"/>
        </a:xfrm>
        <a:prstGeom prst="rect">
          <a:avLst/>
        </a:prstGeom>
        <a:solidFill>
          <a:schemeClr val="bg1"/>
        </a:solidFill>
        <a:ln w="9525" cmpd="sng">
          <a:solidFill>
            <a:schemeClr val="lt1">
              <a:shade val="50000"/>
            </a:schemeClr>
          </a:solidFill>
        </a:ln>
        <a:effectLst>
          <a:outerShdw blurRad="50800" dist="38100" dir="2700000" algn="tl" rotWithShape="0">
            <a:prstClr val="black">
              <a:alpha val="40000"/>
            </a:prst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2">
                  <a:lumMod val="75000"/>
                </a:schemeClr>
              </a:solidFill>
            </a:rPr>
            <a:t>Data</a:t>
          </a:r>
        </a:p>
      </xdr:txBody>
    </xdr:sp>
    <xdr:clientData/>
  </xdr:twoCellAnchor>
  <xdr:twoCellAnchor>
    <xdr:from>
      <xdr:col>22</xdr:col>
      <xdr:colOff>502710</xdr:colOff>
      <xdr:row>0</xdr:row>
      <xdr:rowOff>133094</xdr:rowOff>
    </xdr:from>
    <xdr:to>
      <xdr:col>24</xdr:col>
      <xdr:colOff>379237</xdr:colOff>
      <xdr:row>2</xdr:row>
      <xdr:rowOff>71358</xdr:rowOff>
    </xdr:to>
    <xdr:sp macro="" textlink="">
      <xdr:nvSpPr>
        <xdr:cNvPr id="13" name="TextBox 12">
          <a:hlinkClick xmlns:r="http://schemas.openxmlformats.org/officeDocument/2006/relationships" r:id="rId8" tooltip="Email the Admin"/>
          <a:extLst>
            <a:ext uri="{FF2B5EF4-FFF2-40B4-BE49-F238E27FC236}">
              <a16:creationId xmlns:a16="http://schemas.microsoft.com/office/drawing/2014/main" id="{010EA5C9-947D-43A1-9806-1642080A953E}"/>
            </a:ext>
          </a:extLst>
        </xdr:cNvPr>
        <xdr:cNvSpPr txBox="1"/>
      </xdr:nvSpPr>
      <xdr:spPr>
        <a:xfrm>
          <a:off x="14119932" y="133094"/>
          <a:ext cx="1093611" cy="308681"/>
        </a:xfrm>
        <a:prstGeom prst="rect">
          <a:avLst/>
        </a:prstGeom>
        <a:solidFill>
          <a:schemeClr val="bg1"/>
        </a:solidFill>
        <a:ln w="9525" cmpd="sng">
          <a:solidFill>
            <a:schemeClr val="lt1">
              <a:shade val="50000"/>
            </a:schemeClr>
          </a:solidFill>
        </a:ln>
        <a:effectLst>
          <a:outerShdw blurRad="50800" dist="38100" dir="2700000" algn="tl" rotWithShape="0">
            <a:prstClr val="black">
              <a:alpha val="40000"/>
            </a:prst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2">
                  <a:lumMod val="75000"/>
                </a:schemeClr>
              </a:solidFill>
            </a:rPr>
            <a:t>Contact</a:t>
          </a:r>
        </a:p>
      </xdr:txBody>
    </xdr:sp>
    <xdr:clientData/>
  </xdr:twoCellAnchor>
  <xdr:twoCellAnchor>
    <xdr:from>
      <xdr:col>15</xdr:col>
      <xdr:colOff>493893</xdr:colOff>
      <xdr:row>6</xdr:row>
      <xdr:rowOff>35279</xdr:rowOff>
    </xdr:from>
    <xdr:to>
      <xdr:col>18</xdr:col>
      <xdr:colOff>388059</xdr:colOff>
      <xdr:row>7</xdr:row>
      <xdr:rowOff>123475</xdr:rowOff>
    </xdr:to>
    <xdr:sp macro="" textlink="">
      <xdr:nvSpPr>
        <xdr:cNvPr id="43" name="TextBox 42">
          <a:extLst>
            <a:ext uri="{FF2B5EF4-FFF2-40B4-BE49-F238E27FC236}">
              <a16:creationId xmlns:a16="http://schemas.microsoft.com/office/drawing/2014/main" id="{A43015B6-AB03-ACA1-F9B0-B9F1E7E061F6}"/>
            </a:ext>
          </a:extLst>
        </xdr:cNvPr>
        <xdr:cNvSpPr txBox="1"/>
      </xdr:nvSpPr>
      <xdr:spPr>
        <a:xfrm>
          <a:off x="9622018" y="1146529"/>
          <a:ext cx="1719791" cy="2734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500" b="1">
              <a:solidFill>
                <a:schemeClr val="tx2">
                  <a:lumMod val="75000"/>
                </a:schemeClr>
              </a:solidFill>
              <a:latin typeface="+mn-lt"/>
              <a:ea typeface="+mn-ea"/>
              <a:cs typeface="+mn-cs"/>
            </a:rPr>
            <a:t>Orders</a:t>
          </a:r>
          <a:endParaRPr lang="en-US" sz="1500" b="1" baseline="0">
            <a:solidFill>
              <a:schemeClr val="tx2">
                <a:lumMod val="75000"/>
              </a:schemeClr>
            </a:solidFill>
            <a:latin typeface="+mn-lt"/>
            <a:ea typeface="+mn-ea"/>
            <a:cs typeface="+mn-cs"/>
          </a:endParaRPr>
        </a:p>
      </xdr:txBody>
    </xdr:sp>
    <xdr:clientData/>
  </xdr:twoCellAnchor>
  <xdr:twoCellAnchor>
    <xdr:from>
      <xdr:col>16</xdr:col>
      <xdr:colOff>17640</xdr:colOff>
      <xdr:row>3</xdr:row>
      <xdr:rowOff>158751</xdr:rowOff>
    </xdr:from>
    <xdr:to>
      <xdr:col>18</xdr:col>
      <xdr:colOff>211669</xdr:colOff>
      <xdr:row>5</xdr:row>
      <xdr:rowOff>123473</xdr:rowOff>
    </xdr:to>
    <xdr:sp macro="" textlink="Pivots!J19">
      <xdr:nvSpPr>
        <xdr:cNvPr id="44" name="TextBox 43">
          <a:extLst>
            <a:ext uri="{FF2B5EF4-FFF2-40B4-BE49-F238E27FC236}">
              <a16:creationId xmlns:a16="http://schemas.microsoft.com/office/drawing/2014/main" id="{9B7238EA-1068-2E00-4248-A716430AABD7}"/>
            </a:ext>
          </a:extLst>
        </xdr:cNvPr>
        <xdr:cNvSpPr txBox="1"/>
      </xdr:nvSpPr>
      <xdr:spPr>
        <a:xfrm>
          <a:off x="9754307" y="714376"/>
          <a:ext cx="1411112" cy="3351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1399997-E29F-4E34-84D3-731FA7BA8AC9}" type="TxLink">
            <a:rPr lang="en-US" sz="2000" b="1" i="0" u="none" strike="noStrike">
              <a:solidFill>
                <a:srgbClr val="000000"/>
              </a:solidFill>
              <a:latin typeface="Calibri"/>
              <a:ea typeface="+mn-ea"/>
              <a:cs typeface="Calibri"/>
            </a:rPr>
            <a:pPr marL="0" indent="0" algn="ctr"/>
            <a:t> 503 </a:t>
          </a:fld>
          <a:endParaRPr lang="en-US" sz="2000" b="1" i="0" u="none" strike="noStrike">
            <a:solidFill>
              <a:srgbClr val="000000"/>
            </a:solidFill>
            <a:latin typeface="Calibri"/>
            <a:ea typeface="+mn-ea"/>
            <a:cs typeface="Calibri"/>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317500</xdr:colOff>
      <xdr:row>3</xdr:row>
      <xdr:rowOff>8819</xdr:rowOff>
    </xdr:from>
    <xdr:to>
      <xdr:col>5</xdr:col>
      <xdr:colOff>468277</xdr:colOff>
      <xdr:row>7</xdr:row>
      <xdr:rowOff>176389</xdr:rowOff>
    </xdr:to>
    <xdr:sp macro="" textlink="">
      <xdr:nvSpPr>
        <xdr:cNvPr id="2" name="Rectangle 1">
          <a:extLst>
            <a:ext uri="{FF2B5EF4-FFF2-40B4-BE49-F238E27FC236}">
              <a16:creationId xmlns:a16="http://schemas.microsoft.com/office/drawing/2014/main" id="{2A97172A-4997-4531-98F8-EAA7A97AAE6C}"/>
            </a:ext>
          </a:extLst>
        </xdr:cNvPr>
        <xdr:cNvSpPr/>
      </xdr:nvSpPr>
      <xdr:spPr>
        <a:xfrm>
          <a:off x="1536700" y="561269"/>
          <a:ext cx="1979577" cy="904170"/>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308681</xdr:colOff>
      <xdr:row>0</xdr:row>
      <xdr:rowOff>36080</xdr:rowOff>
    </xdr:from>
    <xdr:to>
      <xdr:col>24</xdr:col>
      <xdr:colOff>440614</xdr:colOff>
      <xdr:row>3</xdr:row>
      <xdr:rowOff>0</xdr:rowOff>
    </xdr:to>
    <xdr:sp macro="" textlink="">
      <xdr:nvSpPr>
        <xdr:cNvPr id="9" name="TextBox 8">
          <a:extLst>
            <a:ext uri="{FF2B5EF4-FFF2-40B4-BE49-F238E27FC236}">
              <a16:creationId xmlns:a16="http://schemas.microsoft.com/office/drawing/2014/main" id="{A731ADAC-1246-4431-8F80-788C5EC4B401}"/>
            </a:ext>
          </a:extLst>
        </xdr:cNvPr>
        <xdr:cNvSpPr txBox="1"/>
      </xdr:nvSpPr>
      <xdr:spPr>
        <a:xfrm>
          <a:off x="1527881" y="36080"/>
          <a:ext cx="13771733" cy="51637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tx2">
                  <a:lumMod val="75000"/>
                </a:schemeClr>
              </a:solidFill>
            </a:rPr>
            <a:t>Inspecting</a:t>
          </a:r>
          <a:r>
            <a:rPr lang="en-US" sz="2400" b="1" baseline="0">
              <a:solidFill>
                <a:schemeClr val="tx2">
                  <a:lumMod val="75000"/>
                </a:schemeClr>
              </a:solidFill>
            </a:rPr>
            <a:t> High Sales and Low Profit in North Region</a:t>
          </a:r>
          <a:endParaRPr lang="en-US" sz="2400" b="1">
            <a:solidFill>
              <a:schemeClr val="tx2">
                <a:lumMod val="75000"/>
              </a:schemeClr>
            </a:solidFill>
          </a:endParaRPr>
        </a:p>
      </xdr:txBody>
    </xdr:sp>
    <xdr:clientData/>
  </xdr:twoCellAnchor>
  <xdr:twoCellAnchor>
    <xdr:from>
      <xdr:col>5</xdr:col>
      <xdr:colOff>467430</xdr:colOff>
      <xdr:row>3</xdr:row>
      <xdr:rowOff>8819</xdr:rowOff>
    </xdr:from>
    <xdr:to>
      <xdr:col>9</xdr:col>
      <xdr:colOff>44943</xdr:colOff>
      <xdr:row>7</xdr:row>
      <xdr:rowOff>167570</xdr:rowOff>
    </xdr:to>
    <xdr:sp macro="" textlink="">
      <xdr:nvSpPr>
        <xdr:cNvPr id="11" name="Rectangle 10">
          <a:extLst>
            <a:ext uri="{FF2B5EF4-FFF2-40B4-BE49-F238E27FC236}">
              <a16:creationId xmlns:a16="http://schemas.microsoft.com/office/drawing/2014/main" id="{14C7BCAB-EAFA-48D1-9EA9-8825046E27EE}"/>
            </a:ext>
          </a:extLst>
        </xdr:cNvPr>
        <xdr:cNvSpPr/>
      </xdr:nvSpPr>
      <xdr:spPr>
        <a:xfrm>
          <a:off x="3515430" y="561269"/>
          <a:ext cx="2015913" cy="895351"/>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26457</xdr:colOff>
      <xdr:row>3</xdr:row>
      <xdr:rowOff>8819</xdr:rowOff>
    </xdr:from>
    <xdr:to>
      <xdr:col>12</xdr:col>
      <xdr:colOff>212512</xdr:colOff>
      <xdr:row>7</xdr:row>
      <xdr:rowOff>167570</xdr:rowOff>
    </xdr:to>
    <xdr:sp macro="" textlink="">
      <xdr:nvSpPr>
        <xdr:cNvPr id="12" name="Rectangle 11">
          <a:extLst>
            <a:ext uri="{FF2B5EF4-FFF2-40B4-BE49-F238E27FC236}">
              <a16:creationId xmlns:a16="http://schemas.microsoft.com/office/drawing/2014/main" id="{9323FFA8-A99E-4F70-9BD3-7907A4A915C0}"/>
            </a:ext>
          </a:extLst>
        </xdr:cNvPr>
        <xdr:cNvSpPr/>
      </xdr:nvSpPr>
      <xdr:spPr>
        <a:xfrm>
          <a:off x="5512857" y="561269"/>
          <a:ext cx="2014855" cy="895351"/>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211666</xdr:colOff>
      <xdr:row>3</xdr:row>
      <xdr:rowOff>8819</xdr:rowOff>
    </xdr:from>
    <xdr:to>
      <xdr:col>15</xdr:col>
      <xdr:colOff>397721</xdr:colOff>
      <xdr:row>7</xdr:row>
      <xdr:rowOff>167570</xdr:rowOff>
    </xdr:to>
    <xdr:sp macro="" textlink="">
      <xdr:nvSpPr>
        <xdr:cNvPr id="13" name="Rectangle 12">
          <a:extLst>
            <a:ext uri="{FF2B5EF4-FFF2-40B4-BE49-F238E27FC236}">
              <a16:creationId xmlns:a16="http://schemas.microsoft.com/office/drawing/2014/main" id="{2913393D-C28E-41A5-A1DA-7330BC48897B}"/>
            </a:ext>
          </a:extLst>
        </xdr:cNvPr>
        <xdr:cNvSpPr/>
      </xdr:nvSpPr>
      <xdr:spPr>
        <a:xfrm>
          <a:off x="7526866" y="561269"/>
          <a:ext cx="2014855" cy="895351"/>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529163</xdr:colOff>
      <xdr:row>3</xdr:row>
      <xdr:rowOff>8819</xdr:rowOff>
    </xdr:from>
    <xdr:to>
      <xdr:col>21</xdr:col>
      <xdr:colOff>715218</xdr:colOff>
      <xdr:row>7</xdr:row>
      <xdr:rowOff>167570</xdr:rowOff>
    </xdr:to>
    <xdr:sp macro="" textlink="">
      <xdr:nvSpPr>
        <xdr:cNvPr id="14" name="Rectangle 13">
          <a:extLst>
            <a:ext uri="{FF2B5EF4-FFF2-40B4-BE49-F238E27FC236}">
              <a16:creationId xmlns:a16="http://schemas.microsoft.com/office/drawing/2014/main" id="{5A4E651F-4F25-41C4-8C59-E101BBFA76BC}"/>
            </a:ext>
          </a:extLst>
        </xdr:cNvPr>
        <xdr:cNvSpPr/>
      </xdr:nvSpPr>
      <xdr:spPr>
        <a:xfrm>
          <a:off x="11501963" y="561269"/>
          <a:ext cx="2014855" cy="895351"/>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35278</xdr:colOff>
      <xdr:row>6</xdr:row>
      <xdr:rowOff>0</xdr:rowOff>
    </xdr:from>
    <xdr:to>
      <xdr:col>5</xdr:col>
      <xdr:colOff>185208</xdr:colOff>
      <xdr:row>7</xdr:row>
      <xdr:rowOff>123473</xdr:rowOff>
    </xdr:to>
    <xdr:sp macro="" textlink="">
      <xdr:nvSpPr>
        <xdr:cNvPr id="15" name="TextBox 14">
          <a:extLst>
            <a:ext uri="{FF2B5EF4-FFF2-40B4-BE49-F238E27FC236}">
              <a16:creationId xmlns:a16="http://schemas.microsoft.com/office/drawing/2014/main" id="{9768D613-81C5-4963-A6A2-F70330475DC3}"/>
            </a:ext>
          </a:extLst>
        </xdr:cNvPr>
        <xdr:cNvSpPr txBox="1"/>
      </xdr:nvSpPr>
      <xdr:spPr>
        <a:xfrm>
          <a:off x="1864078" y="1104900"/>
          <a:ext cx="1369130" cy="3076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2">
                  <a:lumMod val="75000"/>
                </a:schemeClr>
              </a:solidFill>
            </a:rPr>
            <a:t>Total Sales</a:t>
          </a:r>
        </a:p>
      </xdr:txBody>
    </xdr:sp>
    <xdr:clientData/>
  </xdr:twoCellAnchor>
  <xdr:twoCellAnchor>
    <xdr:from>
      <xdr:col>6</xdr:col>
      <xdr:colOff>52918</xdr:colOff>
      <xdr:row>6</xdr:row>
      <xdr:rowOff>26458</xdr:rowOff>
    </xdr:from>
    <xdr:to>
      <xdr:col>8</xdr:col>
      <xdr:colOff>449793</xdr:colOff>
      <xdr:row>7</xdr:row>
      <xdr:rowOff>123473</xdr:rowOff>
    </xdr:to>
    <xdr:sp macro="" textlink="">
      <xdr:nvSpPr>
        <xdr:cNvPr id="16" name="TextBox 15">
          <a:extLst>
            <a:ext uri="{FF2B5EF4-FFF2-40B4-BE49-F238E27FC236}">
              <a16:creationId xmlns:a16="http://schemas.microsoft.com/office/drawing/2014/main" id="{815734D2-354B-4ED1-BE28-2B1E2A13E76C}"/>
            </a:ext>
          </a:extLst>
        </xdr:cNvPr>
        <xdr:cNvSpPr txBox="1"/>
      </xdr:nvSpPr>
      <xdr:spPr>
        <a:xfrm>
          <a:off x="3710518" y="1131358"/>
          <a:ext cx="1616075" cy="2811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tx2">
                  <a:lumMod val="75000"/>
                </a:schemeClr>
              </a:solidFill>
              <a:latin typeface="+mn-lt"/>
              <a:ea typeface="+mn-ea"/>
              <a:cs typeface="+mn-cs"/>
            </a:rPr>
            <a:t>Total Quantity</a:t>
          </a:r>
        </a:p>
      </xdr:txBody>
    </xdr:sp>
    <xdr:clientData/>
  </xdr:twoCellAnchor>
  <xdr:twoCellAnchor>
    <xdr:from>
      <xdr:col>9</xdr:col>
      <xdr:colOff>343959</xdr:colOff>
      <xdr:row>6</xdr:row>
      <xdr:rowOff>0</xdr:rowOff>
    </xdr:from>
    <xdr:to>
      <xdr:col>11</xdr:col>
      <xdr:colOff>493889</xdr:colOff>
      <xdr:row>7</xdr:row>
      <xdr:rowOff>123473</xdr:rowOff>
    </xdr:to>
    <xdr:sp macro="" textlink="">
      <xdr:nvSpPr>
        <xdr:cNvPr id="17" name="TextBox 16">
          <a:extLst>
            <a:ext uri="{FF2B5EF4-FFF2-40B4-BE49-F238E27FC236}">
              <a16:creationId xmlns:a16="http://schemas.microsoft.com/office/drawing/2014/main" id="{70D3783E-36F2-4D50-BC9E-4A329CB6F6BB}"/>
            </a:ext>
          </a:extLst>
        </xdr:cNvPr>
        <xdr:cNvSpPr txBox="1"/>
      </xdr:nvSpPr>
      <xdr:spPr>
        <a:xfrm>
          <a:off x="5830359" y="1104900"/>
          <a:ext cx="1369130" cy="3076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tx2">
                  <a:lumMod val="75000"/>
                </a:schemeClr>
              </a:solidFill>
              <a:latin typeface="+mn-lt"/>
              <a:ea typeface="+mn-ea"/>
              <a:cs typeface="+mn-cs"/>
            </a:rPr>
            <a:t>Profit</a:t>
          </a:r>
        </a:p>
      </xdr:txBody>
    </xdr:sp>
    <xdr:clientData/>
  </xdr:twoCellAnchor>
  <xdr:twoCellAnchor>
    <xdr:from>
      <xdr:col>12</xdr:col>
      <xdr:colOff>485070</xdr:colOff>
      <xdr:row>5</xdr:row>
      <xdr:rowOff>167571</xdr:rowOff>
    </xdr:from>
    <xdr:to>
      <xdr:col>15</xdr:col>
      <xdr:colOff>185209</xdr:colOff>
      <xdr:row>7</xdr:row>
      <xdr:rowOff>114655</xdr:rowOff>
    </xdr:to>
    <xdr:sp macro="" textlink="">
      <xdr:nvSpPr>
        <xdr:cNvPr id="18" name="TextBox 17">
          <a:extLst>
            <a:ext uri="{FF2B5EF4-FFF2-40B4-BE49-F238E27FC236}">
              <a16:creationId xmlns:a16="http://schemas.microsoft.com/office/drawing/2014/main" id="{BF309FB7-6A7D-482B-AB89-60C5FFE22D4E}"/>
            </a:ext>
          </a:extLst>
        </xdr:cNvPr>
        <xdr:cNvSpPr txBox="1"/>
      </xdr:nvSpPr>
      <xdr:spPr>
        <a:xfrm>
          <a:off x="7800270" y="1088321"/>
          <a:ext cx="1528939" cy="3153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tx2">
                  <a:lumMod val="75000"/>
                </a:schemeClr>
              </a:solidFill>
              <a:latin typeface="+mn-lt"/>
              <a:ea typeface="+mn-ea"/>
              <a:cs typeface="+mn-cs"/>
            </a:rPr>
            <a:t>Customers</a:t>
          </a:r>
        </a:p>
      </xdr:txBody>
    </xdr:sp>
    <xdr:clientData/>
  </xdr:twoCellAnchor>
  <xdr:twoCellAnchor>
    <xdr:from>
      <xdr:col>18</xdr:col>
      <xdr:colOff>590900</xdr:colOff>
      <xdr:row>6</xdr:row>
      <xdr:rowOff>17640</xdr:rowOff>
    </xdr:from>
    <xdr:to>
      <xdr:col>21</xdr:col>
      <xdr:colOff>634997</xdr:colOff>
      <xdr:row>7</xdr:row>
      <xdr:rowOff>123474</xdr:rowOff>
    </xdr:to>
    <xdr:sp macro="" textlink="">
      <xdr:nvSpPr>
        <xdr:cNvPr id="19" name="TextBox 18">
          <a:extLst>
            <a:ext uri="{FF2B5EF4-FFF2-40B4-BE49-F238E27FC236}">
              <a16:creationId xmlns:a16="http://schemas.microsoft.com/office/drawing/2014/main" id="{BF5B3523-9CBD-4EC1-8634-CAD1421A593E}"/>
            </a:ext>
          </a:extLst>
        </xdr:cNvPr>
        <xdr:cNvSpPr txBox="1"/>
      </xdr:nvSpPr>
      <xdr:spPr>
        <a:xfrm>
          <a:off x="11563700" y="1122540"/>
          <a:ext cx="1872897" cy="2899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500" b="1">
              <a:solidFill>
                <a:schemeClr val="tx2">
                  <a:lumMod val="75000"/>
                </a:schemeClr>
              </a:solidFill>
              <a:latin typeface="+mn-lt"/>
              <a:ea typeface="+mn-ea"/>
              <a:cs typeface="+mn-cs"/>
            </a:rPr>
            <a:t>Average Order Value</a:t>
          </a:r>
        </a:p>
      </xdr:txBody>
    </xdr:sp>
    <xdr:clientData/>
  </xdr:twoCellAnchor>
  <xdr:twoCellAnchor>
    <xdr:from>
      <xdr:col>2</xdr:col>
      <xdr:colOff>529166</xdr:colOff>
      <xdr:row>3</xdr:row>
      <xdr:rowOff>141111</xdr:rowOff>
    </xdr:from>
    <xdr:to>
      <xdr:col>5</xdr:col>
      <xdr:colOff>299861</xdr:colOff>
      <xdr:row>5</xdr:row>
      <xdr:rowOff>176389</xdr:rowOff>
    </xdr:to>
    <xdr:sp macro="" textlink="Pivots!E19">
      <xdr:nvSpPr>
        <xdr:cNvPr id="20" name="TextBox 19">
          <a:extLst>
            <a:ext uri="{FF2B5EF4-FFF2-40B4-BE49-F238E27FC236}">
              <a16:creationId xmlns:a16="http://schemas.microsoft.com/office/drawing/2014/main" id="{01A95C94-A7BF-49B2-A892-45EF9A528321}"/>
            </a:ext>
          </a:extLst>
        </xdr:cNvPr>
        <xdr:cNvSpPr txBox="1"/>
      </xdr:nvSpPr>
      <xdr:spPr>
        <a:xfrm>
          <a:off x="1748366" y="693561"/>
          <a:ext cx="1599495" cy="4035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A949AA-9616-4CC8-931E-704394B075DD}" type="TxLink">
            <a:rPr lang="en-US" sz="2000" b="1" i="0" u="none" strike="noStrike">
              <a:solidFill>
                <a:srgbClr val="000000"/>
              </a:solidFill>
              <a:latin typeface="Calibri"/>
              <a:cs typeface="Calibri"/>
            </a:rPr>
            <a:t>₹ 8451.6 K</a:t>
          </a:fld>
          <a:endParaRPr lang="en-US" sz="2000" b="1"/>
        </a:p>
      </xdr:txBody>
    </xdr:sp>
    <xdr:clientData/>
  </xdr:twoCellAnchor>
  <xdr:twoCellAnchor>
    <xdr:from>
      <xdr:col>6</xdr:col>
      <xdr:colOff>282222</xdr:colOff>
      <xdr:row>3</xdr:row>
      <xdr:rowOff>141111</xdr:rowOff>
    </xdr:from>
    <xdr:to>
      <xdr:col>8</xdr:col>
      <xdr:colOff>476251</xdr:colOff>
      <xdr:row>5</xdr:row>
      <xdr:rowOff>105833</xdr:rowOff>
    </xdr:to>
    <xdr:sp macro="" textlink="Pivots!G19">
      <xdr:nvSpPr>
        <xdr:cNvPr id="21" name="TextBox 20">
          <a:extLst>
            <a:ext uri="{FF2B5EF4-FFF2-40B4-BE49-F238E27FC236}">
              <a16:creationId xmlns:a16="http://schemas.microsoft.com/office/drawing/2014/main" id="{ACD507C9-3AB4-4363-9239-C7D9E105DAAF}"/>
            </a:ext>
          </a:extLst>
        </xdr:cNvPr>
        <xdr:cNvSpPr txBox="1"/>
      </xdr:nvSpPr>
      <xdr:spPr>
        <a:xfrm>
          <a:off x="3939822" y="693561"/>
          <a:ext cx="1413229" cy="333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4B75AF5-5D2B-4A3B-8B25-CC28FB6572D0}" type="TxLink">
            <a:rPr lang="en-US" sz="2000" b="1" i="0" u="none" strike="noStrike">
              <a:solidFill>
                <a:srgbClr val="000000"/>
              </a:solidFill>
              <a:latin typeface="Calibri"/>
              <a:ea typeface="+mn-ea"/>
              <a:cs typeface="Calibri"/>
            </a:rPr>
            <a:pPr marL="0" indent="0" algn="ctr"/>
            <a:t> 986 </a:t>
          </a:fld>
          <a:endParaRPr lang="en-US" sz="2000" b="1" i="0" u="none" strike="noStrike">
            <a:solidFill>
              <a:srgbClr val="000000"/>
            </a:solidFill>
            <a:latin typeface="Calibri"/>
            <a:ea typeface="+mn-ea"/>
            <a:cs typeface="Calibri"/>
          </a:endParaRPr>
        </a:p>
      </xdr:txBody>
    </xdr:sp>
    <xdr:clientData/>
  </xdr:twoCellAnchor>
  <xdr:twoCellAnchor>
    <xdr:from>
      <xdr:col>9</xdr:col>
      <xdr:colOff>282222</xdr:colOff>
      <xdr:row>3</xdr:row>
      <xdr:rowOff>149931</xdr:rowOff>
    </xdr:from>
    <xdr:to>
      <xdr:col>12</xdr:col>
      <xdr:colOff>44097</xdr:colOff>
      <xdr:row>5</xdr:row>
      <xdr:rowOff>176389</xdr:rowOff>
    </xdr:to>
    <xdr:sp macro="" textlink="Pivots!D19">
      <xdr:nvSpPr>
        <xdr:cNvPr id="22" name="TextBox 21">
          <a:extLst>
            <a:ext uri="{FF2B5EF4-FFF2-40B4-BE49-F238E27FC236}">
              <a16:creationId xmlns:a16="http://schemas.microsoft.com/office/drawing/2014/main" id="{EF01D834-C22E-4CD2-91CD-5799B4C8141B}"/>
            </a:ext>
          </a:extLst>
        </xdr:cNvPr>
        <xdr:cNvSpPr txBox="1"/>
      </xdr:nvSpPr>
      <xdr:spPr>
        <a:xfrm>
          <a:off x="5768622" y="702381"/>
          <a:ext cx="1590675" cy="3947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688C3A-F8E6-420C-BD1B-B3B207717F5C}" type="TxLink">
            <a:rPr lang="en-US" sz="2000" b="1" i="0" u="none" strike="noStrike">
              <a:solidFill>
                <a:srgbClr val="000000"/>
              </a:solidFill>
              <a:latin typeface="Calibri"/>
              <a:ea typeface="+mn-ea"/>
              <a:cs typeface="Calibri"/>
            </a:rPr>
            <a:pPr marL="0" indent="0"/>
            <a:t>₹ 666.7 K</a:t>
          </a:fld>
          <a:endParaRPr lang="en-US" sz="2000" b="1" i="0" u="none" strike="noStrike">
            <a:solidFill>
              <a:srgbClr val="000000"/>
            </a:solidFill>
            <a:latin typeface="Calibri"/>
            <a:ea typeface="+mn-ea"/>
            <a:cs typeface="Calibri"/>
          </a:endParaRPr>
        </a:p>
      </xdr:txBody>
    </xdr:sp>
    <xdr:clientData/>
  </xdr:twoCellAnchor>
  <xdr:twoCellAnchor>
    <xdr:from>
      <xdr:col>12</xdr:col>
      <xdr:colOff>493888</xdr:colOff>
      <xdr:row>3</xdr:row>
      <xdr:rowOff>158750</xdr:rowOff>
    </xdr:from>
    <xdr:to>
      <xdr:col>15</xdr:col>
      <xdr:colOff>79375</xdr:colOff>
      <xdr:row>5</xdr:row>
      <xdr:rowOff>123472</xdr:rowOff>
    </xdr:to>
    <xdr:sp macro="" textlink="Pivots!G19">
      <xdr:nvSpPr>
        <xdr:cNvPr id="23" name="TextBox 22">
          <a:extLst>
            <a:ext uri="{FF2B5EF4-FFF2-40B4-BE49-F238E27FC236}">
              <a16:creationId xmlns:a16="http://schemas.microsoft.com/office/drawing/2014/main" id="{8214C66F-8363-46E0-93FF-3D91FBFD662D}"/>
            </a:ext>
          </a:extLst>
        </xdr:cNvPr>
        <xdr:cNvSpPr txBox="1"/>
      </xdr:nvSpPr>
      <xdr:spPr>
        <a:xfrm>
          <a:off x="7809088" y="711200"/>
          <a:ext cx="1414287" cy="333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97DAF7-EE00-493D-834D-A2BC28018362}" type="TxLink">
            <a:rPr lang="en-US" sz="2000" b="1" i="0" u="none" strike="noStrike">
              <a:solidFill>
                <a:srgbClr val="000000"/>
              </a:solidFill>
              <a:latin typeface="Calibri"/>
              <a:cs typeface="Calibri"/>
            </a:rPr>
            <a:pPr algn="ctr"/>
            <a:t> 986 </a:t>
          </a:fld>
          <a:endParaRPr lang="en-US" sz="2000" b="1"/>
        </a:p>
      </xdr:txBody>
    </xdr:sp>
    <xdr:clientData/>
  </xdr:twoCellAnchor>
  <xdr:twoCellAnchor>
    <xdr:from>
      <xdr:col>19</xdr:col>
      <xdr:colOff>185204</xdr:colOff>
      <xdr:row>3</xdr:row>
      <xdr:rowOff>158750</xdr:rowOff>
    </xdr:from>
    <xdr:to>
      <xdr:col>21</xdr:col>
      <xdr:colOff>379233</xdr:colOff>
      <xdr:row>5</xdr:row>
      <xdr:rowOff>123472</xdr:rowOff>
    </xdr:to>
    <xdr:sp macro="" textlink="Pivots!H19">
      <xdr:nvSpPr>
        <xdr:cNvPr id="24" name="TextBox 23">
          <a:extLst>
            <a:ext uri="{FF2B5EF4-FFF2-40B4-BE49-F238E27FC236}">
              <a16:creationId xmlns:a16="http://schemas.microsoft.com/office/drawing/2014/main" id="{444A0542-5044-4BB7-83CB-7C383EEC5AAE}"/>
            </a:ext>
          </a:extLst>
        </xdr:cNvPr>
        <xdr:cNvSpPr txBox="1"/>
      </xdr:nvSpPr>
      <xdr:spPr>
        <a:xfrm>
          <a:off x="11767604" y="711200"/>
          <a:ext cx="1413229" cy="333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257B580-2442-4225-9106-DD40B3EDCC02}" type="TxLink">
            <a:rPr lang="en-US" sz="2000" b="1" i="0" u="none" strike="noStrike">
              <a:solidFill>
                <a:srgbClr val="000000"/>
              </a:solidFill>
              <a:latin typeface="Calibri"/>
              <a:ea typeface="+mn-ea"/>
              <a:cs typeface="Calibri"/>
            </a:rPr>
            <a:pPr marL="0" indent="0" algn="ctr"/>
            <a:t>₹ 16.8 K</a:t>
          </a:fld>
          <a:endParaRPr lang="en-US" sz="2000" b="1" i="0" u="none" strike="noStrike">
            <a:solidFill>
              <a:srgbClr val="000000"/>
            </a:solidFill>
            <a:latin typeface="Calibri"/>
            <a:ea typeface="+mn-ea"/>
            <a:cs typeface="Calibri"/>
          </a:endParaRPr>
        </a:p>
      </xdr:txBody>
    </xdr:sp>
    <xdr:clientData/>
  </xdr:twoCellAnchor>
  <xdr:twoCellAnchor>
    <xdr:from>
      <xdr:col>21</xdr:col>
      <xdr:colOff>723191</xdr:colOff>
      <xdr:row>3</xdr:row>
      <xdr:rowOff>8819</xdr:rowOff>
    </xdr:from>
    <xdr:to>
      <xdr:col>24</xdr:col>
      <xdr:colOff>453572</xdr:colOff>
      <xdr:row>7</xdr:row>
      <xdr:rowOff>167570</xdr:rowOff>
    </xdr:to>
    <xdr:sp macro="" textlink="">
      <xdr:nvSpPr>
        <xdr:cNvPr id="26" name="Rectangle 25">
          <a:extLst>
            <a:ext uri="{FF2B5EF4-FFF2-40B4-BE49-F238E27FC236}">
              <a16:creationId xmlns:a16="http://schemas.microsoft.com/office/drawing/2014/main" id="{8E9B997D-9D9F-4FE1-8FA0-4DBB295D0A86}"/>
            </a:ext>
          </a:extLst>
        </xdr:cNvPr>
        <xdr:cNvSpPr/>
      </xdr:nvSpPr>
      <xdr:spPr>
        <a:xfrm>
          <a:off x="13524791" y="561269"/>
          <a:ext cx="1787781" cy="895351"/>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771969</xdr:colOff>
      <xdr:row>6</xdr:row>
      <xdr:rowOff>35279</xdr:rowOff>
    </xdr:from>
    <xdr:to>
      <xdr:col>24</xdr:col>
      <xdr:colOff>427654</xdr:colOff>
      <xdr:row>7</xdr:row>
      <xdr:rowOff>116634</xdr:rowOff>
    </xdr:to>
    <xdr:sp macro="" textlink="">
      <xdr:nvSpPr>
        <xdr:cNvPr id="27" name="TextBox 26">
          <a:extLst>
            <a:ext uri="{FF2B5EF4-FFF2-40B4-BE49-F238E27FC236}">
              <a16:creationId xmlns:a16="http://schemas.microsoft.com/office/drawing/2014/main" id="{A82F0A49-DA72-4893-A0C8-26C04758577C}"/>
            </a:ext>
          </a:extLst>
        </xdr:cNvPr>
        <xdr:cNvSpPr txBox="1"/>
      </xdr:nvSpPr>
      <xdr:spPr>
        <a:xfrm>
          <a:off x="13573569" y="1140179"/>
          <a:ext cx="1713085" cy="265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500" b="1">
              <a:solidFill>
                <a:schemeClr val="tx2">
                  <a:lumMod val="75000"/>
                </a:schemeClr>
              </a:solidFill>
              <a:latin typeface="+mn-lt"/>
              <a:ea typeface="+mn-ea"/>
              <a:cs typeface="+mn-cs"/>
            </a:rPr>
            <a:t>Average Discount</a:t>
          </a:r>
          <a:endParaRPr lang="en-US" sz="1500" b="1" baseline="0">
            <a:solidFill>
              <a:schemeClr val="tx2">
                <a:lumMod val="75000"/>
              </a:schemeClr>
            </a:solidFill>
            <a:latin typeface="+mn-lt"/>
            <a:ea typeface="+mn-ea"/>
            <a:cs typeface="+mn-cs"/>
          </a:endParaRPr>
        </a:p>
      </xdr:txBody>
    </xdr:sp>
    <xdr:clientData/>
  </xdr:twoCellAnchor>
  <xdr:twoCellAnchor>
    <xdr:from>
      <xdr:col>22</xdr:col>
      <xdr:colOff>79371</xdr:colOff>
      <xdr:row>3</xdr:row>
      <xdr:rowOff>158750</xdr:rowOff>
    </xdr:from>
    <xdr:to>
      <xdr:col>24</xdr:col>
      <xdr:colOff>273399</xdr:colOff>
      <xdr:row>5</xdr:row>
      <xdr:rowOff>123472</xdr:rowOff>
    </xdr:to>
    <xdr:sp macro="" textlink="Pivots!I19">
      <xdr:nvSpPr>
        <xdr:cNvPr id="28" name="TextBox 27">
          <a:extLst>
            <a:ext uri="{FF2B5EF4-FFF2-40B4-BE49-F238E27FC236}">
              <a16:creationId xmlns:a16="http://schemas.microsoft.com/office/drawing/2014/main" id="{6909015E-5F9C-4780-A5C0-02C7BA9FFEE7}"/>
            </a:ext>
          </a:extLst>
        </xdr:cNvPr>
        <xdr:cNvSpPr txBox="1"/>
      </xdr:nvSpPr>
      <xdr:spPr>
        <a:xfrm>
          <a:off x="13719171" y="711200"/>
          <a:ext cx="1413228" cy="333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E04F81A-32B2-4FC9-B5EC-FC69B36C3819}" type="TxLink">
            <a:rPr lang="en-US" sz="2000" b="1" i="0" u="none" strike="noStrike">
              <a:solidFill>
                <a:schemeClr val="tx2">
                  <a:lumMod val="50000"/>
                </a:schemeClr>
              </a:solidFill>
              <a:latin typeface="Calibri"/>
              <a:ea typeface="+mn-ea"/>
              <a:cs typeface="Calibri"/>
            </a:rPr>
            <a:t>10.1%</a:t>
          </a:fld>
          <a:endParaRPr lang="en-US" sz="2000" b="1" i="0" u="none" strike="noStrike">
            <a:solidFill>
              <a:schemeClr val="tx2">
                <a:lumMod val="50000"/>
              </a:schemeClr>
            </a:solidFill>
            <a:latin typeface="Calibri"/>
            <a:ea typeface="+mn-ea"/>
            <a:cs typeface="Calibri"/>
          </a:endParaRPr>
        </a:p>
      </xdr:txBody>
    </xdr:sp>
    <xdr:clientData/>
  </xdr:twoCellAnchor>
  <xdr:twoCellAnchor>
    <xdr:from>
      <xdr:col>15</xdr:col>
      <xdr:colOff>396879</xdr:colOff>
      <xdr:row>3</xdr:row>
      <xdr:rowOff>8820</xdr:rowOff>
    </xdr:from>
    <xdr:to>
      <xdr:col>18</xdr:col>
      <xdr:colOff>511532</xdr:colOff>
      <xdr:row>7</xdr:row>
      <xdr:rowOff>167571</xdr:rowOff>
    </xdr:to>
    <xdr:sp macro="" textlink="">
      <xdr:nvSpPr>
        <xdr:cNvPr id="29" name="Rectangle 28">
          <a:extLst>
            <a:ext uri="{FF2B5EF4-FFF2-40B4-BE49-F238E27FC236}">
              <a16:creationId xmlns:a16="http://schemas.microsoft.com/office/drawing/2014/main" id="{F04AC702-AA61-4D88-8D88-35F3761BD55D}"/>
            </a:ext>
          </a:extLst>
        </xdr:cNvPr>
        <xdr:cNvSpPr/>
      </xdr:nvSpPr>
      <xdr:spPr>
        <a:xfrm>
          <a:off x="9540879" y="561270"/>
          <a:ext cx="1943453" cy="895351"/>
        </a:xfrm>
        <a:prstGeom prst="rect">
          <a:avLst/>
        </a:prstGeom>
        <a:solidFill>
          <a:schemeClr val="bg1"/>
        </a:solidFill>
        <a:ln>
          <a:solidFill>
            <a:schemeClr val="tx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70555</xdr:colOff>
      <xdr:row>0</xdr:row>
      <xdr:rowOff>144273</xdr:rowOff>
    </xdr:from>
    <xdr:to>
      <xdr:col>22</xdr:col>
      <xdr:colOff>326319</xdr:colOff>
      <xdr:row>2</xdr:row>
      <xdr:rowOff>82537</xdr:rowOff>
    </xdr:to>
    <xdr:sp macro="" textlink="">
      <xdr:nvSpPr>
        <xdr:cNvPr id="30" name="TextBox 29">
          <a:hlinkClick xmlns:r="http://schemas.openxmlformats.org/officeDocument/2006/relationships" r:id="rId1" tooltip="Navigate to Original Data"/>
          <a:extLst>
            <a:ext uri="{FF2B5EF4-FFF2-40B4-BE49-F238E27FC236}">
              <a16:creationId xmlns:a16="http://schemas.microsoft.com/office/drawing/2014/main" id="{7F8E3447-E911-4E54-ABD7-8FA643EDDA34}"/>
            </a:ext>
          </a:extLst>
        </xdr:cNvPr>
        <xdr:cNvSpPr txBox="1"/>
      </xdr:nvSpPr>
      <xdr:spPr>
        <a:xfrm>
          <a:off x="12902347" y="144273"/>
          <a:ext cx="1094444" cy="297698"/>
        </a:xfrm>
        <a:prstGeom prst="rect">
          <a:avLst/>
        </a:prstGeom>
        <a:solidFill>
          <a:schemeClr val="bg1"/>
        </a:solidFill>
        <a:ln w="9525" cmpd="sng">
          <a:solidFill>
            <a:schemeClr val="lt1">
              <a:shade val="50000"/>
            </a:schemeClr>
          </a:solidFill>
        </a:ln>
        <a:effectLst>
          <a:outerShdw blurRad="50800" dist="38100" dir="2700000" algn="tl" rotWithShape="0">
            <a:prstClr val="black">
              <a:alpha val="40000"/>
            </a:prst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2">
                  <a:lumMod val="75000"/>
                </a:schemeClr>
              </a:solidFill>
            </a:rPr>
            <a:t>Data</a:t>
          </a:r>
        </a:p>
      </xdr:txBody>
    </xdr:sp>
    <xdr:clientData/>
  </xdr:twoCellAnchor>
  <xdr:twoCellAnchor>
    <xdr:from>
      <xdr:col>22</xdr:col>
      <xdr:colOff>502710</xdr:colOff>
      <xdr:row>0</xdr:row>
      <xdr:rowOff>133094</xdr:rowOff>
    </xdr:from>
    <xdr:to>
      <xdr:col>24</xdr:col>
      <xdr:colOff>379237</xdr:colOff>
      <xdr:row>2</xdr:row>
      <xdr:rowOff>71358</xdr:rowOff>
    </xdr:to>
    <xdr:sp macro="" textlink="">
      <xdr:nvSpPr>
        <xdr:cNvPr id="31" name="TextBox 30">
          <a:hlinkClick xmlns:r="http://schemas.openxmlformats.org/officeDocument/2006/relationships" r:id="rId2" tooltip="Email the Admin"/>
          <a:extLst>
            <a:ext uri="{FF2B5EF4-FFF2-40B4-BE49-F238E27FC236}">
              <a16:creationId xmlns:a16="http://schemas.microsoft.com/office/drawing/2014/main" id="{87206606-5152-4225-86B0-225FE1B3CDDB}"/>
            </a:ext>
          </a:extLst>
        </xdr:cNvPr>
        <xdr:cNvSpPr txBox="1"/>
      </xdr:nvSpPr>
      <xdr:spPr>
        <a:xfrm>
          <a:off x="14142510" y="133094"/>
          <a:ext cx="1095727" cy="306564"/>
        </a:xfrm>
        <a:prstGeom prst="rect">
          <a:avLst/>
        </a:prstGeom>
        <a:solidFill>
          <a:schemeClr val="bg1"/>
        </a:solidFill>
        <a:ln w="9525" cmpd="sng">
          <a:solidFill>
            <a:schemeClr val="lt1">
              <a:shade val="50000"/>
            </a:schemeClr>
          </a:solidFill>
        </a:ln>
        <a:effectLst>
          <a:outerShdw blurRad="50800" dist="38100" dir="2700000" algn="tl" rotWithShape="0">
            <a:prstClr val="black">
              <a:alpha val="40000"/>
            </a:prst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tx2">
                  <a:lumMod val="75000"/>
                </a:schemeClr>
              </a:solidFill>
            </a:rPr>
            <a:t>Contact</a:t>
          </a:r>
        </a:p>
      </xdr:txBody>
    </xdr:sp>
    <xdr:clientData/>
  </xdr:twoCellAnchor>
  <xdr:twoCellAnchor>
    <xdr:from>
      <xdr:col>15</xdr:col>
      <xdr:colOff>493893</xdr:colOff>
      <xdr:row>6</xdr:row>
      <xdr:rowOff>35279</xdr:rowOff>
    </xdr:from>
    <xdr:to>
      <xdr:col>18</xdr:col>
      <xdr:colOff>388059</xdr:colOff>
      <xdr:row>7</xdr:row>
      <xdr:rowOff>123475</xdr:rowOff>
    </xdr:to>
    <xdr:sp macro="" textlink="">
      <xdr:nvSpPr>
        <xdr:cNvPr id="32" name="TextBox 31">
          <a:extLst>
            <a:ext uri="{FF2B5EF4-FFF2-40B4-BE49-F238E27FC236}">
              <a16:creationId xmlns:a16="http://schemas.microsoft.com/office/drawing/2014/main" id="{EA0C6FF0-EA24-4B5C-A3B4-8D1C318BB375}"/>
            </a:ext>
          </a:extLst>
        </xdr:cNvPr>
        <xdr:cNvSpPr txBox="1"/>
      </xdr:nvSpPr>
      <xdr:spPr>
        <a:xfrm>
          <a:off x="9637893" y="1140179"/>
          <a:ext cx="1722966" cy="272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500" b="1">
              <a:solidFill>
                <a:schemeClr val="tx2">
                  <a:lumMod val="75000"/>
                </a:schemeClr>
              </a:solidFill>
              <a:latin typeface="+mn-lt"/>
              <a:ea typeface="+mn-ea"/>
              <a:cs typeface="+mn-cs"/>
            </a:rPr>
            <a:t>Orders</a:t>
          </a:r>
          <a:endParaRPr lang="en-US" sz="1500" b="1" baseline="0">
            <a:solidFill>
              <a:schemeClr val="tx2">
                <a:lumMod val="75000"/>
              </a:schemeClr>
            </a:solidFill>
            <a:latin typeface="+mn-lt"/>
            <a:ea typeface="+mn-ea"/>
            <a:cs typeface="+mn-cs"/>
          </a:endParaRPr>
        </a:p>
      </xdr:txBody>
    </xdr:sp>
    <xdr:clientData/>
  </xdr:twoCellAnchor>
  <xdr:twoCellAnchor>
    <xdr:from>
      <xdr:col>16</xdr:col>
      <xdr:colOff>17640</xdr:colOff>
      <xdr:row>3</xdr:row>
      <xdr:rowOff>158751</xdr:rowOff>
    </xdr:from>
    <xdr:to>
      <xdr:col>18</xdr:col>
      <xdr:colOff>211669</xdr:colOff>
      <xdr:row>5</xdr:row>
      <xdr:rowOff>123473</xdr:rowOff>
    </xdr:to>
    <xdr:sp macro="" textlink="Pivots!J19">
      <xdr:nvSpPr>
        <xdr:cNvPr id="33" name="TextBox 32">
          <a:extLst>
            <a:ext uri="{FF2B5EF4-FFF2-40B4-BE49-F238E27FC236}">
              <a16:creationId xmlns:a16="http://schemas.microsoft.com/office/drawing/2014/main" id="{836F64A8-46A0-4CCB-B5A6-0B630464A32E}"/>
            </a:ext>
          </a:extLst>
        </xdr:cNvPr>
        <xdr:cNvSpPr txBox="1"/>
      </xdr:nvSpPr>
      <xdr:spPr>
        <a:xfrm>
          <a:off x="9771240" y="711201"/>
          <a:ext cx="1413229" cy="333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1399997-E29F-4E34-84D3-731FA7BA8AC9}" type="TxLink">
            <a:rPr lang="en-US" sz="2000" b="1" i="0" u="none" strike="noStrike">
              <a:solidFill>
                <a:srgbClr val="000000"/>
              </a:solidFill>
              <a:latin typeface="Calibri"/>
              <a:ea typeface="+mn-ea"/>
              <a:cs typeface="Calibri"/>
            </a:rPr>
            <a:pPr marL="0" indent="0" algn="ctr"/>
            <a:t> 503 </a:t>
          </a:fld>
          <a:endParaRPr lang="en-US" sz="2000" b="1" i="0" u="none" strike="noStrike">
            <a:solidFill>
              <a:srgbClr val="000000"/>
            </a:solidFill>
            <a:latin typeface="Calibri"/>
            <a:ea typeface="+mn-ea"/>
            <a:cs typeface="Calibri"/>
          </a:endParaRPr>
        </a:p>
      </xdr:txBody>
    </xdr:sp>
    <xdr:clientData/>
  </xdr:twoCellAnchor>
  <xdr:twoCellAnchor>
    <xdr:from>
      <xdr:col>5</xdr:col>
      <xdr:colOff>336741</xdr:colOff>
      <xdr:row>8</xdr:row>
      <xdr:rowOff>19243</xdr:rowOff>
    </xdr:from>
    <xdr:to>
      <xdr:col>18</xdr:col>
      <xdr:colOff>558029</xdr:colOff>
      <xdr:row>27</xdr:row>
      <xdr:rowOff>38485</xdr:rowOff>
    </xdr:to>
    <xdr:graphicFrame macro="">
      <xdr:nvGraphicFramePr>
        <xdr:cNvPr id="34" name="Chart 33">
          <a:extLst>
            <a:ext uri="{FF2B5EF4-FFF2-40B4-BE49-F238E27FC236}">
              <a16:creationId xmlns:a16="http://schemas.microsoft.com/office/drawing/2014/main" id="{22E45089-DB18-4598-9740-7646B435C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336742</xdr:colOff>
      <xdr:row>8</xdr:row>
      <xdr:rowOff>19242</xdr:rowOff>
    </xdr:from>
    <xdr:to>
      <xdr:col>5</xdr:col>
      <xdr:colOff>308649</xdr:colOff>
      <xdr:row>16</xdr:row>
      <xdr:rowOff>83868</xdr:rowOff>
    </xdr:to>
    <mc:AlternateContent xmlns:mc="http://schemas.openxmlformats.org/markup-compatibility/2006">
      <mc:Choice xmlns:a14="http://schemas.microsoft.com/office/drawing/2010/main" Requires="a14">
        <xdr:graphicFrame macro="">
          <xdr:nvGraphicFramePr>
            <xdr:cNvPr id="35" name="Region 1">
              <a:extLst>
                <a:ext uri="{FF2B5EF4-FFF2-40B4-BE49-F238E27FC236}">
                  <a16:creationId xmlns:a16="http://schemas.microsoft.com/office/drawing/2014/main" id="{52D7B3F4-A557-413D-B508-6361B177493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47211" y="1527367"/>
              <a:ext cx="1787610" cy="1572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211666</xdr:colOff>
      <xdr:row>13</xdr:row>
      <xdr:rowOff>0</xdr:rowOff>
    </xdr:from>
    <xdr:to>
      <xdr:col>11</xdr:col>
      <xdr:colOff>288636</xdr:colOff>
      <xdr:row>14</xdr:row>
      <xdr:rowOff>0</xdr:rowOff>
    </xdr:to>
    <xdr:cxnSp macro="">
      <xdr:nvCxnSpPr>
        <xdr:cNvPr id="38" name="Straight Arrow Connector 37">
          <a:extLst>
            <a:ext uri="{FF2B5EF4-FFF2-40B4-BE49-F238E27FC236}">
              <a16:creationId xmlns:a16="http://schemas.microsoft.com/office/drawing/2014/main" id="{7AAFE7DA-998C-D5C1-F20F-415B2BC4D304}"/>
            </a:ext>
          </a:extLst>
        </xdr:cNvPr>
        <xdr:cNvCxnSpPr/>
      </xdr:nvCxnSpPr>
      <xdr:spPr>
        <a:xfrm flipV="1">
          <a:off x="6273030" y="2376439"/>
          <a:ext cx="683106" cy="1828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375229</xdr:colOff>
      <xdr:row>26</xdr:row>
      <xdr:rowOff>182802</xdr:rowOff>
    </xdr:from>
    <xdr:to>
      <xdr:col>24</xdr:col>
      <xdr:colOff>404091</xdr:colOff>
      <xdr:row>43</xdr:row>
      <xdr:rowOff>126326</xdr:rowOff>
    </xdr:to>
    <xdr:graphicFrame macro="">
      <xdr:nvGraphicFramePr>
        <xdr:cNvPr id="43" name="Chart 42">
          <a:extLst>
            <a:ext uri="{FF2B5EF4-FFF2-40B4-BE49-F238E27FC236}">
              <a16:creationId xmlns:a16="http://schemas.microsoft.com/office/drawing/2014/main" id="{4B083278-48CC-4EF7-83FF-84CF202C2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336741</xdr:colOff>
      <xdr:row>27</xdr:row>
      <xdr:rowOff>9622</xdr:rowOff>
    </xdr:from>
    <xdr:to>
      <xdr:col>18</xdr:col>
      <xdr:colOff>173179</xdr:colOff>
      <xdr:row>43</xdr:row>
      <xdr:rowOff>134698</xdr:rowOff>
    </xdr:to>
    <xdr:graphicFrame macro="">
      <xdr:nvGraphicFramePr>
        <xdr:cNvPr id="40" name="Chart 39">
          <a:extLst>
            <a:ext uri="{FF2B5EF4-FFF2-40B4-BE49-F238E27FC236}">
              <a16:creationId xmlns:a16="http://schemas.microsoft.com/office/drawing/2014/main" id="{FEFC47EE-D916-4D73-BA5D-C36ECE5DC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163561</xdr:colOff>
      <xdr:row>8</xdr:row>
      <xdr:rowOff>9621</xdr:rowOff>
    </xdr:from>
    <xdr:to>
      <xdr:col>24</xdr:col>
      <xdr:colOff>423334</xdr:colOff>
      <xdr:row>27</xdr:row>
      <xdr:rowOff>9620</xdr:rowOff>
    </xdr:to>
    <xdr:graphicFrame macro="">
      <xdr:nvGraphicFramePr>
        <xdr:cNvPr id="44" name="Chart 43">
          <a:extLst>
            <a:ext uri="{FF2B5EF4-FFF2-40B4-BE49-F238E27FC236}">
              <a16:creationId xmlns:a16="http://schemas.microsoft.com/office/drawing/2014/main" id="{D8F46089-8498-4637-9E0C-8D49E69E7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347453</xdr:colOff>
      <xdr:row>16</xdr:row>
      <xdr:rowOff>119811</xdr:rowOff>
    </xdr:from>
    <xdr:to>
      <xdr:col>5</xdr:col>
      <xdr:colOff>311509</xdr:colOff>
      <xdr:row>43</xdr:row>
      <xdr:rowOff>119813</xdr:rowOff>
    </xdr:to>
    <xdr:sp macro="" textlink="">
      <xdr:nvSpPr>
        <xdr:cNvPr id="45" name="TextBox 44">
          <a:extLst>
            <a:ext uri="{FF2B5EF4-FFF2-40B4-BE49-F238E27FC236}">
              <a16:creationId xmlns:a16="http://schemas.microsoft.com/office/drawing/2014/main" id="{739364CC-4C07-8384-AD3C-2FBBC49FECD8}"/>
            </a:ext>
          </a:extLst>
        </xdr:cNvPr>
        <xdr:cNvSpPr txBox="1"/>
      </xdr:nvSpPr>
      <xdr:spPr>
        <a:xfrm>
          <a:off x="1569528" y="2995283"/>
          <a:ext cx="1797170" cy="485236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50" b="1" i="1">
              <a:solidFill>
                <a:srgbClr val="002060"/>
              </a:solidFill>
            </a:rPr>
            <a:t>We wanted</a:t>
          </a:r>
          <a:r>
            <a:rPr lang="en-US" sz="1250" b="1" i="1" baseline="0">
              <a:solidFill>
                <a:srgbClr val="002060"/>
              </a:solidFill>
            </a:rPr>
            <a:t> to explore the reason behind low profit in the Northern Region. </a:t>
          </a:r>
        </a:p>
        <a:p>
          <a:endParaRPr lang="en-US" sz="1250" b="1" i="1" baseline="0">
            <a:solidFill>
              <a:srgbClr val="002060"/>
            </a:solidFill>
          </a:endParaRPr>
        </a:p>
        <a:p>
          <a:r>
            <a:rPr lang="en-US" sz="1250" b="1" i="1" baseline="0">
              <a:solidFill>
                <a:srgbClr val="002060"/>
              </a:solidFill>
            </a:rPr>
            <a:t>No trend was spotted in discounts and shipping costs.</a:t>
          </a:r>
        </a:p>
        <a:p>
          <a:endParaRPr lang="en-US" sz="1250" b="1" i="1" baseline="0">
            <a:solidFill>
              <a:srgbClr val="002060"/>
            </a:solidFill>
          </a:endParaRPr>
        </a:p>
        <a:p>
          <a:r>
            <a:rPr lang="en-US" sz="1250" b="1" i="1" baseline="0">
              <a:solidFill>
                <a:srgbClr val="002060"/>
              </a:solidFill>
            </a:rPr>
            <a:t>Analysing regionwise distribution of sales across product categories showed that Electronic items had high sales but low profit in the </a:t>
          </a:r>
          <a:r>
            <a:rPr lang="en-US" sz="1250" b="1" i="1" baseline="0">
              <a:solidFill>
                <a:srgbClr val="002060"/>
              </a:solidFill>
              <a:effectLst/>
              <a:latin typeface="+mn-lt"/>
              <a:ea typeface="+mn-ea"/>
              <a:cs typeface="+mn-cs"/>
            </a:rPr>
            <a:t>North as compared to the East</a:t>
          </a:r>
        </a:p>
        <a:p>
          <a:endParaRPr lang="en-US" sz="1250" b="1" i="1" baseline="0">
            <a:solidFill>
              <a:srgbClr val="002060"/>
            </a:solidFill>
            <a:effectLst/>
            <a:latin typeface="+mn-lt"/>
            <a:ea typeface="+mn-ea"/>
            <a:cs typeface="+mn-cs"/>
          </a:endParaRPr>
        </a:p>
        <a:p>
          <a:r>
            <a:rPr lang="en-US" sz="1250" b="1" i="1" baseline="0">
              <a:solidFill>
                <a:srgbClr val="002060"/>
              </a:solidFill>
              <a:effectLst/>
              <a:latin typeface="+mn-lt"/>
              <a:ea typeface="+mn-ea"/>
              <a:cs typeface="+mn-cs"/>
            </a:rPr>
            <a:t>Further, we analysed the loss making Electronic products and found them to be mostly sold in the North.</a:t>
          </a:r>
          <a:endParaRPr lang="en-US" sz="1250" b="1" i="1">
            <a:solidFill>
              <a:srgbClr val="002060"/>
            </a:solidFill>
          </a:endParaRPr>
        </a:p>
      </xdr:txBody>
    </xdr:sp>
    <xdr:clientData/>
  </xdr:twoCellAnchor>
  <xdr:twoCellAnchor>
    <xdr:from>
      <xdr:col>2</xdr:col>
      <xdr:colOff>366728</xdr:colOff>
      <xdr:row>0</xdr:row>
      <xdr:rowOff>128937</xdr:rowOff>
    </xdr:from>
    <xdr:to>
      <xdr:col>4</xdr:col>
      <xdr:colOff>239096</xdr:colOff>
      <xdr:row>2</xdr:row>
      <xdr:rowOff>67201</xdr:rowOff>
    </xdr:to>
    <xdr:sp macro="" textlink="">
      <xdr:nvSpPr>
        <xdr:cNvPr id="46" name="TextBox 45">
          <a:hlinkClick xmlns:r="http://schemas.openxmlformats.org/officeDocument/2006/relationships" r:id="rId7" tooltip="Navigate to Original Data"/>
          <a:extLst>
            <a:ext uri="{FF2B5EF4-FFF2-40B4-BE49-F238E27FC236}">
              <a16:creationId xmlns:a16="http://schemas.microsoft.com/office/drawing/2014/main" id="{F09D37D6-E4D9-4DDF-92ED-3AEEF4F4CAF1}"/>
            </a:ext>
          </a:extLst>
        </xdr:cNvPr>
        <xdr:cNvSpPr txBox="1"/>
      </xdr:nvSpPr>
      <xdr:spPr>
        <a:xfrm>
          <a:off x="1588803" y="128937"/>
          <a:ext cx="1094444" cy="297698"/>
        </a:xfrm>
        <a:prstGeom prst="rect">
          <a:avLst/>
        </a:prstGeom>
        <a:solidFill>
          <a:schemeClr val="tx1"/>
        </a:solidFill>
        <a:ln w="9525" cmpd="sng">
          <a:solidFill>
            <a:schemeClr val="lt1">
              <a:shade val="50000"/>
            </a:schemeClr>
          </a:solidFill>
        </a:ln>
        <a:effectLst>
          <a:outerShdw blurRad="50800" dist="38100" dir="2700000" algn="tl" rotWithShape="0">
            <a:prstClr val="black">
              <a:alpha val="40000"/>
            </a:prst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Home</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0.44062</cdr:x>
      <cdr:y>0.20386</cdr:y>
    </cdr:from>
    <cdr:to>
      <cdr:x>0.63539</cdr:x>
      <cdr:y>0.42424</cdr:y>
    </cdr:to>
    <cdr:sp macro="" textlink="">
      <cdr:nvSpPr>
        <cdr:cNvPr id="5" name="TextBox 4">
          <a:extLst xmlns:a="http://schemas.openxmlformats.org/drawingml/2006/main">
            <a:ext uri="{FF2B5EF4-FFF2-40B4-BE49-F238E27FC236}">
              <a16:creationId xmlns:a16="http://schemas.microsoft.com/office/drawing/2014/main" id="{9B9359E6-B73E-0EBA-B163-C1D2843D6CE0}"/>
            </a:ext>
          </a:extLst>
        </cdr:cNvPr>
        <cdr:cNvSpPr txBox="1"/>
      </cdr:nvSpPr>
      <cdr:spPr>
        <a:xfrm xmlns:a="http://schemas.openxmlformats.org/drawingml/2006/main">
          <a:off x="3569471" y="711969"/>
          <a:ext cx="1577879" cy="769697"/>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en-US" sz="1100" b="1" kern="1200">
              <a:solidFill>
                <a:schemeClr val="accent6">
                  <a:lumMod val="75000"/>
                </a:schemeClr>
              </a:solidFill>
            </a:rPr>
            <a:t>Sales</a:t>
          </a:r>
          <a:r>
            <a:rPr lang="en-US" sz="1100" b="1" kern="1200" baseline="0">
              <a:solidFill>
                <a:schemeClr val="accent6">
                  <a:lumMod val="75000"/>
                </a:schemeClr>
              </a:solidFill>
            </a:rPr>
            <a:t> for Electronics has decreased but there is an increase in Profit</a:t>
          </a:r>
          <a:endParaRPr lang="en-US" sz="1100" b="1" kern="1200">
            <a:solidFill>
              <a:schemeClr val="accent6">
                <a:lumMod val="75000"/>
              </a:schemeClr>
            </a:solidFill>
          </a:endParaRPr>
        </a:p>
      </cdr:txBody>
    </cdr:sp>
  </cdr:relSizeAnchor>
  <cdr:relSizeAnchor xmlns:cdr="http://schemas.openxmlformats.org/drawingml/2006/chartDrawing">
    <cdr:from>
      <cdr:x>0.64727</cdr:x>
      <cdr:y>0.25344</cdr:y>
    </cdr:from>
    <cdr:to>
      <cdr:x>0.73515</cdr:x>
      <cdr:y>0.31405</cdr:y>
    </cdr:to>
    <cdr:cxnSp macro="">
      <cdr:nvCxnSpPr>
        <cdr:cNvPr id="2" name="Straight Arrow Connector 1">
          <a:extLst xmlns:a="http://schemas.openxmlformats.org/drawingml/2006/main">
            <a:ext uri="{FF2B5EF4-FFF2-40B4-BE49-F238E27FC236}">
              <a16:creationId xmlns:a16="http://schemas.microsoft.com/office/drawing/2014/main" id="{7AAFE7DA-998C-D5C1-F20F-415B2BC4D304}"/>
            </a:ext>
          </a:extLst>
        </cdr:cNvPr>
        <cdr:cNvCxnSpPr/>
      </cdr:nvCxnSpPr>
      <cdr:spPr>
        <a:xfrm xmlns:a="http://schemas.openxmlformats.org/drawingml/2006/main" flipH="1" flipV="1">
          <a:off x="5243562" y="885152"/>
          <a:ext cx="711969" cy="211666"/>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c:userShapes xmlns:c="http://schemas.openxmlformats.org/drawingml/2006/chart">
  <cdr:relSizeAnchor xmlns:cdr="http://schemas.openxmlformats.org/drawingml/2006/chartDrawing">
    <cdr:from>
      <cdr:x>0.14608</cdr:x>
      <cdr:y>0.27707</cdr:y>
    </cdr:from>
    <cdr:to>
      <cdr:x>0.41568</cdr:x>
      <cdr:y>0.53503</cdr:y>
    </cdr:to>
    <cdr:sp macro="" textlink="">
      <cdr:nvSpPr>
        <cdr:cNvPr id="2" name="Speech Bubble: Rectangle 1">
          <a:extLst xmlns:a="http://schemas.openxmlformats.org/drawingml/2006/main">
            <a:ext uri="{FF2B5EF4-FFF2-40B4-BE49-F238E27FC236}">
              <a16:creationId xmlns:a16="http://schemas.microsoft.com/office/drawing/2014/main" id="{2D392D33-25C2-2E05-F922-BA15B0911172}"/>
            </a:ext>
          </a:extLst>
        </cdr:cNvPr>
        <cdr:cNvSpPr/>
      </cdr:nvSpPr>
      <cdr:spPr>
        <a:xfrm xmlns:a="http://schemas.openxmlformats.org/drawingml/2006/main">
          <a:off x="1183409" y="837045"/>
          <a:ext cx="2184015" cy="779319"/>
        </a:xfrm>
        <a:prstGeom xmlns:a="http://schemas.openxmlformats.org/drawingml/2006/main" prst="wedgeRectCallout">
          <a:avLst>
            <a:gd name="adj1" fmla="val -29589"/>
            <a:gd name="adj2" fmla="val 118598"/>
          </a:avLst>
        </a:prstGeom>
        <a:solidFill xmlns:a="http://schemas.openxmlformats.org/drawingml/2006/main">
          <a:sysClr val="window" lastClr="FFFFFF"/>
        </a:solidFill>
        <a:ln xmlns:a="http://schemas.openxmlformats.org/drawingml/2006/main">
          <a:solidFill>
            <a:srgbClr val="C00000"/>
          </a:solidFill>
          <a:prstDash val="sys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300" kern="1200">
              <a:solidFill>
                <a:sysClr val="windowText" lastClr="000000"/>
              </a:solidFill>
            </a:rPr>
            <a:t>Most loss</a:t>
          </a:r>
          <a:r>
            <a:rPr lang="en-US" sz="1300" kern="1200" baseline="0">
              <a:solidFill>
                <a:sysClr val="windowText" lastClr="000000"/>
              </a:solidFill>
            </a:rPr>
            <a:t> making electronics products are sold in the North region</a:t>
          </a:r>
          <a:endParaRPr lang="en-US" sz="1300" kern="1200">
            <a:solidFill>
              <a:sysClr val="windowText" lastClr="00000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2.619403703706" createdVersion="8" refreshedVersion="8" minRefreshableVersion="3" recordCount="1000" xr:uid="{D26CD95C-2E45-4FE3-B169-FD8E867EC692}">
  <cacheSource type="worksheet">
    <worksheetSource ref="A1:R1001" sheet="Order Data"/>
  </cacheSource>
  <cacheFields count="22">
    <cacheField name="Order ID" numFmtId="0">
      <sharedItems/>
    </cacheField>
    <cacheField name="Order Date" numFmtId="165">
      <sharedItems containsSemiMixedTypes="0" containsNonDate="0" containsDate="1" containsString="0" minDate="2024-01-01T00:00:00" maxDate="2025-12-30T00:00:00" count="506">
        <d v="2024-01-01T00:00:00"/>
        <d v="2024-01-02T00:00:00"/>
        <d v="2024-01-03T00:00:00"/>
        <d v="2024-01-05T00:00:00"/>
        <d v="2024-01-09T00:00:00"/>
        <d v="2024-01-10T00:00:00"/>
        <d v="2024-01-12T00:00:00"/>
        <d v="2024-01-13T00:00:00"/>
        <d v="2024-01-15T00:00:00"/>
        <d v="2024-01-16T00:00:00"/>
        <d v="2024-01-17T00:00:00"/>
        <d v="2024-01-19T00:00:00"/>
        <d v="2024-01-20T00:00:00"/>
        <d v="2024-01-21T00:00:00"/>
        <d v="2024-01-22T00:00:00"/>
        <d v="2024-01-23T00:00:00"/>
        <d v="2024-01-24T00:00:00"/>
        <d v="2024-01-25T00:00:00"/>
        <d v="2024-01-28T00:00:00"/>
        <d v="2024-01-29T00:00:00"/>
        <d v="2024-02-01T00:00:00"/>
        <d v="2024-02-02T00:00:00"/>
        <d v="2024-02-05T00:00:00"/>
        <d v="2024-02-06T00:00:00"/>
        <d v="2024-02-07T00:00:00"/>
        <d v="2024-02-08T00:00:00"/>
        <d v="2024-02-09T00:00:00"/>
        <d v="2024-02-10T00:00:00"/>
        <d v="2024-02-11T00:00:00"/>
        <d v="2024-02-12T00:00:00"/>
        <d v="2024-02-13T00:00:00"/>
        <d v="2024-02-14T00:00:00"/>
        <d v="2024-02-15T00:00:00"/>
        <d v="2024-02-16T00:00:00"/>
        <d v="2024-02-17T00:00:00"/>
        <d v="2024-02-19T00:00:00"/>
        <d v="2024-02-20T00:00:00"/>
        <d v="2024-02-22T00:00:00"/>
        <d v="2024-02-23T00:00:00"/>
        <d v="2024-02-27T00:00:00"/>
        <d v="2024-02-28T00:00:00"/>
        <d v="2024-02-29T00:00:00"/>
        <d v="2024-03-01T00:00:00"/>
        <d v="2024-03-02T00:00:00"/>
        <d v="2024-03-03T00:00:00"/>
        <d v="2024-03-04T00:00:00"/>
        <d v="2024-03-05T00:00:00"/>
        <d v="2024-03-07T00:00:00"/>
        <d v="2024-03-08T00:00:00"/>
        <d v="2024-03-11T00:00:00"/>
        <d v="2024-03-12T00:00:00"/>
        <d v="2024-03-13T00:00:00"/>
        <d v="2024-03-14T00:00:00"/>
        <d v="2024-03-15T00:00:00"/>
        <d v="2024-03-16T00:00:00"/>
        <d v="2024-03-18T00:00:00"/>
        <d v="2024-03-21T00:00:00"/>
        <d v="2024-03-23T00:00:00"/>
        <d v="2024-03-24T00:00:00"/>
        <d v="2024-03-25T00:00:00"/>
        <d v="2024-03-27T00:00:00"/>
        <d v="2024-03-30T00:00:00"/>
        <d v="2024-03-31T00:00:00"/>
        <d v="2024-04-01T00:00:00"/>
        <d v="2024-04-04T00:00:00"/>
        <d v="2024-04-05T00:00:00"/>
        <d v="2024-04-06T00:00:00"/>
        <d v="2024-04-08T00:00:00"/>
        <d v="2024-04-09T00:00:00"/>
        <d v="2024-04-11T00:00:00"/>
        <d v="2024-04-15T00:00:00"/>
        <d v="2024-04-16T00:00:00"/>
        <d v="2024-04-18T00:00:00"/>
        <d v="2024-04-20T00:00:00"/>
        <d v="2024-04-21T00:00:00"/>
        <d v="2024-04-22T00:00:00"/>
        <d v="2024-04-23T00:00:00"/>
        <d v="2024-04-25T00:00:00"/>
        <d v="2024-04-26T00:00:00"/>
        <d v="2024-04-27T00:00:00"/>
        <d v="2024-04-28T00:00:00"/>
        <d v="2024-04-29T00:00:00"/>
        <d v="2024-05-01T00:00:00"/>
        <d v="2024-05-02T00:00:00"/>
        <d v="2024-05-05T00:00:00"/>
        <d v="2024-05-06T00:00:00"/>
        <d v="2024-05-07T00:00:00"/>
        <d v="2024-05-08T00:00:00"/>
        <d v="2024-05-09T00:00:00"/>
        <d v="2024-05-10T00:00:00"/>
        <d v="2024-05-11T00:00:00"/>
        <d v="2024-05-13T00:00:00"/>
        <d v="2024-05-14T00:00:00"/>
        <d v="2024-05-16T00:00:00"/>
        <d v="2024-05-17T00:00:00"/>
        <d v="2024-05-18T00:00:00"/>
        <d v="2024-05-20T00:00:00"/>
        <d v="2024-05-21T00:00:00"/>
        <d v="2024-05-22T00:00:00"/>
        <d v="2024-05-23T00:00:00"/>
        <d v="2024-05-24T00:00:00"/>
        <d v="2024-05-25T00:00:00"/>
        <d v="2024-05-26T00:00:00"/>
        <d v="2024-05-28T00:00:00"/>
        <d v="2024-05-31T00:00:00"/>
        <d v="2024-06-02T00:00:00"/>
        <d v="2024-06-04T00:00:00"/>
        <d v="2024-06-08T00:00:00"/>
        <d v="2024-06-10T00:00:00"/>
        <d v="2024-06-14T00:00:00"/>
        <d v="2024-06-19T00:00:00"/>
        <d v="2024-06-21T00:00:00"/>
        <d v="2024-06-23T00:00:00"/>
        <d v="2024-06-25T00:00:00"/>
        <d v="2024-06-26T00:00:00"/>
        <d v="2024-06-27T00:00:00"/>
        <d v="2024-06-30T00:00:00"/>
        <d v="2024-07-01T00:00:00"/>
        <d v="2024-07-02T00:00:00"/>
        <d v="2024-07-03T00:00:00"/>
        <d v="2024-07-05T00:00:00"/>
        <d v="2024-07-07T00:00:00"/>
        <d v="2024-07-11T00:00:00"/>
        <d v="2024-07-12T00:00:00"/>
        <d v="2024-07-15T00:00:00"/>
        <d v="2024-07-16T00:00:00"/>
        <d v="2024-07-17T00:00:00"/>
        <d v="2024-07-18T00:00:00"/>
        <d v="2024-07-19T00:00:00"/>
        <d v="2024-07-20T00:00:00"/>
        <d v="2024-07-21T00:00:00"/>
        <d v="2024-07-22T00:00:00"/>
        <d v="2024-07-23T00:00:00"/>
        <d v="2024-07-24T00:00:00"/>
        <d v="2024-07-25T00:00:00"/>
        <d v="2024-07-26T00:00:00"/>
        <d v="2024-07-27T00:00:00"/>
        <d v="2024-07-29T00:00:00"/>
        <d v="2024-07-30T00:00:00"/>
        <d v="2024-07-31T00:00:00"/>
        <d v="2024-08-03T00:00:00"/>
        <d v="2024-08-05T00:00:00"/>
        <d v="2024-08-07T00:00:00"/>
        <d v="2024-08-09T00:00:00"/>
        <d v="2024-08-10T00:00:00"/>
        <d v="2024-08-12T00:00:00"/>
        <d v="2024-08-13T00:00:00"/>
        <d v="2024-08-14T00:00:00"/>
        <d v="2024-08-15T00:00:00"/>
        <d v="2024-08-16T00:00:00"/>
        <d v="2024-08-17T00:00:00"/>
        <d v="2024-08-19T00:00:00"/>
        <d v="2024-08-20T00:00:00"/>
        <d v="2024-08-22T00:00:00"/>
        <d v="2024-08-24T00:00:00"/>
        <d v="2024-08-26T00:00:00"/>
        <d v="2024-08-28T00:00:00"/>
        <d v="2024-08-29T00:00:00"/>
        <d v="2024-09-02T00:00:00"/>
        <d v="2024-09-03T00:00:00"/>
        <d v="2024-09-06T00:00:00"/>
        <d v="2024-09-07T00:00:00"/>
        <d v="2024-09-11T00:00:00"/>
        <d v="2024-09-12T00:00:00"/>
        <d v="2024-09-14T00:00:00"/>
        <d v="2024-09-15T00:00:00"/>
        <d v="2024-09-16T00:00:00"/>
        <d v="2024-09-17T00:00:00"/>
        <d v="2024-09-18T00:00:00"/>
        <d v="2024-09-19T00:00:00"/>
        <d v="2024-09-21T00:00:00"/>
        <d v="2024-09-22T00:00:00"/>
        <d v="2024-09-24T00:00:00"/>
        <d v="2024-09-26T00:00:00"/>
        <d v="2024-09-27T00:00:00"/>
        <d v="2024-09-29T00:00:00"/>
        <d v="2024-09-30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6T00:00:00"/>
        <d v="2024-10-27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5T00:00:00"/>
        <d v="2024-11-16T00:00:00"/>
        <d v="2024-11-17T00:00:00"/>
        <d v="2024-11-18T00:00:00"/>
        <d v="2024-11-19T00:00:00"/>
        <d v="2024-11-20T00:00:00"/>
        <d v="2024-11-21T00:00:00"/>
        <d v="2024-11-22T00:00:00"/>
        <d v="2024-11-23T00:00:00"/>
        <d v="2024-11-24T00:00:00"/>
        <d v="2024-11-25T00:00:00"/>
        <d v="2024-11-26T00:00:00"/>
        <d v="2024-11-27T00:00:00"/>
        <d v="2024-11-29T00:00:00"/>
        <d v="2024-11-30T00:00:00"/>
        <d v="2024-12-01T00:00:00"/>
        <d v="2024-12-04T00:00:00"/>
        <d v="2024-12-05T00:00:00"/>
        <d v="2024-12-06T00:00:00"/>
        <d v="2024-12-07T00:00:00"/>
        <d v="2024-12-09T00:00:00"/>
        <d v="2024-12-10T00:00:00"/>
        <d v="2024-12-11T00:00:00"/>
        <d v="2024-12-13T00:00:00"/>
        <d v="2024-12-15T00:00:00"/>
        <d v="2024-12-18T00:00:00"/>
        <d v="2024-12-20T00:00:00"/>
        <d v="2024-12-22T00:00:00"/>
        <d v="2024-12-23T00:00:00"/>
        <d v="2024-12-25T00:00:00"/>
        <d v="2024-12-26T00:00:00"/>
        <d v="2024-12-29T00:00:00"/>
        <d v="2024-12-30T00:00:00"/>
        <d v="2024-12-31T00:00:00"/>
        <d v="2025-01-01T00:00:00"/>
        <d v="2025-01-03T00:00:00"/>
        <d v="2025-01-04T00:00:00"/>
        <d v="2025-01-05T00:00:00"/>
        <d v="2025-01-06T00:00:00"/>
        <d v="2025-01-08T00:00:00"/>
        <d v="2025-01-09T00:00:00"/>
        <d v="2025-01-10T00:00:00"/>
        <d v="2025-01-11T00:00:00"/>
        <d v="2025-01-12T00:00:00"/>
        <d v="2025-01-13T00:00:00"/>
        <d v="2025-01-14T00:00:00"/>
        <d v="2025-01-15T00:00:00"/>
        <d v="2025-01-17T00:00:00"/>
        <d v="2025-01-18T00:00:00"/>
        <d v="2025-01-19T00:00:00"/>
        <d v="2025-01-20T00:00:00"/>
        <d v="2025-01-21T00:00:00"/>
        <d v="2025-01-22T00:00:00"/>
        <d v="2025-01-23T00:00:00"/>
        <d v="2025-01-24T00:00:00"/>
        <d v="2025-01-26T00:00:00"/>
        <d v="2025-01-27T00:00:00"/>
        <d v="2025-01-28T00:00:00"/>
        <d v="2025-01-29T00:00:00"/>
        <d v="2025-02-02T00:00:00"/>
        <d v="2025-02-03T00:00:00"/>
        <d v="2025-02-04T00:00:00"/>
        <d v="2025-02-05T00:00:00"/>
        <d v="2025-02-07T00:00:00"/>
        <d v="2025-02-08T00:00:00"/>
        <d v="2025-02-09T00:00:00"/>
        <d v="2025-02-10T00:00:00"/>
        <d v="2025-02-11T00:00:00"/>
        <d v="2025-02-14T00:00:00"/>
        <d v="2025-02-15T00:00:00"/>
        <d v="2025-02-17T00:00:00"/>
        <d v="2025-02-18T00:00:00"/>
        <d v="2025-02-19T00:00:00"/>
        <d v="2025-02-20T00:00:00"/>
        <d v="2025-02-23T00:00:00"/>
        <d v="2025-02-25T00:00:00"/>
        <d v="2025-02-26T00:00:00"/>
        <d v="2025-02-27T00:00:00"/>
        <d v="2025-03-01T00:00:00"/>
        <d v="2025-03-02T00:00:00"/>
        <d v="2025-03-03T00:00:00"/>
        <d v="2025-03-04T00:00:00"/>
        <d v="2025-03-09T00:00:00"/>
        <d v="2025-03-10T00:00:00"/>
        <d v="2025-03-11T00:00:00"/>
        <d v="2025-03-12T00:00:00"/>
        <d v="2025-03-13T00:00:00"/>
        <d v="2025-03-14T00:00:00"/>
        <d v="2025-03-15T00:00:00"/>
        <d v="2025-03-18T00:00:00"/>
        <d v="2025-03-19T00:00:00"/>
        <d v="2025-03-20T00:00:00"/>
        <d v="2025-03-22T00:00:00"/>
        <d v="2025-03-23T00:00:00"/>
        <d v="2025-03-24T00:00:00"/>
        <d v="2025-03-25T00:00:00"/>
        <d v="2025-03-26T00:00:00"/>
        <d v="2025-03-27T00:00:00"/>
        <d v="2025-03-30T00:00:00"/>
        <d v="2025-03-31T00:00:00"/>
        <d v="2025-04-03T00:00:00"/>
        <d v="2025-04-04T00:00:00"/>
        <d v="2025-04-06T00:00:00"/>
        <d v="2025-04-07T00:00:00"/>
        <d v="2025-04-10T00:00:00"/>
        <d v="2025-04-11T00:00:00"/>
        <d v="2025-04-13T00:00:00"/>
        <d v="2025-04-14T00:00:00"/>
        <d v="2025-04-15T00:00:00"/>
        <d v="2025-04-17T00:00:00"/>
        <d v="2025-04-18T00:00:00"/>
        <d v="2025-04-20T00:00:00"/>
        <d v="2025-04-21T00:00:00"/>
        <d v="2025-04-22T00:00:00"/>
        <d v="2025-04-24T00:00:00"/>
        <d v="2025-04-25T00:00:00"/>
        <d v="2025-04-26T00:00:00"/>
        <d v="2025-04-27T00:00:00"/>
        <d v="2025-04-28T00:00:00"/>
        <d v="2025-04-29T00:00:00"/>
        <d v="2025-05-01T00:00:00"/>
        <d v="2025-05-02T00:00:00"/>
        <d v="2025-05-03T00:00:00"/>
        <d v="2025-05-04T00:00:00"/>
        <d v="2025-05-05T00:00:00"/>
        <d v="2025-05-08T00:00:00"/>
        <d v="2025-05-09T00:00:00"/>
        <d v="2025-05-12T00:00:00"/>
        <d v="2025-05-13T00:00:00"/>
        <d v="2025-05-15T00:00:00"/>
        <d v="2025-05-16T00:00:00"/>
        <d v="2025-05-17T00:00:00"/>
        <d v="2025-05-19T00:00:00"/>
        <d v="2025-05-20T00:00:00"/>
        <d v="2025-05-23T00:00:00"/>
        <d v="2025-05-24T00:00:00"/>
        <d v="2025-05-25T00:00:00"/>
        <d v="2025-05-27T00:00:00"/>
        <d v="2025-05-28T00:00:00"/>
        <d v="2025-05-29T00:00:00"/>
        <d v="2025-05-30T00:00:00"/>
        <d v="2025-05-31T00:00:00"/>
        <d v="2025-06-05T00:00:00"/>
        <d v="2025-06-07T00:00:00"/>
        <d v="2025-06-08T00:00:00"/>
        <d v="2025-06-11T00:00:00"/>
        <d v="2025-06-13T00:00:00"/>
        <d v="2025-06-14T00:00:00"/>
        <d v="2025-06-16T00:00:00"/>
        <d v="2025-06-18T00:00:00"/>
        <d v="2025-06-19T00:00:00"/>
        <d v="2025-06-20T00:00:00"/>
        <d v="2025-06-21T00:00:00"/>
        <d v="2025-06-26T00:00:00"/>
        <d v="2025-06-30T00:00:00"/>
        <d v="2025-07-01T00:00:00"/>
        <d v="2025-07-02T00:00:00"/>
        <d v="2025-07-03T00:00:00"/>
        <d v="2025-07-04T00:00:00"/>
        <d v="2025-07-06T00:00:00"/>
        <d v="2025-07-07T00:00:00"/>
        <d v="2025-07-08T00:00:00"/>
        <d v="2025-07-10T00:00:00"/>
        <d v="2025-07-11T00:00:00"/>
        <d v="2025-07-12T00:00:00"/>
        <d v="2025-07-13T00:00:00"/>
        <d v="2025-07-14T00:00:00"/>
        <d v="2025-07-16T00:00:00"/>
        <d v="2025-07-17T00:00:00"/>
        <d v="2025-07-19T00:00:00"/>
        <d v="2025-07-24T00:00:00"/>
        <d v="2025-07-26T00:00:00"/>
        <d v="2025-07-27T00:00:00"/>
        <d v="2025-07-28T00:00:00"/>
        <d v="2025-07-29T00:00:00"/>
        <d v="2025-07-30T00:00:00"/>
        <d v="2025-08-02T00:00:00"/>
        <d v="2025-08-04T00:00:00"/>
        <d v="2025-08-05T00:00:00"/>
        <d v="2025-08-06T00:00:00"/>
        <d v="2025-08-07T00:00:00"/>
        <d v="2025-08-09T00:00:00"/>
        <d v="2025-08-10T00:00:00"/>
        <d v="2025-08-11T00:00:00"/>
        <d v="2025-08-12T00:00:00"/>
        <d v="2025-08-13T00:00:00"/>
        <d v="2025-08-17T00:00:00"/>
        <d v="2025-08-18T00:00:00"/>
        <d v="2025-08-20T00:00:00"/>
        <d v="2025-08-24T00:00:00"/>
        <d v="2025-08-26T00:00:00"/>
        <d v="2025-08-28T00:00:00"/>
        <d v="2025-08-29T00:00:00"/>
        <d v="2025-08-31T00:00:00"/>
        <d v="2025-09-01T00:00:00"/>
        <d v="2025-09-03T00:00:00"/>
        <d v="2025-09-04T00:00:00"/>
        <d v="2025-09-07T00:00:00"/>
        <d v="2025-09-09T00:00:00"/>
        <d v="2025-09-10T00:00:00"/>
        <d v="2025-09-11T00:00:00"/>
        <d v="2025-09-13T00:00:00"/>
        <d v="2025-09-14T00:00:00"/>
        <d v="2025-09-15T00:00:00"/>
        <d v="2025-09-16T00:00:00"/>
        <d v="2025-09-17T00:00:00"/>
        <d v="2025-09-19T00:00:00"/>
        <d v="2025-09-20T00:00:00"/>
        <d v="2025-09-21T00:00:00"/>
        <d v="2025-09-22T00:00:00"/>
        <d v="2025-09-23T00:00:00"/>
        <d v="2025-09-25T00:00:00"/>
        <d v="2025-09-26T00:00:00"/>
        <d v="2025-09-28T00:00:00"/>
        <d v="2025-09-30T00:00:00"/>
        <d v="2025-10-01T00:00:00"/>
        <d v="2025-10-03T00:00:00"/>
        <d v="2025-10-04T00:00:00"/>
        <d v="2025-10-05T00:00:00"/>
        <d v="2025-10-07T00:00:00"/>
        <d v="2025-10-08T00:00:00"/>
        <d v="2025-10-09T00:00:00"/>
        <d v="2025-10-10T00:00:00"/>
        <d v="2025-10-11T00:00:00"/>
        <d v="2025-10-12T00:00:00"/>
        <d v="2025-10-13T00:00:00"/>
        <d v="2025-10-14T00:00:00"/>
        <d v="2025-10-15T00:00:00"/>
        <d v="2025-10-16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2T00:00:00"/>
        <d v="2025-12-03T00:00:00"/>
        <d v="2025-12-04T00:00:00"/>
        <d v="2025-12-10T00:00:00"/>
        <d v="2025-12-11T00:00:00"/>
        <d v="2025-12-14T00:00:00"/>
        <d v="2025-12-16T00:00:00"/>
        <d v="2025-12-17T00:00:00"/>
        <d v="2025-12-18T00:00:00"/>
        <d v="2025-12-20T00:00:00"/>
        <d v="2025-12-21T00:00:00"/>
        <d v="2025-12-22T00:00:00"/>
        <d v="2025-12-23T00:00:00"/>
        <d v="2025-12-24T00:00:00"/>
        <d v="2025-12-25T00:00:00"/>
        <d v="2025-12-26T00:00:00"/>
        <d v="2025-12-28T00:00:00"/>
        <d v="2025-12-29T00:00:00"/>
      </sharedItems>
      <fieldGroup par="20"/>
    </cacheField>
    <cacheField name="Customer Name" numFmtId="0">
      <sharedItems/>
    </cacheField>
    <cacheField name="Customer Segment" numFmtId="0">
      <sharedItems/>
    </cacheField>
    <cacheField name="Region" numFmtId="0">
      <sharedItems/>
    </cacheField>
    <cacheField name="State" numFmtId="0">
      <sharedItems/>
    </cacheField>
    <cacheField name="Category" numFmtId="0">
      <sharedItems count="6">
        <s v="Electronics"/>
        <s v="Home &amp; Kitchen"/>
        <s v="Books"/>
        <s v="Sports &amp; Fitness"/>
        <s v="Beauty &amp; Personal Care"/>
        <s v="Clothing"/>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5"/>
    </cacheField>
    <cacheField name="Unit Price" numFmtId="4">
      <sharedItems containsSemiMixedTypes="0" containsString="0" containsNumber="1" minValue="155.44" maxValue="64522.43"/>
    </cacheField>
    <cacheField name="Sales" numFmtId="4">
      <sharedItems containsSemiMixedTypes="0" containsString="0" containsNumber="1" minValue="123.95" maxValue="285839.40000000002"/>
    </cacheField>
    <cacheField name="Discount %" numFmtId="164">
      <sharedItems containsSemiMixedTypes="0" containsString="0" containsNumber="1" containsInteger="1" minValue="0" maxValue="30"/>
    </cacheField>
    <cacheField name="Profit" numFmtId="4">
      <sharedItems containsSemiMixedTypes="0" containsString="0" containsNumber="1" minValue="-20163.439999999999" maxValue="24280.05"/>
    </cacheField>
    <cacheField name="Shipping Cost" numFmtId="4">
      <sharedItems containsSemiMixedTypes="0" containsString="0" containsNumber="1" minValue="30.14" maxValue="397.94"/>
    </cacheField>
    <cacheField name="Payment Method" numFmtId="0">
      <sharedItems/>
    </cacheField>
    <cacheField name="Order Priority" numFmtId="0">
      <sharedItems/>
    </cacheField>
    <cacheField name="PM Data" numFmtId="167">
      <sharedItems containsSemiMixedTypes="0" containsString="0" containsNumber="1" minValue="-0.1546296874576519" maxValue="0.37324473533917746"/>
    </cacheField>
    <cacheField name="Months (Order Date)" numFmtId="0" databaseField="0">
      <fieldGroup base="1">
        <rangePr groupBy="months" startDate="2024-01-01T00:00:00" endDate="2025-12-30T00:00:00"/>
        <groupItems count="14">
          <s v="&lt;1/1/2024"/>
          <s v="Jan"/>
          <s v="Feb"/>
          <s v="Mar"/>
          <s v="Apr"/>
          <s v="May"/>
          <s v="Jun"/>
          <s v="Jul"/>
          <s v="Aug"/>
          <s v="Sep"/>
          <s v="Oct"/>
          <s v="Nov"/>
          <s v="Dec"/>
          <s v="&gt;12/30/2025"/>
        </groupItems>
      </fieldGroup>
    </cacheField>
    <cacheField name="Quarters (Order Date)" numFmtId="0" databaseField="0">
      <fieldGroup base="1">
        <rangePr groupBy="quarters" startDate="2024-01-01T00:00:00" endDate="2025-12-30T00:00:00"/>
        <groupItems count="6">
          <s v="&lt;1/1/2024"/>
          <s v="Qtr1"/>
          <s v="Qtr2"/>
          <s v="Qtr3"/>
          <s v="Qtr4"/>
          <s v="&gt;12/30/2025"/>
        </groupItems>
      </fieldGroup>
    </cacheField>
    <cacheField name="Years (Order Date)" numFmtId="0" databaseField="0">
      <fieldGroup base="1">
        <rangePr groupBy="years" startDate="2024-01-01T00:00:00" endDate="2025-12-30T00:00:00"/>
        <groupItems count="4">
          <s v="&lt;1/1/2024"/>
          <s v="2024"/>
          <s v="2025"/>
          <s v="&gt;12/30/2025"/>
        </groupItems>
      </fieldGroup>
    </cacheField>
    <cacheField name="PM Calc" numFmtId="0" formula="Profit/Sales" databaseField="0"/>
  </cacheFields>
  <extLst>
    <ext xmlns:x14="http://schemas.microsoft.com/office/spreadsheetml/2009/9/main" uri="{725AE2AE-9491-48be-B2B4-4EB974FC3084}">
      <x14:pivotCacheDefinition pivotCacheId="2698758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659631365743" createdVersion="8" refreshedVersion="8" minRefreshableVersion="3" recordCount="1000" xr:uid="{395BEDE4-0D22-40AD-B294-70CAE3AA9501}">
  <cacheSource type="worksheet">
    <worksheetSource ref="A1:Q1001" sheet="Order Data"/>
  </cacheSource>
  <cacheFields count="21">
    <cacheField name="Order ID" numFmtId="0">
      <sharedItems/>
    </cacheField>
    <cacheField name="Order Date" numFmtId="165">
      <sharedItems containsSemiMixedTypes="0" containsNonDate="0" containsDate="1" containsString="0" minDate="2024-01-01T00:00:00" maxDate="2025-12-30T00:00:00" count="506">
        <d v="2024-01-01T00:00:00"/>
        <d v="2024-01-02T00:00:00"/>
        <d v="2024-01-03T00:00:00"/>
        <d v="2024-01-05T00:00:00"/>
        <d v="2024-01-09T00:00:00"/>
        <d v="2024-01-10T00:00:00"/>
        <d v="2024-01-12T00:00:00"/>
        <d v="2024-01-13T00:00:00"/>
        <d v="2024-01-15T00:00:00"/>
        <d v="2024-01-16T00:00:00"/>
        <d v="2024-01-17T00:00:00"/>
        <d v="2024-01-19T00:00:00"/>
        <d v="2024-01-20T00:00:00"/>
        <d v="2024-01-21T00:00:00"/>
        <d v="2024-01-22T00:00:00"/>
        <d v="2024-01-23T00:00:00"/>
        <d v="2024-01-24T00:00:00"/>
        <d v="2024-01-25T00:00:00"/>
        <d v="2024-01-28T00:00:00"/>
        <d v="2024-01-29T00:00:00"/>
        <d v="2024-02-01T00:00:00"/>
        <d v="2024-02-02T00:00:00"/>
        <d v="2024-02-05T00:00:00"/>
        <d v="2024-02-06T00:00:00"/>
        <d v="2024-02-07T00:00:00"/>
        <d v="2024-02-08T00:00:00"/>
        <d v="2024-02-09T00:00:00"/>
        <d v="2024-02-10T00:00:00"/>
        <d v="2024-02-11T00:00:00"/>
        <d v="2024-02-12T00:00:00"/>
        <d v="2024-02-13T00:00:00"/>
        <d v="2024-02-14T00:00:00"/>
        <d v="2024-02-15T00:00:00"/>
        <d v="2024-02-16T00:00:00"/>
        <d v="2024-02-17T00:00:00"/>
        <d v="2024-02-19T00:00:00"/>
        <d v="2024-02-20T00:00:00"/>
        <d v="2024-02-22T00:00:00"/>
        <d v="2024-02-23T00:00:00"/>
        <d v="2024-02-27T00:00:00"/>
        <d v="2024-02-28T00:00:00"/>
        <d v="2024-02-29T00:00:00"/>
        <d v="2024-03-01T00:00:00"/>
        <d v="2024-03-02T00:00:00"/>
        <d v="2024-03-03T00:00:00"/>
        <d v="2024-03-04T00:00:00"/>
        <d v="2024-03-05T00:00:00"/>
        <d v="2024-03-07T00:00:00"/>
        <d v="2024-03-08T00:00:00"/>
        <d v="2024-03-11T00:00:00"/>
        <d v="2024-03-12T00:00:00"/>
        <d v="2024-03-13T00:00:00"/>
        <d v="2024-03-14T00:00:00"/>
        <d v="2024-03-15T00:00:00"/>
        <d v="2024-03-16T00:00:00"/>
        <d v="2024-03-18T00:00:00"/>
        <d v="2024-03-21T00:00:00"/>
        <d v="2024-03-23T00:00:00"/>
        <d v="2024-03-24T00:00:00"/>
        <d v="2024-03-25T00:00:00"/>
        <d v="2024-03-27T00:00:00"/>
        <d v="2024-03-30T00:00:00"/>
        <d v="2024-03-31T00:00:00"/>
        <d v="2024-04-01T00:00:00"/>
        <d v="2024-04-04T00:00:00"/>
        <d v="2024-04-05T00:00:00"/>
        <d v="2024-04-06T00:00:00"/>
        <d v="2024-04-08T00:00:00"/>
        <d v="2024-04-09T00:00:00"/>
        <d v="2024-04-11T00:00:00"/>
        <d v="2024-04-15T00:00:00"/>
        <d v="2024-04-16T00:00:00"/>
        <d v="2024-04-18T00:00:00"/>
        <d v="2024-04-20T00:00:00"/>
        <d v="2024-04-21T00:00:00"/>
        <d v="2024-04-22T00:00:00"/>
        <d v="2024-04-23T00:00:00"/>
        <d v="2024-04-25T00:00:00"/>
        <d v="2024-04-26T00:00:00"/>
        <d v="2024-04-27T00:00:00"/>
        <d v="2024-04-28T00:00:00"/>
        <d v="2024-04-29T00:00:00"/>
        <d v="2024-05-01T00:00:00"/>
        <d v="2024-05-02T00:00:00"/>
        <d v="2024-05-05T00:00:00"/>
        <d v="2024-05-06T00:00:00"/>
        <d v="2024-05-07T00:00:00"/>
        <d v="2024-05-08T00:00:00"/>
        <d v="2024-05-09T00:00:00"/>
        <d v="2024-05-10T00:00:00"/>
        <d v="2024-05-11T00:00:00"/>
        <d v="2024-05-13T00:00:00"/>
        <d v="2024-05-14T00:00:00"/>
        <d v="2024-05-16T00:00:00"/>
        <d v="2024-05-17T00:00:00"/>
        <d v="2024-05-18T00:00:00"/>
        <d v="2024-05-20T00:00:00"/>
        <d v="2024-05-21T00:00:00"/>
        <d v="2024-05-22T00:00:00"/>
        <d v="2024-05-23T00:00:00"/>
        <d v="2024-05-24T00:00:00"/>
        <d v="2024-05-25T00:00:00"/>
        <d v="2024-05-26T00:00:00"/>
        <d v="2024-05-28T00:00:00"/>
        <d v="2024-05-31T00:00:00"/>
        <d v="2024-06-02T00:00:00"/>
        <d v="2024-06-04T00:00:00"/>
        <d v="2024-06-08T00:00:00"/>
        <d v="2024-06-10T00:00:00"/>
        <d v="2024-06-14T00:00:00"/>
        <d v="2024-06-19T00:00:00"/>
        <d v="2024-06-21T00:00:00"/>
        <d v="2024-06-23T00:00:00"/>
        <d v="2024-06-25T00:00:00"/>
        <d v="2024-06-26T00:00:00"/>
        <d v="2024-06-27T00:00:00"/>
        <d v="2024-06-30T00:00:00"/>
        <d v="2024-07-01T00:00:00"/>
        <d v="2024-07-02T00:00:00"/>
        <d v="2024-07-03T00:00:00"/>
        <d v="2024-07-05T00:00:00"/>
        <d v="2024-07-07T00:00:00"/>
        <d v="2024-07-11T00:00:00"/>
        <d v="2024-07-12T00:00:00"/>
        <d v="2024-07-15T00:00:00"/>
        <d v="2024-07-16T00:00:00"/>
        <d v="2024-07-17T00:00:00"/>
        <d v="2024-07-18T00:00:00"/>
        <d v="2024-07-19T00:00:00"/>
        <d v="2024-07-20T00:00:00"/>
        <d v="2024-07-21T00:00:00"/>
        <d v="2024-07-22T00:00:00"/>
        <d v="2024-07-23T00:00:00"/>
        <d v="2024-07-24T00:00:00"/>
        <d v="2024-07-25T00:00:00"/>
        <d v="2024-07-26T00:00:00"/>
        <d v="2024-07-27T00:00:00"/>
        <d v="2024-07-29T00:00:00"/>
        <d v="2024-07-30T00:00:00"/>
        <d v="2024-07-31T00:00:00"/>
        <d v="2024-08-03T00:00:00"/>
        <d v="2024-08-05T00:00:00"/>
        <d v="2024-08-07T00:00:00"/>
        <d v="2024-08-09T00:00:00"/>
        <d v="2024-08-10T00:00:00"/>
        <d v="2024-08-12T00:00:00"/>
        <d v="2024-08-13T00:00:00"/>
        <d v="2024-08-14T00:00:00"/>
        <d v="2024-08-15T00:00:00"/>
        <d v="2024-08-16T00:00:00"/>
        <d v="2024-08-17T00:00:00"/>
        <d v="2024-08-19T00:00:00"/>
        <d v="2024-08-20T00:00:00"/>
        <d v="2024-08-22T00:00:00"/>
        <d v="2024-08-24T00:00:00"/>
        <d v="2024-08-26T00:00:00"/>
        <d v="2024-08-28T00:00:00"/>
        <d v="2024-08-29T00:00:00"/>
        <d v="2024-09-02T00:00:00"/>
        <d v="2024-09-03T00:00:00"/>
        <d v="2024-09-06T00:00:00"/>
        <d v="2024-09-07T00:00:00"/>
        <d v="2024-09-11T00:00:00"/>
        <d v="2024-09-12T00:00:00"/>
        <d v="2024-09-14T00:00:00"/>
        <d v="2024-09-15T00:00:00"/>
        <d v="2024-09-16T00:00:00"/>
        <d v="2024-09-17T00:00:00"/>
        <d v="2024-09-18T00:00:00"/>
        <d v="2024-09-19T00:00:00"/>
        <d v="2024-09-21T00:00:00"/>
        <d v="2024-09-22T00:00:00"/>
        <d v="2024-09-24T00:00:00"/>
        <d v="2024-09-26T00:00:00"/>
        <d v="2024-09-27T00:00:00"/>
        <d v="2024-09-29T00:00:00"/>
        <d v="2024-09-30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6T00:00:00"/>
        <d v="2024-10-27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5T00:00:00"/>
        <d v="2024-11-16T00:00:00"/>
        <d v="2024-11-17T00:00:00"/>
        <d v="2024-11-18T00:00:00"/>
        <d v="2024-11-19T00:00:00"/>
        <d v="2024-11-20T00:00:00"/>
        <d v="2024-11-21T00:00:00"/>
        <d v="2024-11-22T00:00:00"/>
        <d v="2024-11-23T00:00:00"/>
        <d v="2024-11-24T00:00:00"/>
        <d v="2024-11-25T00:00:00"/>
        <d v="2024-11-26T00:00:00"/>
        <d v="2024-11-27T00:00:00"/>
        <d v="2024-11-29T00:00:00"/>
        <d v="2024-11-30T00:00:00"/>
        <d v="2024-12-01T00:00:00"/>
        <d v="2024-12-04T00:00:00"/>
        <d v="2024-12-05T00:00:00"/>
        <d v="2024-12-06T00:00:00"/>
        <d v="2024-12-07T00:00:00"/>
        <d v="2024-12-09T00:00:00"/>
        <d v="2024-12-10T00:00:00"/>
        <d v="2024-12-11T00:00:00"/>
        <d v="2024-12-13T00:00:00"/>
        <d v="2024-12-15T00:00:00"/>
        <d v="2024-12-18T00:00:00"/>
        <d v="2024-12-20T00:00:00"/>
        <d v="2024-12-22T00:00:00"/>
        <d v="2024-12-23T00:00:00"/>
        <d v="2024-12-25T00:00:00"/>
        <d v="2024-12-26T00:00:00"/>
        <d v="2024-12-29T00:00:00"/>
        <d v="2024-12-30T00:00:00"/>
        <d v="2024-12-31T00:00:00"/>
        <d v="2025-01-01T00:00:00"/>
        <d v="2025-01-03T00:00:00"/>
        <d v="2025-01-04T00:00:00"/>
        <d v="2025-01-05T00:00:00"/>
        <d v="2025-01-06T00:00:00"/>
        <d v="2025-01-08T00:00:00"/>
        <d v="2025-01-09T00:00:00"/>
        <d v="2025-01-10T00:00:00"/>
        <d v="2025-01-11T00:00:00"/>
        <d v="2025-01-12T00:00:00"/>
        <d v="2025-01-13T00:00:00"/>
        <d v="2025-01-14T00:00:00"/>
        <d v="2025-01-15T00:00:00"/>
        <d v="2025-01-17T00:00:00"/>
        <d v="2025-01-18T00:00:00"/>
        <d v="2025-01-19T00:00:00"/>
        <d v="2025-01-20T00:00:00"/>
        <d v="2025-01-21T00:00:00"/>
        <d v="2025-01-22T00:00:00"/>
        <d v="2025-01-23T00:00:00"/>
        <d v="2025-01-24T00:00:00"/>
        <d v="2025-01-26T00:00:00"/>
        <d v="2025-01-27T00:00:00"/>
        <d v="2025-01-28T00:00:00"/>
        <d v="2025-01-29T00:00:00"/>
        <d v="2025-02-02T00:00:00"/>
        <d v="2025-02-03T00:00:00"/>
        <d v="2025-02-04T00:00:00"/>
        <d v="2025-02-05T00:00:00"/>
        <d v="2025-02-07T00:00:00"/>
        <d v="2025-02-08T00:00:00"/>
        <d v="2025-02-09T00:00:00"/>
        <d v="2025-02-10T00:00:00"/>
        <d v="2025-02-11T00:00:00"/>
        <d v="2025-02-14T00:00:00"/>
        <d v="2025-02-15T00:00:00"/>
        <d v="2025-02-17T00:00:00"/>
        <d v="2025-02-18T00:00:00"/>
        <d v="2025-02-19T00:00:00"/>
        <d v="2025-02-20T00:00:00"/>
        <d v="2025-02-23T00:00:00"/>
        <d v="2025-02-25T00:00:00"/>
        <d v="2025-02-26T00:00:00"/>
        <d v="2025-02-27T00:00:00"/>
        <d v="2025-03-01T00:00:00"/>
        <d v="2025-03-02T00:00:00"/>
        <d v="2025-03-03T00:00:00"/>
        <d v="2025-03-04T00:00:00"/>
        <d v="2025-03-09T00:00:00"/>
        <d v="2025-03-10T00:00:00"/>
        <d v="2025-03-11T00:00:00"/>
        <d v="2025-03-12T00:00:00"/>
        <d v="2025-03-13T00:00:00"/>
        <d v="2025-03-14T00:00:00"/>
        <d v="2025-03-15T00:00:00"/>
        <d v="2025-03-18T00:00:00"/>
        <d v="2025-03-19T00:00:00"/>
        <d v="2025-03-20T00:00:00"/>
        <d v="2025-03-22T00:00:00"/>
        <d v="2025-03-23T00:00:00"/>
        <d v="2025-03-24T00:00:00"/>
        <d v="2025-03-25T00:00:00"/>
        <d v="2025-03-26T00:00:00"/>
        <d v="2025-03-27T00:00:00"/>
        <d v="2025-03-30T00:00:00"/>
        <d v="2025-03-31T00:00:00"/>
        <d v="2025-04-03T00:00:00"/>
        <d v="2025-04-04T00:00:00"/>
        <d v="2025-04-06T00:00:00"/>
        <d v="2025-04-07T00:00:00"/>
        <d v="2025-04-10T00:00:00"/>
        <d v="2025-04-11T00:00:00"/>
        <d v="2025-04-13T00:00:00"/>
        <d v="2025-04-14T00:00:00"/>
        <d v="2025-04-15T00:00:00"/>
        <d v="2025-04-17T00:00:00"/>
        <d v="2025-04-18T00:00:00"/>
        <d v="2025-04-20T00:00:00"/>
        <d v="2025-04-21T00:00:00"/>
        <d v="2025-04-22T00:00:00"/>
        <d v="2025-04-24T00:00:00"/>
        <d v="2025-04-25T00:00:00"/>
        <d v="2025-04-26T00:00:00"/>
        <d v="2025-04-27T00:00:00"/>
        <d v="2025-04-28T00:00:00"/>
        <d v="2025-04-29T00:00:00"/>
        <d v="2025-05-01T00:00:00"/>
        <d v="2025-05-02T00:00:00"/>
        <d v="2025-05-03T00:00:00"/>
        <d v="2025-05-04T00:00:00"/>
        <d v="2025-05-05T00:00:00"/>
        <d v="2025-05-08T00:00:00"/>
        <d v="2025-05-09T00:00:00"/>
        <d v="2025-05-12T00:00:00"/>
        <d v="2025-05-13T00:00:00"/>
        <d v="2025-05-15T00:00:00"/>
        <d v="2025-05-16T00:00:00"/>
        <d v="2025-05-17T00:00:00"/>
        <d v="2025-05-19T00:00:00"/>
        <d v="2025-05-20T00:00:00"/>
        <d v="2025-05-23T00:00:00"/>
        <d v="2025-05-24T00:00:00"/>
        <d v="2025-05-25T00:00:00"/>
        <d v="2025-05-27T00:00:00"/>
        <d v="2025-05-28T00:00:00"/>
        <d v="2025-05-29T00:00:00"/>
        <d v="2025-05-30T00:00:00"/>
        <d v="2025-05-31T00:00:00"/>
        <d v="2025-06-05T00:00:00"/>
        <d v="2025-06-07T00:00:00"/>
        <d v="2025-06-08T00:00:00"/>
        <d v="2025-06-11T00:00:00"/>
        <d v="2025-06-13T00:00:00"/>
        <d v="2025-06-14T00:00:00"/>
        <d v="2025-06-16T00:00:00"/>
        <d v="2025-06-18T00:00:00"/>
        <d v="2025-06-19T00:00:00"/>
        <d v="2025-06-20T00:00:00"/>
        <d v="2025-06-21T00:00:00"/>
        <d v="2025-06-26T00:00:00"/>
        <d v="2025-06-30T00:00:00"/>
        <d v="2025-07-01T00:00:00"/>
        <d v="2025-07-02T00:00:00"/>
        <d v="2025-07-03T00:00:00"/>
        <d v="2025-07-04T00:00:00"/>
        <d v="2025-07-06T00:00:00"/>
        <d v="2025-07-07T00:00:00"/>
        <d v="2025-07-08T00:00:00"/>
        <d v="2025-07-10T00:00:00"/>
        <d v="2025-07-11T00:00:00"/>
        <d v="2025-07-12T00:00:00"/>
        <d v="2025-07-13T00:00:00"/>
        <d v="2025-07-14T00:00:00"/>
        <d v="2025-07-16T00:00:00"/>
        <d v="2025-07-17T00:00:00"/>
        <d v="2025-07-19T00:00:00"/>
        <d v="2025-07-24T00:00:00"/>
        <d v="2025-07-26T00:00:00"/>
        <d v="2025-07-27T00:00:00"/>
        <d v="2025-07-28T00:00:00"/>
        <d v="2025-07-29T00:00:00"/>
        <d v="2025-07-30T00:00:00"/>
        <d v="2025-08-02T00:00:00"/>
        <d v="2025-08-04T00:00:00"/>
        <d v="2025-08-05T00:00:00"/>
        <d v="2025-08-06T00:00:00"/>
        <d v="2025-08-07T00:00:00"/>
        <d v="2025-08-09T00:00:00"/>
        <d v="2025-08-10T00:00:00"/>
        <d v="2025-08-11T00:00:00"/>
        <d v="2025-08-12T00:00:00"/>
        <d v="2025-08-13T00:00:00"/>
        <d v="2025-08-17T00:00:00"/>
        <d v="2025-08-18T00:00:00"/>
        <d v="2025-08-20T00:00:00"/>
        <d v="2025-08-24T00:00:00"/>
        <d v="2025-08-26T00:00:00"/>
        <d v="2025-08-28T00:00:00"/>
        <d v="2025-08-29T00:00:00"/>
        <d v="2025-08-31T00:00:00"/>
        <d v="2025-09-01T00:00:00"/>
        <d v="2025-09-03T00:00:00"/>
        <d v="2025-09-04T00:00:00"/>
        <d v="2025-09-07T00:00:00"/>
        <d v="2025-09-09T00:00:00"/>
        <d v="2025-09-10T00:00:00"/>
        <d v="2025-09-11T00:00:00"/>
        <d v="2025-09-13T00:00:00"/>
        <d v="2025-09-14T00:00:00"/>
        <d v="2025-09-15T00:00:00"/>
        <d v="2025-09-16T00:00:00"/>
        <d v="2025-09-17T00:00:00"/>
        <d v="2025-09-19T00:00:00"/>
        <d v="2025-09-20T00:00:00"/>
        <d v="2025-09-21T00:00:00"/>
        <d v="2025-09-22T00:00:00"/>
        <d v="2025-09-23T00:00:00"/>
        <d v="2025-09-25T00:00:00"/>
        <d v="2025-09-26T00:00:00"/>
        <d v="2025-09-28T00:00:00"/>
        <d v="2025-09-30T00:00:00"/>
        <d v="2025-10-01T00:00:00"/>
        <d v="2025-10-03T00:00:00"/>
        <d v="2025-10-04T00:00:00"/>
        <d v="2025-10-05T00:00:00"/>
        <d v="2025-10-07T00:00:00"/>
        <d v="2025-10-08T00:00:00"/>
        <d v="2025-10-09T00:00:00"/>
        <d v="2025-10-10T00:00:00"/>
        <d v="2025-10-11T00:00:00"/>
        <d v="2025-10-12T00:00:00"/>
        <d v="2025-10-13T00:00:00"/>
        <d v="2025-10-14T00:00:00"/>
        <d v="2025-10-15T00:00:00"/>
        <d v="2025-10-16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2T00:00:00"/>
        <d v="2025-12-03T00:00:00"/>
        <d v="2025-12-04T00:00:00"/>
        <d v="2025-12-10T00:00:00"/>
        <d v="2025-12-11T00:00:00"/>
        <d v="2025-12-14T00:00:00"/>
        <d v="2025-12-16T00:00:00"/>
        <d v="2025-12-17T00:00:00"/>
        <d v="2025-12-18T00:00:00"/>
        <d v="2025-12-20T00:00:00"/>
        <d v="2025-12-21T00:00:00"/>
        <d v="2025-12-22T00:00:00"/>
        <d v="2025-12-23T00:00:00"/>
        <d v="2025-12-24T00:00:00"/>
        <d v="2025-12-25T00:00:00"/>
        <d v="2025-12-26T00:00:00"/>
        <d v="2025-12-28T00:00:00"/>
        <d v="2025-12-29T00:00:00"/>
      </sharedItems>
      <fieldGroup par="19"/>
    </cacheField>
    <cacheField name="Customer Name" numFmtId="0">
      <sharedItems count="488">
        <s v="Simran Sharma"/>
        <s v="Ishaan Nair"/>
        <s v="Ayaan Reddy"/>
        <s v="Kabir Kapoor"/>
        <s v="Raj Mishra"/>
        <s v="Dhruv Joshi"/>
        <s v="Meera Mehta"/>
        <s v="Simran Gupta"/>
        <s v="Anika Chopra"/>
        <s v="Raj Sharma"/>
        <s v="Ishaan Joshi"/>
        <s v="Sai Patel"/>
        <s v="Pooja Iyer"/>
        <s v="Vihaan Kapoor"/>
        <s v="Priya Mishra"/>
        <s v="Ananya Desai"/>
        <s v="Dhruv Iyer"/>
        <s v="Aadhya Iyer"/>
        <s v="Navya Bose"/>
        <s v="Neha Patel"/>
        <s v="Aadhya Patel"/>
        <s v="Dhruv Malhotra"/>
        <s v="Aditya Das"/>
        <s v="Neha Iyer"/>
        <s v="Vihaan Khan"/>
        <s v="Arjun Rao"/>
        <s v="Arjun Singh"/>
        <s v="Aditya Gupta"/>
        <s v="Rohan Das"/>
        <s v="Myra Verma"/>
        <s v="Priya Iyer"/>
        <s v="Simran Bose"/>
        <s v="Arjun Gupta"/>
        <s v="Aarav Agarwal"/>
        <s v="Diya Verma"/>
        <s v="Pooja Das"/>
        <s v="Simran Nair"/>
        <s v="Meera Malhotra"/>
        <s v="Navya Nair"/>
        <s v="Aadhya Verma"/>
        <s v="Sai Nair"/>
        <s v="Krishna Patel"/>
        <s v="Saanvi Malhotra"/>
        <s v="Vivaan Chopra"/>
        <s v="Ananya Gupta"/>
        <s v="Reyansh Reddy"/>
        <s v="Vivaan Singh"/>
        <s v="Pooja Bose"/>
        <s v="Karan Das"/>
        <s v="Reyansh Khan"/>
        <s v="Kabir Gupta"/>
        <s v="Ayaan Nair"/>
        <s v="Aditya Mishra"/>
        <s v="Pooja Singh"/>
        <s v="Kabir Joshi"/>
        <s v="Anika Gupta"/>
        <s v="Pooja Chopra"/>
        <s v="Rohan Iyer"/>
        <s v="Reyansh Nair"/>
        <s v="Rohan Verma"/>
        <s v="Riya Patel"/>
        <s v="Dhruv Rao"/>
        <s v="Aadhya Khan"/>
        <s v="Aditya Chopra"/>
        <s v="Kiara Rao"/>
        <s v="Karan Khan"/>
        <s v="Meera Joshi"/>
        <s v="Aadhya Rao"/>
        <s v="Ananya Singh"/>
        <s v="Reyansh Mishra"/>
        <s v="Saanvi Iyer"/>
        <s v="Sai Bose"/>
        <s v="Rohan Patel"/>
        <s v="Kiara Agarwal"/>
        <s v="Vivaan Verma"/>
        <s v="Riya Desai"/>
        <s v="Myra Das"/>
        <s v="Reyansh Iyer"/>
        <s v="Anika Malhotra"/>
        <s v="Saanvi Singh"/>
        <s v="Pooja Verma"/>
        <s v="Diya Desai"/>
        <s v="Meera Chopra"/>
        <s v="Myra Gupta"/>
        <s v="Vihaan Nair"/>
        <s v="Reyansh Gupta"/>
        <s v="Priya Das"/>
        <s v="Ananya Patel"/>
        <s v="Pooja Desai"/>
        <s v="Aditya Rao"/>
        <s v="Ayaan Gupta"/>
        <s v="Sai Gupta"/>
        <s v="Krishna Kapoor"/>
        <s v="Myra Mehta"/>
        <s v="Riya Kapoor"/>
        <s v="Anika Joshi"/>
        <s v="Aarav Mehta"/>
        <s v="Karan Mishra"/>
        <s v="Myra Patel"/>
        <s v="Vihaan Patel"/>
        <s v="Pooja Mehta"/>
        <s v="Myra Bose"/>
        <s v="Rohan Kapoor"/>
        <s v="Simran Mishra"/>
        <s v="Krishna Rao"/>
        <s v="Dhruv Khan"/>
        <s v="Myra Rao"/>
        <s v="Aarav Singh"/>
        <s v="Priya Verma"/>
        <s v="Sai Iyer"/>
        <s v="Saanvi Mishra"/>
        <s v="Diya Patel"/>
        <s v="Ananya Bose"/>
        <s v="Arjun Agarwal"/>
        <s v="Anika Khan"/>
        <s v="Ayaan Khan"/>
        <s v="Ananya Joshi"/>
        <s v="Pooja Kapoor"/>
        <s v="Aarav Nair"/>
        <s v="Myra Joshi"/>
        <s v="Navya Rao"/>
        <s v="Kabir Singh"/>
        <s v="Riya Chopra"/>
        <s v="Rohan Nair"/>
        <s v="Kiara Reddy"/>
        <s v="Aarav Reddy"/>
        <s v="Aadhya Sharma"/>
        <s v="Anika Bose"/>
        <s v="Karan Verma"/>
        <s v="Karan Bose"/>
        <s v="Kiara Nair"/>
        <s v="Ishaan Gupta"/>
        <s v="Ira Verma"/>
        <s v="Arjun Malhotra"/>
        <s v="Ira Agarwal"/>
        <s v="Sai Desai"/>
        <s v="Krishna Reddy"/>
        <s v="Karan Desai"/>
        <s v="Sai Sharma"/>
        <s v="Dhruv Verma"/>
        <s v="Aditya Nair"/>
        <s v="Vihaan Mishra"/>
        <s v="Ayaan Kapoor"/>
        <s v="Navya Agarwal"/>
        <s v="Diya Mishra"/>
        <s v="Vihaan Agarwal"/>
        <s v="Ishaan Verma"/>
        <s v="Sai Rao"/>
        <s v="Ananya Agarwal"/>
        <s v="Krishna Gupta"/>
        <s v="Vivaan Mehta"/>
        <s v="Neha Kapoor"/>
        <s v="Kabir Iyer"/>
        <s v="Vihaan Verma"/>
        <s v="Diya Iyer"/>
        <s v="Myra Malhotra"/>
        <s v="Diya Nair"/>
        <s v="Aarav Verma"/>
        <s v="Aarav Das"/>
        <s v="Kiara Mishra"/>
        <s v="Diya Mehta"/>
        <s v="Ishaan Desai"/>
        <s v="Meera Gupta"/>
        <s v="Aditya Khan"/>
        <s v="Priya Kapoor"/>
        <s v="Navya Khan"/>
        <s v="Myra Agarwal"/>
        <s v="Meera Patel"/>
        <s v="Simran Joshi"/>
        <s v="Navya Mishra"/>
        <s v="Ananya Chopra"/>
        <s v="Krishna Malhotra"/>
        <s v="Karan Agarwal"/>
        <s v="Kabir Das"/>
        <s v="Ira Desai"/>
        <s v="Ira Khan"/>
        <s v="Rohan Malhotra"/>
        <s v="Ananya Reddy"/>
        <s v="Aadhya Mishra"/>
        <s v="Reyansh Joshi"/>
        <s v="Kiara Mehta"/>
        <s v="Karan Gupta"/>
        <s v="Krishna Nair"/>
        <s v="Priya Sharma"/>
        <s v="Rohan Bose"/>
        <s v="Raj Iyer"/>
        <s v="Raj Nair"/>
        <s v="Myra Iyer"/>
        <s v="Kabir Chopra"/>
        <s v="Simran Das"/>
        <s v="Vivaan Rao"/>
        <s v="Neha Mishra"/>
        <s v="Karan Iyer"/>
        <s v="Kabir Desai"/>
        <s v="Sai Mehta"/>
        <s v="Kiara Sharma"/>
        <s v="Anika Rao"/>
        <s v="Simran Iyer"/>
        <s v="Saanvi Reddy"/>
        <s v="Diya Khan"/>
        <s v="Ira Reddy"/>
        <s v="Priya Chopra"/>
        <s v="Saanvi Gupta"/>
        <s v="Ishaan Mehta"/>
        <s v="Arjun Sharma"/>
        <s v="Sai Joshi"/>
        <s v="Navya Desai"/>
        <s v="Myra Chopra"/>
        <s v="Dhruv Agarwal"/>
        <s v="Ira Iyer"/>
        <s v="Ira Singh"/>
        <s v="Navya Verma"/>
        <s v="Kiara Joshi"/>
        <s v="Riya Bose"/>
        <s v="Ananya Malhotra"/>
        <s v="Raj Singh"/>
        <s v="Vivaan Reddy"/>
        <s v="Vivaan Patel"/>
        <s v="Dhruv Chopra"/>
        <s v="Aadhya Chopra"/>
        <s v="Raj Chopra"/>
        <s v="Simran Reddy"/>
        <s v="Ananya Kapoor"/>
        <s v="Vivaan Kapoor"/>
        <s v="Priya Patel"/>
        <s v="Anika Nair"/>
        <s v="Simran Singh"/>
        <s v="Aditya Singh"/>
        <s v="Raj Das"/>
        <s v="Ishaan Khan"/>
        <s v="Karan Rao"/>
        <s v="Kiara Malhotra"/>
        <s v="Kiara Kapoor"/>
        <s v="Karan Sharma"/>
        <s v="Navya Patel"/>
        <s v="Arjun Bose"/>
        <s v="Dhruv Bose"/>
        <s v="Sai Verma"/>
        <s v="Ayaan Rao"/>
        <s v="Sai Agarwal"/>
        <s v="Aadhya Nair"/>
        <s v="Riya Singh"/>
        <s v="Neha Malhotra"/>
        <s v="Vihaan Sharma"/>
        <s v="Aarav Sharma"/>
        <s v="Diya Agarwal"/>
        <s v="Diya Bose"/>
        <s v="Anika Mishra"/>
        <s v="Ayaan Patel"/>
        <s v="Neha Singh"/>
        <s v="Ira Mehta"/>
        <s v="Saanvi Chopra"/>
        <s v="Raj Gupta"/>
        <s v="Dhruv Sharma"/>
        <s v="Meera Das"/>
        <s v="Simran Chopra"/>
        <s v="Vihaan Iyer"/>
        <s v="Arjun Patel"/>
        <s v="Aadhya Singh"/>
        <s v="Aadhya Mehta"/>
        <s v="Neha Rao"/>
        <s v="Myra Reddy"/>
        <s v="Meera Desai"/>
        <s v="Ishaan Agarwal"/>
        <s v="Myra Desai"/>
        <s v="Ira Patel"/>
        <s v="Sai Kapoor"/>
        <s v="Krishna Bose"/>
        <s v="Vivaan Gupta"/>
        <s v="Ira Kapoor"/>
        <s v="Meera Sharma"/>
        <s v="Vihaan Mehta"/>
        <s v="Navya Iyer"/>
        <s v="Reyansh Sharma"/>
        <s v="Neha Mehta"/>
        <s v="Vivaan Bose"/>
        <s v="Reyansh Verma"/>
        <s v="Kabir Mishra"/>
        <s v="Diya Sharma"/>
        <s v="Riya Mishra"/>
        <s v="Vihaan Joshi"/>
        <s v="Ira Das"/>
        <s v="Aarav Desai"/>
        <s v="Priya Nair"/>
        <s v="Vivaan Desai"/>
        <s v="Ishaan Rao"/>
        <s v="Saanvi Agarwal"/>
        <s v="Dhruv Nair"/>
        <s v="Krishna Das"/>
        <s v="Sai Khan"/>
        <s v="Diya Kapoor"/>
        <s v="Saanvi Das"/>
        <s v="Dhruv Patel"/>
        <s v="Rohan Reddy"/>
        <s v="Neha Gupta"/>
        <s v="Rohan Mehta"/>
        <s v="Arjun Khan"/>
        <s v="Ira Chopra"/>
        <s v="Kabir Agarwal"/>
        <s v="Anika Iyer"/>
        <s v="Pooja Nair"/>
        <s v="Navya Reddy"/>
        <s v="Myra Mishra"/>
        <s v="Priya Mehta"/>
        <s v="Vivaan Joshi"/>
        <s v="Dhruv Kapoor"/>
        <s v="Navya Kapoor"/>
        <s v="Saanvi Sharma"/>
        <s v="Aadhya Reddy"/>
        <s v="Ishaan Kapoor"/>
        <s v="Reyansh Singh"/>
        <s v="Priya Singh"/>
        <s v="Riya Reddy"/>
        <s v="Ishaan Mishra"/>
        <s v="Aditya Desai"/>
        <s v="Vivaan Agarwal"/>
        <s v="Saanvi Desai"/>
        <s v="Pooja Gupta"/>
        <s v="Ananya Sharma"/>
        <s v="Rohan Khan"/>
        <s v="Anika Patel"/>
        <s v="Vivaan Mishra"/>
        <s v="Sai Mishra"/>
        <s v="Vihaan Malhotra"/>
        <s v="Aarav Khan"/>
        <s v="Saanvi Khan"/>
        <s v="Ayaan Iyer"/>
        <s v="Vivaan Malhotra"/>
        <s v="Ayaan Bose"/>
        <s v="Riya Das"/>
        <s v="Kiara Gupta"/>
        <s v="Ishaan Reddy"/>
        <s v="Rohan Gupta"/>
        <s v="Meera Bose"/>
        <s v="Karan Reddy"/>
        <s v="Aditya Joshi"/>
        <s v="Pooja Patel"/>
        <s v="Rohan Mishra"/>
        <s v="Vihaan Rao"/>
        <s v="Sai Malhotra"/>
        <s v="Kabir Reddy"/>
        <s v="Dhruv Mishra"/>
        <s v="Neha Bose"/>
        <s v="Pooja Agarwal"/>
        <s v="Ira Joshi"/>
        <s v="Ishaan Bose"/>
        <s v="Kiara Iyer"/>
        <s v="Reyansh Mehta"/>
        <s v="Reyansh Malhotra"/>
        <s v="Rohan Joshi"/>
        <s v="Meera Verma"/>
        <s v="Kabir Mehta"/>
        <s v="Raj Bose"/>
        <s v="Dhruv Das"/>
        <s v="Neha Khan"/>
        <s v="Kiara Das"/>
        <s v="Ananya Iyer"/>
        <s v="Aarav Chopra"/>
        <s v="Meera Mishra"/>
        <s v="Kabir Nair"/>
        <s v="Meera Singh"/>
        <s v="Riya Joshi"/>
        <s v="Aditya Verma"/>
        <s v="Anika Das"/>
        <s v="Raj Mehta"/>
        <s v="Kabir Malhotra"/>
        <s v="Diya Rao"/>
        <s v="Aarav Gupta"/>
        <s v="Reyansh Agarwal"/>
        <s v="Navya Das"/>
        <s v="Rohan Desai"/>
        <s v="Aditya Agarwal"/>
        <s v="Raj Desai"/>
        <s v="Ananya Nair"/>
        <s v="Dhruv Singh"/>
        <s v="Meera Kapoor"/>
        <s v="Raj Khan"/>
        <s v="Anika Desai"/>
        <s v="Myra Nair"/>
        <s v="Priya Agarwal"/>
        <s v="Meera Nair"/>
        <s v="Aditya Iyer"/>
        <s v="Ira Nair"/>
        <s v="Saanvi Rao"/>
        <s v="Arjun Desai"/>
        <s v="Ananya Khan"/>
        <s v="Pooja Joshi"/>
        <s v="Aditya Malhotra"/>
        <s v="Ananya Rao"/>
        <s v="Karan Chopra"/>
        <s v="Saanvi Joshi"/>
        <s v="Ananya Mehta"/>
        <s v="Sai Reddy"/>
        <s v="Anika Verma"/>
        <s v="Kabir Khan"/>
        <s v="Krishna Agarwal"/>
        <s v="Arjun Nair"/>
        <s v="Krishna Singh"/>
        <s v="Arjun Kapoor"/>
        <s v="Krishna Verma"/>
        <s v="Ayaan Desai"/>
        <s v="Myra Sharma"/>
        <s v="Aditya Kapoor"/>
        <s v="Riya Malhotra"/>
        <s v="Aarav Patel"/>
        <s v="Reyansh Desai"/>
        <s v="Karan Mehta"/>
        <s v="Priya Malhotra"/>
        <s v="Krishna Mishra"/>
        <s v="Ayaan Mishra"/>
        <s v="Rohan Sharma"/>
        <s v="Simran Kapoor"/>
        <s v="Ira Sharma"/>
        <s v="Karan Malhotra"/>
        <s v="Riya Agarwal"/>
        <s v="Rohan Singh"/>
        <s v="Aadhya Das"/>
        <s v="Aarav Rao"/>
        <s v="Anika Sharma"/>
        <s v="Pooja Sharma"/>
        <s v="Neha Das"/>
        <s v="Vihaan Desai"/>
        <s v="Simran Agarwal"/>
        <s v="Kabir Patel"/>
        <s v="Raj Malhotra"/>
        <s v="Aarav Kapoor"/>
        <s v="Aadhya Agarwal"/>
        <s v="Kiara Bose"/>
        <s v="Diya Malhotra"/>
        <s v="Ira Rao"/>
        <s v="Saanvi Kapoor"/>
        <s v="Aarav Bose"/>
        <s v="Riya Mehta"/>
        <s v="Simran Malhotra"/>
        <s v="Anika Reddy"/>
        <s v="Simran Rao"/>
        <s v="Myra Kapoor"/>
        <s v="Krishna Khan"/>
        <s v="Raj Agarwal"/>
        <s v="Neha Nair"/>
        <s v="Navya Sharma"/>
        <s v="Reyansh Bose"/>
        <s v="Diya Singh"/>
        <s v="Pooja Malhotra"/>
        <s v="Priya Rao"/>
        <s v="Arjun Verma"/>
        <s v="Dhruv Desai"/>
        <s v="Rohan Rao"/>
        <s v="Diya Joshi"/>
        <s v="Navya Gupta"/>
        <s v="Ishaan Chopra"/>
        <s v="Kabir Sharma"/>
        <s v="Arjun Mehta"/>
        <s v="Aadhya Kapoor"/>
        <s v="Ananya Verma"/>
        <s v="Arjun Iyer"/>
        <s v="Ayaan Singh"/>
        <s v="Riya Nair"/>
        <s v="Priya Bose"/>
        <s v="Krishna Desai"/>
        <s v="Vivaan Nair"/>
        <s v="Ayaan Das"/>
        <s v="Anika Mehta"/>
        <s v="Ira Bose"/>
        <s v="Kiara Desai"/>
        <s v="Navya Chopra"/>
        <s v="Aadhya Malhotra"/>
        <s v="Neha Joshi"/>
        <s v="Saanvi Nair"/>
        <s v="Sai Das"/>
        <s v="Kiara Verma"/>
        <s v="Reyansh Patel"/>
        <s v="Vihaan Reddy"/>
        <s v="Reyansh Das"/>
        <s v="Riya Verma"/>
        <s v="Meera Iyer"/>
        <s v="Vihaan Bose"/>
        <s v="Vivaan Iyer"/>
        <s v="Riya Rao"/>
        <s v="Ayaan Malhotra"/>
        <s v="Kiara Singh"/>
        <s v="Simran Verma"/>
        <s v="Arjun Joshi"/>
        <s v="Simran Desai"/>
        <s v="Aditya Mehta"/>
        <s v="Raj Reddy"/>
        <s v="Saanvi Mehta"/>
        <s v="Reyansh Chopra"/>
      </sharedItems>
    </cacheField>
    <cacheField name="Customer Segment" numFmtId="0">
      <sharedItems count="3">
        <s v="Corporate"/>
        <s v="Small Business"/>
        <s v="Consumer"/>
      </sharedItems>
    </cacheField>
    <cacheField name="Region" numFmtId="0">
      <sharedItems count="4">
        <s v="East"/>
        <s v="West"/>
        <s v="South"/>
        <s v="North"/>
      </sharedItems>
    </cacheField>
    <cacheField name="State" numFmtId="0">
      <sharedItems count="14">
        <s v="Bihar"/>
        <s v="Rajasthan"/>
        <s v="Kerala"/>
        <s v="Maharashtra"/>
        <s v="West Bengal"/>
        <s v="Delhi"/>
        <s v="Punjab"/>
        <s v="Haryana"/>
        <s v="Telangana"/>
        <s v="Karnataka"/>
        <s v="Uttar Pradesh"/>
        <s v="Tamil Nadu"/>
        <s v="Odisha"/>
        <s v="Gujarat"/>
      </sharedItems>
    </cacheField>
    <cacheField name="Category" numFmtId="0">
      <sharedItems count="6">
        <s v="Electronics"/>
        <s v="Home &amp; Kitchen"/>
        <s v="Books"/>
        <s v="Sports &amp; Fitness"/>
        <s v="Beauty &amp; Personal Care"/>
        <s v="Clothing"/>
      </sharedItems>
    </cacheField>
    <cacheField name="Sub-Category" numFmtId="0">
      <sharedItems/>
    </cacheField>
    <cacheField name="Product Name" numFmtId="0">
      <sharedItems count="99">
        <s v="ActionCam 4K"/>
        <s v="Steel Kadai"/>
        <s v="Calculus Made Easy"/>
        <s v="Hiking Backpack"/>
        <s v="iSmart X2"/>
        <s v="Sports T-Shirt"/>
        <s v="Non-Stick Pan Set"/>
        <s v="Air Fryer"/>
        <s v="PixelPro DSLR"/>
        <s v="Mystery of Ashgrove"/>
        <s v="Study Table"/>
        <s v="Running Shoes"/>
        <s v="Trekking Pole"/>
        <s v="Yoga Mat Pro"/>
        <s v="Phone Case Pro"/>
        <s v="EchoBuds"/>
        <s v="Electric Kettle"/>
        <s v="Argan Oil Shampoo"/>
        <s v="Track Pants"/>
        <s v="Woody Cologne"/>
        <s v="Compact Powder"/>
        <s v="Casual Blazer"/>
        <s v="Floral Dress"/>
        <s v="Table Lamp"/>
        <s v="Ethnic Kurti"/>
        <s v="OnePlus Edge"/>
        <s v="Aloe Moisturizer"/>
        <s v="FastCharge Cable"/>
        <s v="Mind Over Matter"/>
        <s v="Sandals"/>
        <s v="SuperHero Chronicles"/>
        <s v="SnapLite Mini"/>
        <s v="Classic Shirt"/>
        <s v="Casual Sneakers"/>
        <s v="Camping Tent"/>
        <s v="Floral Mist"/>
        <s v="The Growth Mindset"/>
        <s v="Formal Loafers"/>
        <s v="Statistics Handbook"/>
        <s v="Wooden Chair"/>
        <s v="Microwave Oven"/>
        <s v="Musk Perfume"/>
        <s v="Denim Jacket"/>
        <s v="Graphic Tales"/>
        <s v="Sofa Set"/>
        <s v="Mixer Grinder"/>
        <s v="Bookshelf Unit"/>
        <s v="ClickShot X1"/>
        <s v="Winter Jacket Jr"/>
        <s v="Whispering Pines"/>
        <s v="PowerBank 20K"/>
        <s v="Treadmill Compact"/>
        <s v="Cartoon T-Shirt"/>
        <s v="Hair Mask Deep Repair"/>
        <s v="Face Wash Gel"/>
        <s v="Slim Fit Jeans"/>
        <s v="Sunscreen SPF50"/>
        <s v="Adjustable Dumbbells"/>
        <s v="Comic Universe"/>
        <s v="Matte Lipstick"/>
        <s v="SoundWave Pro"/>
        <s v="Ceramic Vase"/>
        <s v="Pixel Nano"/>
        <s v="Eyeliner Pro"/>
        <s v="Modern Economics"/>
        <s v="School Uniform Set"/>
        <s v="Compression Shorts"/>
        <s v="Vitamin C Serum"/>
        <s v="BassBoost 300"/>
        <s v="Cotton Kurta"/>
        <s v="Wall Art Frame"/>
        <s v="Foundation Stick"/>
        <s v="Nova 5G"/>
        <s v="Denim Overalls"/>
        <s v="Galaxy Note Lite"/>
        <s v="Sports Jacket"/>
        <s v="Beyond the Horizon"/>
        <s v="Hair Growth Serum"/>
        <s v="Pressure Cooker"/>
        <s v="Citrus Eau de Toilette"/>
        <s v="Cookware Combo"/>
        <s v="SilentPods"/>
        <s v="Water Bottle Steel"/>
        <s v="LED Fairy Lights"/>
        <s v="StudioMax"/>
        <s v="Conditioner Pro"/>
        <s v="Silk Saree"/>
        <s v="The Silent Valley"/>
        <s v="WorkStation Pro"/>
        <s v="Screen Guard"/>
        <s v="GameForce X"/>
        <s v="Physics Fundamentals"/>
        <s v="Resistance Bands Set"/>
        <s v="History Untold"/>
        <s v="ProBook 14"/>
        <s v="Manga Vol. 1"/>
        <s v="UltraSlim 15"/>
        <s v="Data Science Basics"/>
        <s v="AirLight 13"/>
      </sharedItems>
    </cacheField>
    <cacheField name="Quantity" numFmtId="0">
      <sharedItems containsSemiMixedTypes="0" containsString="0" containsNumber="1" containsInteger="1" minValue="1" maxValue="5"/>
    </cacheField>
    <cacheField name="Unit Price" numFmtId="4">
      <sharedItems containsSemiMixedTypes="0" containsString="0" containsNumber="1" minValue="155.44" maxValue="64522.43"/>
    </cacheField>
    <cacheField name="Sales" numFmtId="4">
      <sharedItems containsSemiMixedTypes="0" containsString="0" containsNumber="1" minValue="123.95" maxValue="285839.40000000002"/>
    </cacheField>
    <cacheField name="Discount %" numFmtId="164">
      <sharedItems containsSemiMixedTypes="0" containsString="0" containsNumber="1" containsInteger="1" minValue="0" maxValue="30" count="7">
        <n v="0"/>
        <n v="15"/>
        <n v="10"/>
        <n v="5"/>
        <n v="25"/>
        <n v="20"/>
        <n v="30"/>
      </sharedItems>
    </cacheField>
    <cacheField name="Profit" numFmtId="4">
      <sharedItems containsSemiMixedTypes="0" containsString="0" containsNumber="1" minValue="-20163.439999999999" maxValue="24280.05"/>
    </cacheField>
    <cacheField name="Shipping Cost" numFmtId="4">
      <sharedItems containsSemiMixedTypes="0" containsString="0" containsNumber="1" minValue="30.14" maxValue="397.94"/>
    </cacheField>
    <cacheField name="Payment Method" numFmtId="0">
      <sharedItems count="5">
        <s v="Debit Card"/>
        <s v="Credit Card"/>
        <s v="Cash on Delivery"/>
        <s v="UPI"/>
        <s v="Net Banking"/>
      </sharedItems>
    </cacheField>
    <cacheField name="Order Priority" numFmtId="0">
      <sharedItems count="4">
        <s v="Low"/>
        <s v="Critical"/>
        <s v="High"/>
        <s v="Medium"/>
      </sharedItems>
    </cacheField>
    <cacheField name="Months (Order Date)" numFmtId="0" databaseField="0">
      <fieldGroup base="1">
        <rangePr groupBy="months" startDate="2024-01-01T00:00:00" endDate="2025-12-30T00:00:00"/>
        <groupItems count="14">
          <s v="&lt;1/1/2024"/>
          <s v="Jan"/>
          <s v="Feb"/>
          <s v="Mar"/>
          <s v="Apr"/>
          <s v="May"/>
          <s v="Jun"/>
          <s v="Jul"/>
          <s v="Aug"/>
          <s v="Sep"/>
          <s v="Oct"/>
          <s v="Nov"/>
          <s v="Dec"/>
          <s v="&gt;12/30/2025"/>
        </groupItems>
      </fieldGroup>
    </cacheField>
    <cacheField name="Quarters (Order Date)" numFmtId="0" databaseField="0">
      <fieldGroup base="1">
        <rangePr groupBy="quarters" startDate="2024-01-01T00:00:00" endDate="2025-12-30T00:00:00"/>
        <groupItems count="6">
          <s v="&lt;1/1/2024"/>
          <s v="Qtr1"/>
          <s v="Qtr2"/>
          <s v="Qtr3"/>
          <s v="Qtr4"/>
          <s v="&gt;12/30/2025"/>
        </groupItems>
      </fieldGroup>
    </cacheField>
    <cacheField name="Years (Order Date)" numFmtId="0" databaseField="0">
      <fieldGroup base="1">
        <rangePr groupBy="years" startDate="2024-01-01T00:00:00" endDate="2025-12-30T00:00:00"/>
        <groupItems count="4">
          <s v="&lt;1/1/2024"/>
          <s v="2024"/>
          <s v="2025"/>
          <s v="&gt;12/30/2025"/>
        </groupItems>
      </fieldGroup>
    </cacheField>
    <cacheField name="Net Sales" numFmtId="0" formula="Sales-'Shipping Cost'" databaseField="0"/>
  </cacheFields>
  <extLst>
    <ext xmlns:x14="http://schemas.microsoft.com/office/spreadsheetml/2009/9/main" uri="{725AE2AE-9491-48be-B2B4-4EB974FC3084}">
      <x14:pivotCacheDefinition pivotCacheId="1276142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153"/>
    <x v="0"/>
    <s v="Simran Sharma"/>
    <s v="Corporate"/>
    <s v="East"/>
    <s v="Bihar"/>
    <x v="0"/>
    <s v="Cameras"/>
    <s v="ActionCam 4K"/>
    <n v="2"/>
    <n v="40157.56"/>
    <n v="80315.12"/>
    <n v="0"/>
    <n v="10595.94"/>
    <n v="94.4"/>
    <s v="Debit Card"/>
    <s v="Low"/>
    <n v="0.13192957938679542"/>
  </r>
  <r>
    <s v="ORD-10104"/>
    <x v="0"/>
    <s v="Ishaan Nair"/>
    <s v="Small Business"/>
    <s v="West"/>
    <s v="Rajasthan"/>
    <x v="1"/>
    <s v="Cookware"/>
    <s v="Steel Kadai"/>
    <n v="1"/>
    <n v="8300.06"/>
    <n v="7055.05"/>
    <n v="15"/>
    <n v="905.99"/>
    <n v="106"/>
    <s v="Credit Card"/>
    <s v="Critical"/>
    <n v="0.12841723304583241"/>
  </r>
  <r>
    <s v="ORD-10121"/>
    <x v="0"/>
    <s v="Ayaan Reddy"/>
    <s v="Consumer"/>
    <s v="South"/>
    <s v="Kerala"/>
    <x v="2"/>
    <s v="Academic"/>
    <s v="Calculus Made Easy"/>
    <n v="1"/>
    <n v="1151.75"/>
    <n v="1036.58"/>
    <n v="10"/>
    <n v="22.36"/>
    <n v="244.94"/>
    <s v="Cash on Delivery"/>
    <s v="Low"/>
    <n v="2.1570935190723343E-2"/>
  </r>
  <r>
    <s v="ORD-10178"/>
    <x v="0"/>
    <s v="Kabir Kapoor"/>
    <s v="Consumer"/>
    <s v="West"/>
    <s v="Maharashtra"/>
    <x v="3"/>
    <s v="Outdoor Gear"/>
    <s v="Hiking Backpack"/>
    <n v="1"/>
    <n v="13093.98"/>
    <n v="12439.28"/>
    <n v="5"/>
    <n v="1806.56"/>
    <n v="196.03"/>
    <s v="Credit Card"/>
    <s v="Low"/>
    <n v="0.14523027056228333"/>
  </r>
  <r>
    <s v="ORD-10648"/>
    <x v="0"/>
    <s v="Raj Mishra"/>
    <s v="Small Business"/>
    <s v="East"/>
    <s v="West Bengal"/>
    <x v="0"/>
    <s v="Mobiles"/>
    <s v="iSmart X2"/>
    <n v="3"/>
    <n v="8985.5499999999993"/>
    <n v="26956.65"/>
    <n v="0"/>
    <n v="4037.48"/>
    <n v="100.04"/>
    <s v="Debit Card"/>
    <s v="High"/>
    <n v="0.14977677122342722"/>
  </r>
  <r>
    <s v="ORD-10310"/>
    <x v="0"/>
    <s v="Dhruv Joshi"/>
    <s v="Corporate"/>
    <s v="North"/>
    <s v="Delhi"/>
    <x v="3"/>
    <s v="Apparel"/>
    <s v="Sports T-Shirt"/>
    <n v="1"/>
    <n v="2138.91"/>
    <n v="1818.07"/>
    <n v="15"/>
    <n v="158.99"/>
    <n v="174.7"/>
    <s v="UPI"/>
    <s v="Medium"/>
    <n v="8.7449878167507308E-2"/>
  </r>
  <r>
    <s v="ORD-10043"/>
    <x v="1"/>
    <s v="Meera Mehta"/>
    <s v="Corporate"/>
    <s v="North"/>
    <s v="Punjab"/>
    <x v="1"/>
    <s v="Cookware"/>
    <s v="Non-Stick Pan Set"/>
    <n v="4"/>
    <n v="11956.54"/>
    <n v="45434.85"/>
    <n v="5"/>
    <n v="6957.95"/>
    <n v="357.44"/>
    <s v="Cash on Delivery"/>
    <s v="Low"/>
    <n v="0.15314125610627086"/>
  </r>
  <r>
    <s v="ORD-10807"/>
    <x v="1"/>
    <s v="Simran Gupta"/>
    <s v="Consumer"/>
    <s v="North"/>
    <s v="Haryana"/>
    <x v="1"/>
    <s v="Appliances"/>
    <s v="Air Fryer"/>
    <n v="3"/>
    <n v="9220.92"/>
    <n v="26279.62"/>
    <n v="5"/>
    <n v="6421.87"/>
    <n v="359.26"/>
    <s v="Credit Card"/>
    <s v="Medium"/>
    <n v="0.24436692768008061"/>
  </r>
  <r>
    <s v="ORD-10610"/>
    <x v="2"/>
    <s v="Anika Chopra"/>
    <s v="Small Business"/>
    <s v="South"/>
    <s v="Telangana"/>
    <x v="0"/>
    <s v="Cameras"/>
    <s v="PixelPro DSLR"/>
    <n v="3"/>
    <n v="11774.84"/>
    <n v="31792.07"/>
    <n v="10"/>
    <n v="3453.97"/>
    <n v="202.57"/>
    <s v="UPI"/>
    <s v="High"/>
    <n v="0.10864250110168981"/>
  </r>
  <r>
    <s v="ORD-10698"/>
    <x v="2"/>
    <s v="Raj Sharma"/>
    <s v="Corporate"/>
    <s v="West"/>
    <s v="Rajasthan"/>
    <x v="2"/>
    <s v="Fiction"/>
    <s v="Mystery of Ashgrove"/>
    <n v="1"/>
    <n v="580.15"/>
    <n v="580.15"/>
    <n v="0"/>
    <n v="86.54"/>
    <n v="239.66"/>
    <s v="Net Banking"/>
    <s v="High"/>
    <n v="0.14916831853830909"/>
  </r>
  <r>
    <s v="ORD-10850"/>
    <x v="3"/>
    <s v="Ishaan Joshi"/>
    <s v="Corporate"/>
    <s v="East"/>
    <s v="Bihar"/>
    <x v="1"/>
    <s v="Furniture"/>
    <s v="Study Table"/>
    <n v="3"/>
    <n v="4016.9"/>
    <n v="9038.0300000000007"/>
    <n v="25"/>
    <n v="474.14"/>
    <n v="139.93"/>
    <s v="Debit Card"/>
    <s v="Medium"/>
    <n v="5.2460547265277935E-2"/>
  </r>
  <r>
    <s v="ORD-10607"/>
    <x v="3"/>
    <s v="Sai Patel"/>
    <s v="Consumer"/>
    <s v="South"/>
    <s v="Karnataka"/>
    <x v="3"/>
    <s v="Footwear"/>
    <s v="Running Shoes"/>
    <n v="5"/>
    <n v="7635.63"/>
    <n v="36269.24"/>
    <n v="5"/>
    <n v="3102.73"/>
    <n v="333.55"/>
    <s v="Credit Card"/>
    <s v="Medium"/>
    <n v="8.5547146838478014E-2"/>
  </r>
  <r>
    <s v="ORD-10066"/>
    <x v="3"/>
    <s v="Pooja Iyer"/>
    <s v="Consumer"/>
    <s v="West"/>
    <s v="Maharashtra"/>
    <x v="3"/>
    <s v="Outdoor Gear"/>
    <s v="Trekking Pole"/>
    <n v="3"/>
    <n v="7048.93"/>
    <n v="20089.45"/>
    <n v="5"/>
    <n v="2901.98"/>
    <n v="329.45"/>
    <s v="UPI"/>
    <s v="Medium"/>
    <n v="0.14445293425155989"/>
  </r>
  <r>
    <s v="ORD-10134"/>
    <x v="3"/>
    <s v="Vihaan Kapoor"/>
    <s v="Consumer"/>
    <s v="East"/>
    <s v="Bihar"/>
    <x v="3"/>
    <s v="Gym Equipment"/>
    <s v="Yoga Mat Pro"/>
    <n v="5"/>
    <n v="5405.46"/>
    <n v="24324.57"/>
    <n v="10"/>
    <n v="2826.91"/>
    <n v="201.24"/>
    <s v="Debit Card"/>
    <s v="Low"/>
    <n v="0.1162162373271141"/>
  </r>
  <r>
    <s v="ORD-10044"/>
    <x v="4"/>
    <s v="Priya Mishra"/>
    <s v="Corporate"/>
    <s v="South"/>
    <s v="Karnataka"/>
    <x v="3"/>
    <s v="Apparel"/>
    <s v="Sports T-Shirt"/>
    <n v="1"/>
    <n v="4435.47"/>
    <n v="4213.7"/>
    <n v="5"/>
    <n v="822.01"/>
    <n v="254.11"/>
    <s v="Debit Card"/>
    <s v="Medium"/>
    <n v="0.19508033319885137"/>
  </r>
  <r>
    <s v="ORD-10412"/>
    <x v="5"/>
    <s v="Ananya Desai"/>
    <s v="Consumer"/>
    <s v="North"/>
    <s v="Uttar Pradesh"/>
    <x v="0"/>
    <s v="Accessories"/>
    <s v="Phone Case Pro"/>
    <n v="1"/>
    <n v="48561.81"/>
    <n v="46133.72"/>
    <n v="5"/>
    <n v="2773.95"/>
    <n v="290.83999999999997"/>
    <s v="Debit Card"/>
    <s v="Medium"/>
    <n v="6.0128470021494032E-2"/>
  </r>
  <r>
    <s v="ORD-10110"/>
    <x v="6"/>
    <s v="Dhruv Iyer"/>
    <s v="Corporate"/>
    <s v="South"/>
    <s v="Tamil Nadu"/>
    <x v="0"/>
    <s v="Headphones"/>
    <s v="EchoBuds"/>
    <n v="2"/>
    <n v="62365.21"/>
    <n v="112257.38"/>
    <n v="10"/>
    <n v="5519.37"/>
    <n v="63.52"/>
    <s v="Cash on Delivery"/>
    <s v="Low"/>
    <n v="4.9167101530429441E-2"/>
  </r>
  <r>
    <s v="ORD-10879"/>
    <x v="6"/>
    <s v="Aadhya Iyer"/>
    <s v="Consumer"/>
    <s v="West"/>
    <s v="Maharashtra"/>
    <x v="1"/>
    <s v="Appliances"/>
    <s v="Electric Kettle"/>
    <n v="1"/>
    <n v="5161.75"/>
    <n v="4129.3999999999996"/>
    <n v="20"/>
    <n v="151.02000000000001"/>
    <n v="131.62"/>
    <s v="Credit Card"/>
    <s v="Critical"/>
    <n v="3.6571899065239506E-2"/>
  </r>
  <r>
    <s v="ORD-10660"/>
    <x v="6"/>
    <s v="Navya Bose"/>
    <s v="Small Business"/>
    <s v="North"/>
    <s v="Punjab"/>
    <x v="4"/>
    <s v="Haircare"/>
    <s v="Argan Oil Shampoo"/>
    <n v="1"/>
    <n v="861.56"/>
    <n v="861.56"/>
    <n v="0"/>
    <n v="219.86"/>
    <n v="128.16999999999999"/>
    <s v="Credit Card"/>
    <s v="Low"/>
    <n v="0.25518826315056414"/>
  </r>
  <r>
    <s v="ORD-10291"/>
    <x v="6"/>
    <s v="Neha Patel"/>
    <s v="Consumer"/>
    <s v="West"/>
    <s v="Maharashtra"/>
    <x v="3"/>
    <s v="Apparel"/>
    <s v="Track Pants"/>
    <n v="1"/>
    <n v="3970.06"/>
    <n v="3374.55"/>
    <n v="15"/>
    <n v="197.15"/>
    <n v="282.7"/>
    <s v="Credit Card"/>
    <s v="Low"/>
    <n v="5.8422604495414199E-2"/>
  </r>
  <r>
    <s v="ORD-10897"/>
    <x v="6"/>
    <s v="Aadhya Patel"/>
    <s v="Corporate"/>
    <s v="North"/>
    <s v="Uttar Pradesh"/>
    <x v="4"/>
    <s v="Fragrances"/>
    <s v="Woody Cologne"/>
    <n v="2"/>
    <n v="549.08000000000004"/>
    <n v="1098.1600000000001"/>
    <n v="0"/>
    <n v="345.02"/>
    <n v="148.62"/>
    <s v="UPI"/>
    <s v="Critical"/>
    <n v="0.31418008304800754"/>
  </r>
  <r>
    <s v="ORD-10414"/>
    <x v="6"/>
    <s v="Dhruv Malhotra"/>
    <s v="Small Business"/>
    <s v="East"/>
    <s v="Odisha"/>
    <x v="4"/>
    <s v="Makeup"/>
    <s v="Compact Powder"/>
    <n v="2"/>
    <n v="1915.19"/>
    <n v="3447.34"/>
    <n v="10"/>
    <n v="772.74"/>
    <n v="109.79"/>
    <s v="UPI"/>
    <s v="High"/>
    <n v="0.22415543578527211"/>
  </r>
  <r>
    <s v="ORD-10382"/>
    <x v="7"/>
    <s v="Aditya Das"/>
    <s v="Consumer"/>
    <s v="South"/>
    <s v="Tamil Nadu"/>
    <x v="5"/>
    <s v="Men's Wear"/>
    <s v="Casual Blazer"/>
    <n v="3"/>
    <n v="350.91"/>
    <n v="947.46"/>
    <n v="10"/>
    <n v="170.15"/>
    <n v="137.18"/>
    <s v="UPI"/>
    <s v="Low"/>
    <n v="0.17958541785405188"/>
  </r>
  <r>
    <s v="ORD-10413"/>
    <x v="7"/>
    <s v="Neha Iyer"/>
    <s v="Corporate"/>
    <s v="North"/>
    <s v="Delhi"/>
    <x v="5"/>
    <s v="Women's Wear"/>
    <s v="Floral Dress"/>
    <n v="2"/>
    <n v="2562.52"/>
    <n v="4868.79"/>
    <n v="5"/>
    <n v="1216.44"/>
    <n v="313.79000000000002"/>
    <s v="UPI"/>
    <s v="Medium"/>
    <n v="0.24984441719605899"/>
  </r>
  <r>
    <s v="ORD-10771"/>
    <x v="7"/>
    <s v="Vihaan Khan"/>
    <s v="Corporate"/>
    <s v="North"/>
    <s v="Haryana"/>
    <x v="1"/>
    <s v="Decor"/>
    <s v="Table Lamp"/>
    <n v="2"/>
    <n v="2182.8200000000002"/>
    <n v="4365.6400000000003"/>
    <n v="0"/>
    <n v="424.62"/>
    <n v="339.82"/>
    <s v="Cash on Delivery"/>
    <s v="High"/>
    <n v="9.7264089572204754E-2"/>
  </r>
  <r>
    <s v="ORD-10016"/>
    <x v="8"/>
    <s v="Arjun Rao"/>
    <s v="Consumer"/>
    <s v="North"/>
    <s v="Punjab"/>
    <x v="5"/>
    <s v="Women's Wear"/>
    <s v="Ethnic Kurti"/>
    <n v="2"/>
    <n v="994.12"/>
    <n v="1590.59"/>
    <n v="20"/>
    <n v="192.39"/>
    <n v="50"/>
    <s v="Credit Card"/>
    <s v="High"/>
    <n v="0.12095511728352372"/>
  </r>
  <r>
    <s v="ORD-10169"/>
    <x v="8"/>
    <s v="Arjun Singh"/>
    <s v="Consumer"/>
    <s v="West"/>
    <s v="Maharashtra"/>
    <x v="0"/>
    <s v="Mobiles"/>
    <s v="OnePlus Edge"/>
    <n v="2"/>
    <n v="52067.44"/>
    <n v="83307.899999999994"/>
    <n v="20"/>
    <n v="-3446.48"/>
    <n v="276.12"/>
    <s v="Credit Card"/>
    <s v="Medium"/>
    <n v="-4.1370386241881024E-2"/>
  </r>
  <r>
    <s v="ORD-10962"/>
    <x v="9"/>
    <s v="Aditya Gupta"/>
    <s v="Corporate"/>
    <s v="South"/>
    <s v="Telangana"/>
    <x v="4"/>
    <s v="Skincare"/>
    <s v="Aloe Moisturizer"/>
    <n v="4"/>
    <n v="1501.84"/>
    <n v="5106.26"/>
    <n v="15"/>
    <n v="972.61"/>
    <n v="355.97"/>
    <s v="Cash on Delivery"/>
    <s v="Low"/>
    <n v="0.19047404558326445"/>
  </r>
  <r>
    <s v="ORD-10892"/>
    <x v="9"/>
    <s v="Rohan Das"/>
    <s v="Corporate"/>
    <s v="East"/>
    <s v="Odisha"/>
    <x v="0"/>
    <s v="Accessories"/>
    <s v="FastCharge Cable"/>
    <n v="1"/>
    <n v="14057.51"/>
    <n v="14057.51"/>
    <n v="0"/>
    <n v="854.35"/>
    <n v="329.02"/>
    <s v="Cash on Delivery"/>
    <s v="Medium"/>
    <n v="6.0775343570803081E-2"/>
  </r>
  <r>
    <s v="ORD-10220"/>
    <x v="10"/>
    <s v="Myra Verma"/>
    <s v="Small Business"/>
    <s v="East"/>
    <s v="West Bengal"/>
    <x v="5"/>
    <s v="Women's Wear"/>
    <s v="Ethnic Kurti"/>
    <n v="1"/>
    <n v="4291"/>
    <n v="4076.45"/>
    <n v="5"/>
    <n v="640.23"/>
    <n v="172.72"/>
    <s v="Credit Card"/>
    <s v="Low"/>
    <n v="0.15705577156594588"/>
  </r>
  <r>
    <s v="ORD-10207"/>
    <x v="10"/>
    <s v="Priya Iyer"/>
    <s v="Consumer"/>
    <s v="North"/>
    <s v="Uttar Pradesh"/>
    <x v="1"/>
    <s v="Appliances"/>
    <s v="Air Fryer"/>
    <n v="2"/>
    <n v="5100.88"/>
    <n v="10201.76"/>
    <n v="0"/>
    <n v="2760.06"/>
    <n v="79.11"/>
    <s v="UPI"/>
    <s v="High"/>
    <n v="0.27054743495240036"/>
  </r>
  <r>
    <s v="ORD-10408"/>
    <x v="11"/>
    <s v="Simran Bose"/>
    <s v="Consumer"/>
    <s v="South"/>
    <s v="Karnataka"/>
    <x v="2"/>
    <s v="Non-Fiction"/>
    <s v="Mind Over Matter"/>
    <n v="1"/>
    <n v="309.14999999999998"/>
    <n v="278.24"/>
    <n v="10"/>
    <n v="61.24"/>
    <n v="60"/>
    <s v="Net Banking"/>
    <s v="Medium"/>
    <n v="0.2200977573317999"/>
  </r>
  <r>
    <s v="ORD-10417"/>
    <x v="12"/>
    <s v="Arjun Gupta"/>
    <s v="Consumer"/>
    <s v="North"/>
    <s v="Delhi"/>
    <x v="5"/>
    <s v="Footwear"/>
    <s v="Sandals"/>
    <n v="3"/>
    <n v="3577.68"/>
    <n v="8586.43"/>
    <n v="20"/>
    <n v="661.95"/>
    <n v="272.17"/>
    <s v="Cash on Delivery"/>
    <s v="Medium"/>
    <n v="7.7092575144734193E-2"/>
  </r>
  <r>
    <s v="ORD-10419"/>
    <x v="12"/>
    <s v="Dhruv Malhotra"/>
    <s v="Consumer"/>
    <s v="East"/>
    <s v="West Bengal"/>
    <x v="0"/>
    <s v="Accessories"/>
    <s v="Phone Case Pro"/>
    <n v="2"/>
    <n v="26868.47"/>
    <n v="45676.4"/>
    <n v="15"/>
    <n v="523.1"/>
    <n v="276.49"/>
    <s v="Credit Card"/>
    <s v="High"/>
    <n v="1.1452303596605687E-2"/>
  </r>
  <r>
    <s v="ORD-10061"/>
    <x v="12"/>
    <s v="Aarav Agarwal"/>
    <s v="Corporate"/>
    <s v="South"/>
    <s v="Kerala"/>
    <x v="2"/>
    <s v="Comics"/>
    <s v="SuperHero Chronicles"/>
    <n v="2"/>
    <n v="832.46"/>
    <n v="1581.67"/>
    <n v="5"/>
    <n v="265.25"/>
    <n v="329.8"/>
    <s v="Credit Card"/>
    <s v="Medium"/>
    <n v="0.16770249167019669"/>
  </r>
  <r>
    <s v="ORD-10883"/>
    <x v="13"/>
    <s v="Diya Verma"/>
    <s v="Small Business"/>
    <s v="East"/>
    <s v="West Bengal"/>
    <x v="0"/>
    <s v="Cameras"/>
    <s v="SnapLite Mini"/>
    <n v="2"/>
    <n v="52586.58"/>
    <n v="99914.5"/>
    <n v="5"/>
    <n v="3964.09"/>
    <n v="92.76"/>
    <s v="Debit Card"/>
    <s v="Low"/>
    <n v="3.9674821972786732E-2"/>
  </r>
  <r>
    <s v="ORD-10331"/>
    <x v="13"/>
    <s v="Pooja Das"/>
    <s v="Consumer"/>
    <s v="West"/>
    <s v="Rajasthan"/>
    <x v="0"/>
    <s v="Accessories"/>
    <s v="FastCharge Cable"/>
    <n v="1"/>
    <n v="13690.64"/>
    <n v="10952.51"/>
    <n v="20"/>
    <n v="-357.43"/>
    <n v="326.64999999999998"/>
    <s v="Cash on Delivery"/>
    <s v="Medium"/>
    <n v="-3.2634528523598702E-2"/>
  </r>
  <r>
    <s v="ORD-10700"/>
    <x v="13"/>
    <s v="Simran Nair"/>
    <s v="Consumer"/>
    <s v="North"/>
    <s v="Punjab"/>
    <x v="5"/>
    <s v="Footwear"/>
    <s v="Sandals"/>
    <n v="2"/>
    <n v="3436.46"/>
    <n v="6872.92"/>
    <n v="0"/>
    <n v="1167.06"/>
    <n v="275.58"/>
    <s v="UPI"/>
    <s v="Low"/>
    <n v="0.16980555571722061"/>
  </r>
  <r>
    <s v="ORD-10551"/>
    <x v="14"/>
    <s v="Meera Malhotra"/>
    <s v="Consumer"/>
    <s v="East"/>
    <s v="Odisha"/>
    <x v="2"/>
    <s v="Academic"/>
    <s v="Calculus Made Easy"/>
    <n v="1"/>
    <n v="872.11"/>
    <n v="784.9"/>
    <n v="10"/>
    <n v="108"/>
    <n v="73.02"/>
    <s v="Cash on Delivery"/>
    <s v="High"/>
    <n v="0.13759714613326537"/>
  </r>
  <r>
    <s v="ORD-10845"/>
    <x v="14"/>
    <s v="Navya Nair"/>
    <s v="Consumer"/>
    <s v="East"/>
    <s v="Odisha"/>
    <x v="5"/>
    <s v="Men's Wear"/>
    <s v="Classic Shirt"/>
    <n v="4"/>
    <n v="2304.87"/>
    <n v="8297.5300000000007"/>
    <n v="10"/>
    <n v="793.59"/>
    <n v="332.83"/>
    <s v="Credit Card"/>
    <s v="Medium"/>
    <n v="9.5641715064603561E-2"/>
  </r>
  <r>
    <s v="ORD-10262"/>
    <x v="14"/>
    <s v="Aadhya Verma"/>
    <s v="Small Business"/>
    <s v="South"/>
    <s v="Karnataka"/>
    <x v="3"/>
    <s v="Footwear"/>
    <s v="Casual Sneakers"/>
    <n v="1"/>
    <n v="9446.41"/>
    <n v="6612.49"/>
    <n v="30"/>
    <n v="-207.14"/>
    <n v="44.64"/>
    <s v="Debit Card"/>
    <s v="Critical"/>
    <n v="-3.1325567222029824E-2"/>
  </r>
  <r>
    <s v="ORD-10447"/>
    <x v="14"/>
    <s v="Sai Nair"/>
    <s v="Corporate"/>
    <s v="West"/>
    <s v="Maharashtra"/>
    <x v="0"/>
    <s v="Mobiles"/>
    <s v="OnePlus Edge"/>
    <n v="2"/>
    <n v="55428.43"/>
    <n v="110856.86"/>
    <n v="0"/>
    <n v="8600.3799999999992"/>
    <n v="176.76"/>
    <s v="Cash on Delivery"/>
    <s v="High"/>
    <n v="7.7580945374061641E-2"/>
  </r>
  <r>
    <s v="ORD-10564"/>
    <x v="15"/>
    <s v="Krishna Patel"/>
    <s v="Consumer"/>
    <s v="North"/>
    <s v="Delhi"/>
    <x v="3"/>
    <s v="Outdoor Gear"/>
    <s v="Camping Tent"/>
    <n v="2"/>
    <n v="13050.58"/>
    <n v="20880.93"/>
    <n v="20"/>
    <n v="226.7"/>
    <n v="190.26"/>
    <s v="Debit Card"/>
    <s v="High"/>
    <n v="1.0856796129291175E-2"/>
  </r>
  <r>
    <s v="ORD-10519"/>
    <x v="15"/>
    <s v="Saanvi Malhotra"/>
    <s v="Consumer"/>
    <s v="East"/>
    <s v="Bihar"/>
    <x v="4"/>
    <s v="Fragrances"/>
    <s v="Floral Mist"/>
    <n v="4"/>
    <n v="933.39"/>
    <n v="3733.56"/>
    <n v="0"/>
    <n v="702.72"/>
    <n v="267.33999999999997"/>
    <s v="Credit Card"/>
    <s v="Low"/>
    <n v="0.18821714395911679"/>
  </r>
  <r>
    <s v="ORD-10295"/>
    <x v="16"/>
    <s v="Vivaan Chopra"/>
    <s v="Consumer"/>
    <s v="North"/>
    <s v="Haryana"/>
    <x v="2"/>
    <s v="Non-Fiction"/>
    <s v="The Growth Mindset"/>
    <n v="3"/>
    <n v="596.77"/>
    <n v="1790.31"/>
    <n v="0"/>
    <n v="158.82"/>
    <n v="376.05"/>
    <s v="Credit Card"/>
    <s v="High"/>
    <n v="8.8710893644117494E-2"/>
  </r>
  <r>
    <s v="ORD-10603"/>
    <x v="17"/>
    <s v="Ananya Gupta"/>
    <s v="Consumer"/>
    <s v="South"/>
    <s v="Telangana"/>
    <x v="5"/>
    <s v="Footwear"/>
    <s v="Sandals"/>
    <n v="1"/>
    <n v="3581.55"/>
    <n v="3044.32"/>
    <n v="15"/>
    <n v="226.58"/>
    <n v="289.56"/>
    <s v="UPI"/>
    <s v="Low"/>
    <n v="7.4427129868082198E-2"/>
  </r>
  <r>
    <s v="ORD-10445"/>
    <x v="18"/>
    <s v="Reyansh Reddy"/>
    <s v="Small Business"/>
    <s v="East"/>
    <s v="Odisha"/>
    <x v="2"/>
    <s v="Fiction"/>
    <s v="Mystery of Ashgrove"/>
    <n v="5"/>
    <n v="908.96"/>
    <n v="4090.32"/>
    <n v="10"/>
    <n v="404.21"/>
    <n v="263.93"/>
    <s v="Cash on Delivery"/>
    <s v="Critical"/>
    <n v="9.88211191300436E-2"/>
  </r>
  <r>
    <s v="ORD-10212"/>
    <x v="19"/>
    <s v="Vivaan Singh"/>
    <s v="Consumer"/>
    <s v="North"/>
    <s v="Haryana"/>
    <x v="3"/>
    <s v="Footwear"/>
    <s v="Formal Loafers"/>
    <n v="1"/>
    <n v="6053.18"/>
    <n v="5447.86"/>
    <n v="10"/>
    <n v="816.79"/>
    <n v="122.38"/>
    <s v="UPI"/>
    <s v="Low"/>
    <n v="0.14992859581560466"/>
  </r>
  <r>
    <s v="ORD-10959"/>
    <x v="19"/>
    <s v="Pooja Das"/>
    <s v="Small Business"/>
    <s v="East"/>
    <s v="Bihar"/>
    <x v="2"/>
    <s v="Academic"/>
    <s v="Statistics Handbook"/>
    <n v="1"/>
    <n v="556.04"/>
    <n v="500.44"/>
    <n v="10"/>
    <n v="41.85"/>
    <n v="193.75"/>
    <s v="UPI"/>
    <s v="High"/>
    <n v="8.3626408760290941E-2"/>
  </r>
  <r>
    <s v="ORD-10450"/>
    <x v="20"/>
    <s v="Pooja Bose"/>
    <s v="Consumer"/>
    <s v="North"/>
    <s v="Delhi"/>
    <x v="1"/>
    <s v="Furniture"/>
    <s v="Wooden Chair"/>
    <n v="1"/>
    <n v="3400"/>
    <n v="3230"/>
    <n v="5"/>
    <n v="474.99"/>
    <n v="82.71"/>
    <s v="Cash on Delivery"/>
    <s v="Medium"/>
    <n v="0.14705572755417956"/>
  </r>
  <r>
    <s v="ORD-10948"/>
    <x v="21"/>
    <s v="Karan Das"/>
    <s v="Consumer"/>
    <s v="North"/>
    <s v="Uttar Pradesh"/>
    <x v="1"/>
    <s v="Appliances"/>
    <s v="Microwave Oven"/>
    <n v="1"/>
    <n v="2130.0300000000002"/>
    <n v="1597.52"/>
    <n v="25"/>
    <n v="8.56"/>
    <n v="281.5"/>
    <s v="Credit Card"/>
    <s v="Low"/>
    <n v="5.3583053733286595E-3"/>
  </r>
  <r>
    <s v="ORD-10350"/>
    <x v="22"/>
    <s v="Reyansh Khan"/>
    <s v="Small Business"/>
    <s v="West"/>
    <s v="Maharashtra"/>
    <x v="4"/>
    <s v="Fragrances"/>
    <s v="Musk Perfume"/>
    <n v="3"/>
    <n v="397.01"/>
    <n v="1191.03"/>
    <n v="0"/>
    <n v="317.2"/>
    <n v="346.14"/>
    <s v="Net Banking"/>
    <s v="Low"/>
    <n v="0.26632410602587675"/>
  </r>
  <r>
    <s v="ORD-10054"/>
    <x v="23"/>
    <s v="Kabir Gupta"/>
    <s v="Consumer"/>
    <s v="North"/>
    <s v="Delhi"/>
    <x v="5"/>
    <s v="Women's Wear"/>
    <s v="Denim Jacket"/>
    <n v="1"/>
    <n v="4198.9399999999996"/>
    <n v="4198.9399999999996"/>
    <n v="0"/>
    <n v="963.78"/>
    <n v="167.02"/>
    <s v="Credit Card"/>
    <s v="Medium"/>
    <n v="0.22952935740925093"/>
  </r>
  <r>
    <s v="ORD-10418"/>
    <x v="24"/>
    <s v="Ayaan Nair"/>
    <s v="Consumer"/>
    <s v="West"/>
    <s v="Rajasthan"/>
    <x v="2"/>
    <s v="Comics"/>
    <s v="Graphic Tales"/>
    <n v="1"/>
    <n v="325.23"/>
    <n v="292.70999999999998"/>
    <n v="10"/>
    <n v="21.11"/>
    <n v="88.02"/>
    <s v="UPI"/>
    <s v="High"/>
    <n v="7.2119162310819579E-2"/>
  </r>
  <r>
    <s v="ORD-10102"/>
    <x v="25"/>
    <s v="Aditya Mishra"/>
    <s v="Corporate"/>
    <s v="West"/>
    <s v="Gujarat"/>
    <x v="1"/>
    <s v="Furniture"/>
    <s v="Sofa Set"/>
    <n v="4"/>
    <n v="5439.64"/>
    <n v="20670.63"/>
    <n v="5"/>
    <n v="2191.64"/>
    <n v="156.18"/>
    <s v="UPI"/>
    <s v="Medium"/>
    <n v="0.10602676357711399"/>
  </r>
  <r>
    <s v="ORD-10250"/>
    <x v="26"/>
    <s v="Pooja Singh"/>
    <s v="Consumer"/>
    <s v="East"/>
    <s v="Odisha"/>
    <x v="1"/>
    <s v="Appliances"/>
    <s v="Mixer Grinder"/>
    <n v="5"/>
    <n v="6962.49"/>
    <n v="33071.83"/>
    <n v="5"/>
    <n v="5020.13"/>
    <n v="175.45"/>
    <s v="Net Banking"/>
    <s v="Low"/>
    <n v="0.15179474495363576"/>
  </r>
  <r>
    <s v="ORD-10149"/>
    <x v="26"/>
    <s v="Kabir Joshi"/>
    <s v="Small Business"/>
    <s v="North"/>
    <s v="Uttar Pradesh"/>
    <x v="1"/>
    <s v="Furniture"/>
    <s v="Bookshelf Unit"/>
    <n v="4"/>
    <n v="8484.75"/>
    <n v="28848.15"/>
    <n v="15"/>
    <n v="3746.63"/>
    <n v="76.7"/>
    <s v="UPI"/>
    <s v="Medium"/>
    <n v="0.12987418603965939"/>
  </r>
  <r>
    <s v="ORD-10019"/>
    <x v="27"/>
    <s v="Anika Gupta"/>
    <s v="Small Business"/>
    <s v="West"/>
    <s v="Rajasthan"/>
    <x v="4"/>
    <s v="Haircare"/>
    <s v="Argan Oil Shampoo"/>
    <n v="1"/>
    <n v="2304.41"/>
    <n v="2304.41"/>
    <n v="0"/>
    <n v="625.85"/>
    <n v="60.53"/>
    <s v="Cash on Delivery"/>
    <s v="Medium"/>
    <n v="0.27158795526837676"/>
  </r>
  <r>
    <s v="ORD-10094"/>
    <x v="28"/>
    <s v="Pooja Chopra"/>
    <s v="Corporate"/>
    <s v="North"/>
    <s v="Uttar Pradesh"/>
    <x v="0"/>
    <s v="Cameras"/>
    <s v="ClickShot X1"/>
    <n v="2"/>
    <n v="63357.04"/>
    <n v="107706.97"/>
    <n v="15"/>
    <n v="4460.93"/>
    <n v="363.7"/>
    <s v="Debit Card"/>
    <s v="Low"/>
    <n v="4.1417282465563747E-2"/>
  </r>
  <r>
    <s v="ORD-10206"/>
    <x v="28"/>
    <s v="Rohan Iyer"/>
    <s v="Small Business"/>
    <s v="North"/>
    <s v="Punjab"/>
    <x v="2"/>
    <s v="Academic"/>
    <s v="Statistics Handbook"/>
    <n v="2"/>
    <n v="755.34"/>
    <n v="1435.15"/>
    <n v="5"/>
    <n v="254.84"/>
    <n v="132.69999999999999"/>
    <s v="Credit Card"/>
    <s v="High"/>
    <n v="0.17757028881998396"/>
  </r>
  <r>
    <s v="ORD-10218"/>
    <x v="28"/>
    <s v="Ananya Gupta"/>
    <s v="Corporate"/>
    <s v="West"/>
    <s v="Maharashtra"/>
    <x v="2"/>
    <s v="Academic"/>
    <s v="Calculus Made Easy"/>
    <n v="1"/>
    <n v="632.66999999999996"/>
    <n v="632.66999999999996"/>
    <n v="0"/>
    <n v="38.58"/>
    <n v="54.3"/>
    <s v="UPI"/>
    <s v="Low"/>
    <n v="6.0979657641424441E-2"/>
  </r>
  <r>
    <s v="ORD-10131"/>
    <x v="29"/>
    <s v="Reyansh Nair"/>
    <s v="Consumer"/>
    <s v="West"/>
    <s v="Maharashtra"/>
    <x v="5"/>
    <s v="Kids Wear"/>
    <s v="Winter Jacket Jr"/>
    <n v="2"/>
    <n v="1308.6099999999999"/>
    <n v="2355.5"/>
    <n v="10"/>
    <n v="420.06"/>
    <n v="103.2"/>
    <s v="Debit Card"/>
    <s v="Low"/>
    <n v="0.17833156442368925"/>
  </r>
  <r>
    <s v="ORD-10684"/>
    <x v="29"/>
    <s v="Rohan Verma"/>
    <s v="Consumer"/>
    <s v="East"/>
    <s v="Odisha"/>
    <x v="2"/>
    <s v="Fiction"/>
    <s v="Whispering Pines"/>
    <n v="1"/>
    <n v="819.57"/>
    <n v="778.59"/>
    <n v="5"/>
    <n v="105"/>
    <n v="107.45"/>
    <s v="Debit Card"/>
    <s v="Medium"/>
    <n v="0.13485916849689825"/>
  </r>
  <r>
    <s v="ORD-10080"/>
    <x v="29"/>
    <s v="Riya Patel"/>
    <s v="Small Business"/>
    <s v="South"/>
    <s v="Tamil Nadu"/>
    <x v="0"/>
    <s v="Accessories"/>
    <s v="PowerBank 20K"/>
    <n v="1"/>
    <n v="13691.47"/>
    <n v="11637.75"/>
    <n v="15"/>
    <n v="376.42"/>
    <n v="52.2"/>
    <s v="Net Banking"/>
    <s v="Medium"/>
    <n v="3.2344740177439796E-2"/>
  </r>
  <r>
    <s v="ORD-10453"/>
    <x v="30"/>
    <s v="Dhruv Rao"/>
    <s v="Small Business"/>
    <s v="West"/>
    <s v="Maharashtra"/>
    <x v="0"/>
    <s v="Accessories"/>
    <s v="FastCharge Cable"/>
    <n v="1"/>
    <n v="35569.17"/>
    <n v="33790.71"/>
    <n v="5"/>
    <n v="720.68"/>
    <n v="240.17"/>
    <s v="UPI"/>
    <s v="Low"/>
    <n v="2.1327755468884789E-2"/>
  </r>
  <r>
    <s v="ORD-10885"/>
    <x v="31"/>
    <s v="Aadhya Khan"/>
    <s v="Consumer"/>
    <s v="North"/>
    <s v="Punjab"/>
    <x v="3"/>
    <s v="Outdoor Gear"/>
    <s v="Trekking Pole"/>
    <n v="2"/>
    <n v="5294.85"/>
    <n v="9530.73"/>
    <n v="10"/>
    <n v="1037.2"/>
    <n v="357.33"/>
    <s v="Cash on Delivery"/>
    <s v="High"/>
    <n v="0.108826920917915"/>
  </r>
  <r>
    <s v="ORD-10257"/>
    <x v="32"/>
    <s v="Aditya Chopra"/>
    <s v="Small Business"/>
    <s v="East"/>
    <s v="Odisha"/>
    <x v="3"/>
    <s v="Gym Equipment"/>
    <s v="Treadmill Compact"/>
    <n v="2"/>
    <n v="5132.25"/>
    <n v="8211.6"/>
    <n v="20"/>
    <n v="249.97"/>
    <n v="165.54"/>
    <s v="Credit Card"/>
    <s v="High"/>
    <n v="3.0441083345511228E-2"/>
  </r>
  <r>
    <s v="ORD-10686"/>
    <x v="33"/>
    <s v="Neha Iyer"/>
    <s v="Consumer"/>
    <s v="East"/>
    <s v="West Bengal"/>
    <x v="0"/>
    <s v="Mobiles"/>
    <s v="OnePlus Edge"/>
    <n v="3"/>
    <n v="3082.36"/>
    <n v="8784.73"/>
    <n v="5"/>
    <n v="840.03"/>
    <n v="173.91"/>
    <s v="Net Banking"/>
    <s v="Medium"/>
    <n v="9.5623883716403346E-2"/>
  </r>
  <r>
    <s v="ORD-10995"/>
    <x v="34"/>
    <s v="Kiara Rao"/>
    <s v="Corporate"/>
    <s v="North"/>
    <s v="Uttar Pradesh"/>
    <x v="1"/>
    <s v="Furniture"/>
    <s v="Wooden Chair"/>
    <n v="2"/>
    <n v="2456.9899999999998"/>
    <n v="4913.9799999999996"/>
    <n v="0"/>
    <n v="1109.57"/>
    <n v="273.77"/>
    <s v="Debit Card"/>
    <s v="High"/>
    <n v="0.22579863979910378"/>
  </r>
  <r>
    <s v="ORD-10985"/>
    <x v="35"/>
    <s v="Karan Khan"/>
    <s v="Consumer"/>
    <s v="East"/>
    <s v="Odisha"/>
    <x v="3"/>
    <s v="Apparel"/>
    <s v="Track Pants"/>
    <n v="1"/>
    <n v="984.57"/>
    <n v="787.66"/>
    <n v="20"/>
    <n v="21.96"/>
    <n v="268.32"/>
    <s v="Debit Card"/>
    <s v="High"/>
    <n v="2.7880049767666254E-2"/>
  </r>
  <r>
    <s v="ORD-10063"/>
    <x v="36"/>
    <s v="Meera Joshi"/>
    <s v="Consumer"/>
    <s v="South"/>
    <s v="Karnataka"/>
    <x v="1"/>
    <s v="Appliances"/>
    <s v="Air Fryer"/>
    <n v="1"/>
    <n v="5800.94"/>
    <n v="4930.8"/>
    <n v="15"/>
    <n v="2.84"/>
    <n v="219.07"/>
    <s v="Net Banking"/>
    <s v="Medium"/>
    <n v="5.759714447959763E-4"/>
  </r>
  <r>
    <s v="ORD-10015"/>
    <x v="37"/>
    <s v="Aadhya Rao"/>
    <s v="Consumer"/>
    <s v="North"/>
    <s v="Delhi"/>
    <x v="3"/>
    <s v="Footwear"/>
    <s v="Casual Sneakers"/>
    <n v="2"/>
    <n v="8945.9"/>
    <n v="15208.03"/>
    <n v="15"/>
    <n v="1746.2"/>
    <n v="133.32"/>
    <s v="Cash on Delivery"/>
    <s v="Low"/>
    <n v="0.11482092026383429"/>
  </r>
  <r>
    <s v="ORD-10130"/>
    <x v="37"/>
    <s v="Ananya Singh"/>
    <s v="Consumer"/>
    <s v="East"/>
    <s v="Odisha"/>
    <x v="5"/>
    <s v="Kids Wear"/>
    <s v="Cartoon T-Shirt"/>
    <n v="1"/>
    <n v="1759.14"/>
    <n v="1759.14"/>
    <n v="0"/>
    <n v="382.12"/>
    <n v="96.92"/>
    <s v="Credit Card"/>
    <s v="Low"/>
    <n v="0.21721977784599292"/>
  </r>
  <r>
    <s v="ORD-10957"/>
    <x v="37"/>
    <s v="Reyansh Mishra"/>
    <s v="Consumer"/>
    <s v="West"/>
    <s v="Rajasthan"/>
    <x v="3"/>
    <s v="Footwear"/>
    <s v="Running Shoes"/>
    <n v="2"/>
    <n v="8017.83"/>
    <n v="15233.88"/>
    <n v="5"/>
    <n v="3119.44"/>
    <n v="70.63"/>
    <s v="Debit Card"/>
    <s v="Medium"/>
    <n v="0.20476989447205834"/>
  </r>
  <r>
    <s v="ORD-10065"/>
    <x v="38"/>
    <s v="Saanvi Iyer"/>
    <s v="Consumer"/>
    <s v="West"/>
    <s v="Maharashtra"/>
    <x v="1"/>
    <s v="Appliances"/>
    <s v="Microwave Oven"/>
    <n v="1"/>
    <n v="6630.16"/>
    <n v="5967.14"/>
    <n v="10"/>
    <n v="1004.39"/>
    <n v="116.89"/>
    <s v="UPI"/>
    <s v="High"/>
    <n v="0.16832016678006548"/>
  </r>
  <r>
    <s v="ORD-10243"/>
    <x v="38"/>
    <s v="Sai Bose"/>
    <s v="Consumer"/>
    <s v="West"/>
    <s v="Maharashtra"/>
    <x v="1"/>
    <s v="Appliances"/>
    <s v="Air Fryer"/>
    <n v="1"/>
    <n v="11641.59"/>
    <n v="11059.51"/>
    <n v="5"/>
    <n v="2444.4299999999998"/>
    <n v="252.73"/>
    <s v="Net Banking"/>
    <s v="Medium"/>
    <n v="0.22102516295929928"/>
  </r>
  <r>
    <s v="ORD-10822"/>
    <x v="39"/>
    <s v="Rohan Patel"/>
    <s v="Small Business"/>
    <s v="West"/>
    <s v="Gujarat"/>
    <x v="4"/>
    <s v="Haircare"/>
    <s v="Hair Mask Deep Repair"/>
    <n v="3"/>
    <n v="1247.92"/>
    <n v="3743.76"/>
    <n v="0"/>
    <n v="1227.07"/>
    <n v="277"/>
    <s v="Credit Card"/>
    <s v="Low"/>
    <n v="0.32776406607261144"/>
  </r>
  <r>
    <s v="ORD-10106"/>
    <x v="39"/>
    <s v="Kiara Agarwal"/>
    <s v="Consumer"/>
    <s v="West"/>
    <s v="Maharashtra"/>
    <x v="2"/>
    <s v="Academic"/>
    <s v="Statistics Handbook"/>
    <n v="3"/>
    <n v="162.76"/>
    <n v="463.87"/>
    <n v="5"/>
    <n v="46.36"/>
    <n v="370.36"/>
    <s v="UPI"/>
    <s v="Low"/>
    <n v="9.9941794037122472E-2"/>
  </r>
  <r>
    <s v="ORD-10452"/>
    <x v="39"/>
    <s v="Vivaan Verma"/>
    <s v="Small Business"/>
    <s v="South"/>
    <s v="Tamil Nadu"/>
    <x v="4"/>
    <s v="Skincare"/>
    <s v="Face Wash Gel"/>
    <n v="3"/>
    <n v="1926.68"/>
    <n v="5202.04"/>
    <n v="10"/>
    <n v="1277.47"/>
    <n v="238.55"/>
    <s v="Debit Card"/>
    <s v="Medium"/>
    <n v="0.24557096831243128"/>
  </r>
  <r>
    <s v="ORD-10626"/>
    <x v="39"/>
    <s v="Riya Desai"/>
    <s v="Small Business"/>
    <s v="South"/>
    <s v="Tamil Nadu"/>
    <x v="5"/>
    <s v="Men's Wear"/>
    <s v="Slim Fit Jeans"/>
    <n v="4"/>
    <n v="3984.89"/>
    <n v="15939.56"/>
    <n v="0"/>
    <n v="4789.97"/>
    <n v="386.8"/>
    <s v="Credit Card"/>
    <s v="High"/>
    <n v="0.30050829508468241"/>
  </r>
  <r>
    <s v="ORD-10988"/>
    <x v="39"/>
    <s v="Myra Das"/>
    <s v="Consumer"/>
    <s v="North"/>
    <s v="Uttar Pradesh"/>
    <x v="5"/>
    <s v="Women's Wear"/>
    <s v="Floral Dress"/>
    <n v="1"/>
    <n v="327.14999999999998"/>
    <n v="261.72000000000003"/>
    <n v="20"/>
    <n v="5.65"/>
    <n v="188.8"/>
    <s v="Credit Card"/>
    <s v="High"/>
    <n v="2.1587956594834173E-2"/>
  </r>
  <r>
    <s v="ORD-10202"/>
    <x v="40"/>
    <s v="Reyansh Iyer"/>
    <s v="Small Business"/>
    <s v="South"/>
    <s v="Telangana"/>
    <x v="2"/>
    <s v="Fiction"/>
    <s v="Whispering Pines"/>
    <n v="1"/>
    <n v="1089.28"/>
    <n v="871.42"/>
    <n v="20"/>
    <n v="37.36"/>
    <n v="285.95"/>
    <s v="Cash on Delivery"/>
    <s v="Low"/>
    <n v="4.2872552844782079E-2"/>
  </r>
  <r>
    <s v="ORD-10662"/>
    <x v="40"/>
    <s v="Anika Malhotra"/>
    <s v="Corporate"/>
    <s v="West"/>
    <s v="Maharashtra"/>
    <x v="4"/>
    <s v="Fragrances"/>
    <s v="Floral Mist"/>
    <n v="2"/>
    <n v="1018.47"/>
    <n v="1731.4"/>
    <n v="15"/>
    <n v="389.82"/>
    <n v="71.849999999999994"/>
    <s v="UPI"/>
    <s v="Low"/>
    <n v="0.22514727965808015"/>
  </r>
  <r>
    <s v="ORD-10311"/>
    <x v="40"/>
    <s v="Saanvi Singh"/>
    <s v="Consumer"/>
    <s v="West"/>
    <s v="Gujarat"/>
    <x v="4"/>
    <s v="Skincare"/>
    <s v="Sunscreen SPF50"/>
    <n v="1"/>
    <n v="927.16"/>
    <n v="741.73"/>
    <n v="20"/>
    <n v="96.84"/>
    <n v="77.47"/>
    <s v="UPI"/>
    <s v="Medium"/>
    <n v="0.1305596376039799"/>
  </r>
  <r>
    <s v="ORD-10273"/>
    <x v="41"/>
    <s v="Pooja Verma"/>
    <s v="Consumer"/>
    <s v="East"/>
    <s v="Odisha"/>
    <x v="3"/>
    <s v="Gym Equipment"/>
    <s v="Adjustable Dumbbells"/>
    <n v="1"/>
    <n v="3067.95"/>
    <n v="2761.15"/>
    <n v="10"/>
    <n v="433.88"/>
    <n v="276.69"/>
    <s v="Debit Card"/>
    <s v="High"/>
    <n v="0.15713742462379804"/>
  </r>
  <r>
    <s v="ORD-10238"/>
    <x v="42"/>
    <s v="Diya Desai"/>
    <s v="Consumer"/>
    <s v="West"/>
    <s v="Maharashtra"/>
    <x v="2"/>
    <s v="Comics"/>
    <s v="Comic Universe"/>
    <n v="3"/>
    <n v="421.93"/>
    <n v="1075.92"/>
    <n v="15"/>
    <n v="49.75"/>
    <n v="248.34"/>
    <s v="UPI"/>
    <s v="High"/>
    <n v="4.6239497360398542E-2"/>
  </r>
  <r>
    <s v="ORD-10089"/>
    <x v="43"/>
    <s v="Meera Chopra"/>
    <s v="Consumer"/>
    <s v="East"/>
    <s v="West Bengal"/>
    <x v="5"/>
    <s v="Kids Wear"/>
    <s v="Winter Jacket Jr"/>
    <n v="1"/>
    <n v="2385.56"/>
    <n v="2385.56"/>
    <n v="0"/>
    <n v="340.54"/>
    <n v="62"/>
    <s v="UPI"/>
    <s v="Low"/>
    <n v="0.1427505491373095"/>
  </r>
  <r>
    <s v="ORD-10744"/>
    <x v="43"/>
    <s v="Myra Gupta"/>
    <s v="Consumer"/>
    <s v="North"/>
    <s v="Uttar Pradesh"/>
    <x v="0"/>
    <s v="Cameras"/>
    <s v="ClickShot X1"/>
    <n v="1"/>
    <n v="45372.5"/>
    <n v="36298"/>
    <n v="20"/>
    <n v="-4489.6000000000004"/>
    <n v="114.5"/>
    <s v="UPI"/>
    <s v="Medium"/>
    <n v="-0.1236872554961706"/>
  </r>
  <r>
    <s v="ORD-10819"/>
    <x v="44"/>
    <s v="Krishna Patel"/>
    <s v="Small Business"/>
    <s v="North"/>
    <s v="Uttar Pradesh"/>
    <x v="3"/>
    <s v="Footwear"/>
    <s v="Casual Sneakers"/>
    <n v="1"/>
    <n v="957.96"/>
    <n v="957.96"/>
    <n v="0"/>
    <n v="249.47"/>
    <n v="239.08"/>
    <s v="Credit Card"/>
    <s v="High"/>
    <n v="0.26041797152281931"/>
  </r>
  <r>
    <s v="ORD-10767"/>
    <x v="45"/>
    <s v="Vihaan Nair"/>
    <s v="Consumer"/>
    <s v="East"/>
    <s v="Bihar"/>
    <x v="4"/>
    <s v="Makeup"/>
    <s v="Matte Lipstick"/>
    <n v="2"/>
    <n v="2063.59"/>
    <n v="3714.46"/>
    <n v="10"/>
    <n v="569.04999999999995"/>
    <n v="58.55"/>
    <s v="Debit Card"/>
    <s v="High"/>
    <n v="0.15319858068198336"/>
  </r>
  <r>
    <s v="ORD-10676"/>
    <x v="46"/>
    <s v="Reyansh Gupta"/>
    <s v="Consumer"/>
    <s v="East"/>
    <s v="West Bengal"/>
    <x v="0"/>
    <s v="Cameras"/>
    <s v="SnapLite Mini"/>
    <n v="4"/>
    <n v="8668.81"/>
    <n v="32941.480000000003"/>
    <n v="5"/>
    <n v="-224.86"/>
    <n v="218.71"/>
    <s v="Cash on Delivery"/>
    <s v="Low"/>
    <n v="-6.8260442457351638E-3"/>
  </r>
  <r>
    <s v="ORD-10366"/>
    <x v="47"/>
    <s v="Priya Das"/>
    <s v="Consumer"/>
    <s v="West"/>
    <s v="Rajasthan"/>
    <x v="5"/>
    <s v="Men's Wear"/>
    <s v="Casual Blazer"/>
    <n v="3"/>
    <n v="3618.13"/>
    <n v="9226.23"/>
    <n v="15"/>
    <n v="1065.5"/>
    <n v="157.5"/>
    <s v="UPI"/>
    <s v="High"/>
    <n v="0.11548595688596534"/>
  </r>
  <r>
    <s v="ORD-10487"/>
    <x v="48"/>
    <s v="Ananya Patel"/>
    <s v="Corporate"/>
    <s v="North"/>
    <s v="Punjab"/>
    <x v="0"/>
    <s v="Headphones"/>
    <s v="SoundWave Pro"/>
    <n v="5"/>
    <n v="57167.88"/>
    <n v="285839.40000000002"/>
    <n v="0"/>
    <n v="23480.240000000002"/>
    <n v="198.93"/>
    <s v="Net Banking"/>
    <s v="High"/>
    <n v="8.2144868761969136E-2"/>
  </r>
  <r>
    <s v="ORD-10939"/>
    <x v="49"/>
    <s v="Myra Das"/>
    <s v="Corporate"/>
    <s v="East"/>
    <s v="Bihar"/>
    <x v="4"/>
    <s v="Makeup"/>
    <s v="Matte Lipstick"/>
    <n v="3"/>
    <n v="1569.03"/>
    <n v="4707.09"/>
    <n v="0"/>
    <n v="1368.02"/>
    <n v="170.55"/>
    <s v="Credit Card"/>
    <s v="Low"/>
    <n v="0.29062966716166461"/>
  </r>
  <r>
    <s v="ORD-10914"/>
    <x v="50"/>
    <s v="Pooja Desai"/>
    <s v="Consumer"/>
    <s v="West"/>
    <s v="Rajasthan"/>
    <x v="1"/>
    <s v="Decor"/>
    <s v="Ceramic Vase"/>
    <n v="1"/>
    <n v="1501.6"/>
    <n v="1351.44"/>
    <n v="10"/>
    <n v="54.81"/>
    <n v="130.77000000000001"/>
    <s v="Debit Card"/>
    <s v="Medium"/>
    <n v="4.055673947789025E-2"/>
  </r>
  <r>
    <s v="ORD-10814"/>
    <x v="50"/>
    <s v="Kabir Joshi"/>
    <s v="Small Business"/>
    <s v="North"/>
    <s v="Punjab"/>
    <x v="0"/>
    <s v="Mobiles"/>
    <s v="Pixel Nano"/>
    <n v="2"/>
    <n v="60047.05"/>
    <n v="120094.1"/>
    <n v="0"/>
    <n v="10854.71"/>
    <n v="267.60000000000002"/>
    <s v="UPI"/>
    <s v="Low"/>
    <n v="9.0385039731344E-2"/>
  </r>
  <r>
    <s v="ORD-10724"/>
    <x v="51"/>
    <s v="Aditya Rao"/>
    <s v="Consumer"/>
    <s v="East"/>
    <s v="Bihar"/>
    <x v="4"/>
    <s v="Makeup"/>
    <s v="Eyeliner Pro"/>
    <n v="1"/>
    <n v="1432.01"/>
    <n v="1145.6099999999999"/>
    <n v="20"/>
    <n v="203.77"/>
    <n v="297.56"/>
    <s v="UPI"/>
    <s v="Medium"/>
    <n v="0.17787030490306477"/>
  </r>
  <r>
    <s v="ORD-10620"/>
    <x v="52"/>
    <s v="Ayaan Gupta"/>
    <s v="Corporate"/>
    <s v="East"/>
    <s v="West Bengal"/>
    <x v="2"/>
    <s v="Non-Fiction"/>
    <s v="Modern Economics"/>
    <n v="1"/>
    <n v="973.64"/>
    <n v="876.28"/>
    <n v="10"/>
    <n v="147.31"/>
    <n v="150.63999999999999"/>
    <s v="Credit Card"/>
    <s v="High"/>
    <n v="0.16810836718856986"/>
  </r>
  <r>
    <s v="ORD-10431"/>
    <x v="52"/>
    <s v="Sai Gupta"/>
    <s v="Consumer"/>
    <s v="West"/>
    <s v="Gujarat"/>
    <x v="2"/>
    <s v="Academic"/>
    <s v="Calculus Made Easy"/>
    <n v="1"/>
    <n v="1134.22"/>
    <n v="1077.51"/>
    <n v="5"/>
    <n v="178.29"/>
    <n v="45.95"/>
    <s v="Cash on Delivery"/>
    <s v="Low"/>
    <n v="0.16546482167218865"/>
  </r>
  <r>
    <s v="ORD-10181"/>
    <x v="53"/>
    <s v="Krishna Kapoor"/>
    <s v="Consumer"/>
    <s v="West"/>
    <s v="Rajasthan"/>
    <x v="5"/>
    <s v="Kids Wear"/>
    <s v="School Uniform Set"/>
    <n v="4"/>
    <n v="4176.43"/>
    <n v="16705.72"/>
    <n v="0"/>
    <n v="2375.7600000000002"/>
    <n v="368.91"/>
    <s v="Cash on Delivery"/>
    <s v="Low"/>
    <n v="0.1422123679793508"/>
  </r>
  <r>
    <s v="ORD-10651"/>
    <x v="54"/>
    <s v="Myra Mehta"/>
    <s v="Corporate"/>
    <s v="North"/>
    <s v="Haryana"/>
    <x v="3"/>
    <s v="Footwear"/>
    <s v="Formal Loafers"/>
    <n v="1"/>
    <n v="10180.959999999999"/>
    <n v="7126.67"/>
    <n v="30"/>
    <n v="724.83"/>
    <n v="129.83000000000001"/>
    <s v="Debit Card"/>
    <s v="High"/>
    <n v="0.1017066876956559"/>
  </r>
  <r>
    <s v="ORD-10496"/>
    <x v="54"/>
    <s v="Riya Kapoor"/>
    <s v="Consumer"/>
    <s v="West"/>
    <s v="Rajasthan"/>
    <x v="0"/>
    <s v="Headphones"/>
    <s v="EchoBuds"/>
    <n v="1"/>
    <n v="32313.16"/>
    <n v="29081.84"/>
    <n v="10"/>
    <n v="1728.51"/>
    <n v="238.71"/>
    <s v="UPI"/>
    <s v="Low"/>
    <n v="5.9436060441842742E-2"/>
  </r>
  <r>
    <s v="ORD-10136"/>
    <x v="55"/>
    <s v="Anika Joshi"/>
    <s v="Consumer"/>
    <s v="West"/>
    <s v="Rajasthan"/>
    <x v="3"/>
    <s v="Apparel"/>
    <s v="Compression Shorts"/>
    <n v="2"/>
    <n v="5185.96"/>
    <n v="9853.32"/>
    <n v="5"/>
    <n v="1927.77"/>
    <n v="147.91"/>
    <s v="Net Banking"/>
    <s v="Medium"/>
    <n v="0.19564674647732946"/>
  </r>
  <r>
    <s v="ORD-10426"/>
    <x v="55"/>
    <s v="Aarav Mehta"/>
    <s v="Small Business"/>
    <s v="West"/>
    <s v="Gujarat"/>
    <x v="1"/>
    <s v="Furniture"/>
    <s v="Bookshelf Unit"/>
    <n v="1"/>
    <n v="9067.75"/>
    <n v="7707.59"/>
    <n v="15"/>
    <n v="1408.21"/>
    <n v="266.8"/>
    <s v="Cash on Delivery"/>
    <s v="Medium"/>
    <n v="0.18270432132482398"/>
  </r>
  <r>
    <s v="ORD-10011"/>
    <x v="56"/>
    <s v="Karan Mishra"/>
    <s v="Small Business"/>
    <s v="East"/>
    <s v="Odisha"/>
    <x v="5"/>
    <s v="Men's Wear"/>
    <s v="Slim Fit Jeans"/>
    <n v="1"/>
    <n v="1386.88"/>
    <n v="1248.19"/>
    <n v="10"/>
    <n v="120.75"/>
    <n v="196.42"/>
    <s v="Credit Card"/>
    <s v="High"/>
    <n v="9.6740079635311921E-2"/>
  </r>
  <r>
    <s v="ORD-10481"/>
    <x v="57"/>
    <s v="Riya Patel"/>
    <s v="Consumer"/>
    <s v="North"/>
    <s v="Delhi"/>
    <x v="0"/>
    <s v="Accessories"/>
    <s v="PowerBank 20K"/>
    <n v="1"/>
    <n v="63263.13"/>
    <n v="63263.13"/>
    <n v="0"/>
    <n v="8037.17"/>
    <n v="298.63"/>
    <s v="Net Banking"/>
    <s v="Critical"/>
    <n v="0.12704350859655539"/>
  </r>
  <r>
    <s v="ORD-10270"/>
    <x v="58"/>
    <s v="Myra Patel"/>
    <s v="Corporate"/>
    <s v="North"/>
    <s v="Delhi"/>
    <x v="1"/>
    <s v="Cookware"/>
    <s v="Non-Stick Pan Set"/>
    <n v="3"/>
    <n v="5012.1000000000004"/>
    <n v="12029.04"/>
    <n v="20"/>
    <n v="662.09"/>
    <n v="147.75"/>
    <s v="Cash on Delivery"/>
    <s v="Medium"/>
    <n v="5.5040967525255544E-2"/>
  </r>
  <r>
    <s v="ORD-10981"/>
    <x v="59"/>
    <s v="Reyansh Gupta"/>
    <s v="Consumer"/>
    <s v="West"/>
    <s v="Gujarat"/>
    <x v="3"/>
    <s v="Gym Equipment"/>
    <s v="Adjustable Dumbbells"/>
    <n v="2"/>
    <n v="14875.96"/>
    <n v="22313.94"/>
    <n v="25"/>
    <n v="466.6"/>
    <n v="259.14999999999998"/>
    <s v="UPI"/>
    <s v="Medium"/>
    <n v="2.0910695287340561E-2"/>
  </r>
  <r>
    <s v="ORD-10639"/>
    <x v="59"/>
    <s v="Vihaan Patel"/>
    <s v="Consumer"/>
    <s v="North"/>
    <s v="Haryana"/>
    <x v="0"/>
    <s v="Accessories"/>
    <s v="FastCharge Cable"/>
    <n v="1"/>
    <n v="20591.53"/>
    <n v="18532.38"/>
    <n v="10"/>
    <n v="1370.82"/>
    <n v="267.41000000000003"/>
    <s v="Cash on Delivery"/>
    <s v="High"/>
    <n v="7.3968912789398877E-2"/>
  </r>
  <r>
    <s v="ORD-10935"/>
    <x v="60"/>
    <s v="Pooja Mehta"/>
    <s v="Consumer"/>
    <s v="West"/>
    <s v="Maharashtra"/>
    <x v="0"/>
    <s v="Accessories"/>
    <s v="PowerBank 20K"/>
    <n v="1"/>
    <n v="27674.48"/>
    <n v="27674.48"/>
    <n v="0"/>
    <n v="1868.69"/>
    <n v="93.24"/>
    <s v="Credit Card"/>
    <s v="Critical"/>
    <n v="6.7523942635959192E-2"/>
  </r>
  <r>
    <s v="ORD-10082"/>
    <x v="61"/>
    <s v="Myra Bose"/>
    <s v="Corporate"/>
    <s v="South"/>
    <s v="Telangana"/>
    <x v="4"/>
    <s v="Skincare"/>
    <s v="Vitamin C Serum"/>
    <n v="2"/>
    <n v="933.64"/>
    <n v="1867.28"/>
    <n v="0"/>
    <n v="482.69"/>
    <n v="315.36"/>
    <s v="UPI"/>
    <s v="Critical"/>
    <n v="0.25849899318795255"/>
  </r>
  <r>
    <s v="ORD-10880"/>
    <x v="61"/>
    <s v="Rohan Kapoor"/>
    <s v="Small Business"/>
    <s v="North"/>
    <s v="Uttar Pradesh"/>
    <x v="0"/>
    <s v="Headphones"/>
    <s v="BassBoost 300"/>
    <n v="1"/>
    <n v="7284.03"/>
    <n v="6919.83"/>
    <n v="5"/>
    <n v="288.22000000000003"/>
    <n v="174.02"/>
    <s v="UPI"/>
    <s v="Medium"/>
    <n v="4.165131224321985E-2"/>
  </r>
  <r>
    <s v="ORD-10602"/>
    <x v="61"/>
    <s v="Simran Mishra"/>
    <s v="Corporate"/>
    <s v="East"/>
    <s v="Odisha"/>
    <x v="1"/>
    <s v="Appliances"/>
    <s v="Microwave Oven"/>
    <n v="1"/>
    <n v="2671.66"/>
    <n v="2270.91"/>
    <n v="15"/>
    <n v="241.33"/>
    <n v="75.06"/>
    <s v="Cash on Delivery"/>
    <s v="Critical"/>
    <n v="0.10627017363083523"/>
  </r>
  <r>
    <s v="ORD-10835"/>
    <x v="62"/>
    <s v="Ananya Singh"/>
    <s v="Corporate"/>
    <s v="South"/>
    <s v="Karnataka"/>
    <x v="1"/>
    <s v="Appliances"/>
    <s v="Microwave Oven"/>
    <n v="1"/>
    <n v="11206.04"/>
    <n v="10085.44"/>
    <n v="10"/>
    <n v="1343.39"/>
    <n v="240.25"/>
    <s v="Debit Card"/>
    <s v="Low"/>
    <n v="0.13320093124345592"/>
  </r>
  <r>
    <s v="ORD-10540"/>
    <x v="62"/>
    <s v="Krishna Rao"/>
    <s v="Small Business"/>
    <s v="North"/>
    <s v="Uttar Pradesh"/>
    <x v="4"/>
    <s v="Makeup"/>
    <s v="Matte Lipstick"/>
    <n v="1"/>
    <n v="2291.75"/>
    <n v="2062.58"/>
    <n v="10"/>
    <n v="481.76"/>
    <n v="261.08999999999997"/>
    <s v="UPI"/>
    <s v="Medium"/>
    <n v="0.23357154631577928"/>
  </r>
  <r>
    <s v="ORD-10738"/>
    <x v="63"/>
    <s v="Karan Khan"/>
    <s v="Consumer"/>
    <s v="East"/>
    <s v="West Bengal"/>
    <x v="4"/>
    <s v="Makeup"/>
    <s v="Eyeliner Pro"/>
    <n v="4"/>
    <n v="648.44000000000005"/>
    <n v="1945.32"/>
    <n v="25"/>
    <n v="169.14"/>
    <n v="359.93"/>
    <s v="UPI"/>
    <s v="Low"/>
    <n v="8.6947134661649494E-2"/>
  </r>
  <r>
    <s v="ORD-10122"/>
    <x v="64"/>
    <s v="Arjun Gupta"/>
    <s v="Consumer"/>
    <s v="East"/>
    <s v="Bihar"/>
    <x v="2"/>
    <s v="Non-Fiction"/>
    <s v="Mind Over Matter"/>
    <n v="4"/>
    <n v="269.24"/>
    <n v="1023.11"/>
    <n v="5"/>
    <n v="150.16999999999999"/>
    <n v="289.89999999999998"/>
    <s v="Credit Card"/>
    <s v="Medium"/>
    <n v="0.1467779613140327"/>
  </r>
  <r>
    <s v="ORD-10070"/>
    <x v="65"/>
    <s v="Dhruv Khan"/>
    <s v="Consumer"/>
    <s v="West"/>
    <s v="Gujarat"/>
    <x v="4"/>
    <s v="Makeup"/>
    <s v="Compact Powder"/>
    <n v="1"/>
    <n v="1463.22"/>
    <n v="1024.25"/>
    <n v="30"/>
    <n v="146.76"/>
    <n v="258.67"/>
    <s v="Cash on Delivery"/>
    <s v="Low"/>
    <n v="0.14328533072980229"/>
  </r>
  <r>
    <s v="ORD-10706"/>
    <x v="66"/>
    <s v="Myra Rao"/>
    <s v="Consumer"/>
    <s v="South"/>
    <s v="Tamil Nadu"/>
    <x v="2"/>
    <s v="Academic"/>
    <s v="Calculus Made Easy"/>
    <n v="5"/>
    <n v="484.54"/>
    <n v="2180.4299999999998"/>
    <n v="10"/>
    <n v="-45.71"/>
    <n v="379.14"/>
    <s v="UPI"/>
    <s v="Low"/>
    <n v="-2.0963754855693604E-2"/>
  </r>
  <r>
    <s v="ORD-10267"/>
    <x v="67"/>
    <s v="Aarav Singh"/>
    <s v="Consumer"/>
    <s v="West"/>
    <s v="Gujarat"/>
    <x v="5"/>
    <s v="Women's Wear"/>
    <s v="Ethnic Kurti"/>
    <n v="5"/>
    <n v="2195.83"/>
    <n v="10979.15"/>
    <n v="0"/>
    <n v="2656.96"/>
    <n v="311.98"/>
    <s v="Credit Card"/>
    <s v="Medium"/>
    <n v="0.24200051916587351"/>
  </r>
  <r>
    <s v="ORD-10583"/>
    <x v="68"/>
    <s v="Vivaan Verma"/>
    <s v="Consumer"/>
    <s v="North"/>
    <s v="Uttar Pradesh"/>
    <x v="4"/>
    <s v="Skincare"/>
    <s v="Vitamin C Serum"/>
    <n v="4"/>
    <n v="1758.97"/>
    <n v="5980.5"/>
    <n v="15"/>
    <n v="671.68"/>
    <n v="118.71"/>
    <s v="Net Banking"/>
    <s v="Low"/>
    <n v="0.11231167962544937"/>
  </r>
  <r>
    <s v="ORD-10003"/>
    <x v="68"/>
    <s v="Priya Verma"/>
    <s v="Corporate"/>
    <s v="West"/>
    <s v="Maharashtra"/>
    <x v="1"/>
    <s v="Decor"/>
    <s v="Ceramic Vase"/>
    <n v="2"/>
    <n v="2057.2600000000002"/>
    <n v="2880.16"/>
    <n v="30"/>
    <n v="-69.5"/>
    <n v="276.04000000000002"/>
    <s v="Debit Card"/>
    <s v="Medium"/>
    <n v="-2.4130603855341371E-2"/>
  </r>
  <r>
    <s v="ORD-10463"/>
    <x v="69"/>
    <s v="Sai Iyer"/>
    <s v="Consumer"/>
    <s v="South"/>
    <s v="Tamil Nadu"/>
    <x v="3"/>
    <s v="Apparel"/>
    <s v="Track Pants"/>
    <n v="1"/>
    <n v="14703.81"/>
    <n v="10292.67"/>
    <n v="30"/>
    <n v="-237.72"/>
    <n v="249.8"/>
    <s v="UPI"/>
    <s v="Medium"/>
    <n v="-2.3096047964230856E-2"/>
  </r>
  <r>
    <s v="ORD-10327"/>
    <x v="69"/>
    <s v="Saanvi Mishra"/>
    <s v="Consumer"/>
    <s v="North"/>
    <s v="Haryana"/>
    <x v="4"/>
    <s v="Makeup"/>
    <s v="Compact Powder"/>
    <n v="1"/>
    <n v="368.35"/>
    <n v="349.93"/>
    <n v="5"/>
    <n v="116.21"/>
    <n v="228.24"/>
    <s v="Net Banking"/>
    <s v="Medium"/>
    <n v="0.33209499042665674"/>
  </r>
  <r>
    <s v="ORD-10588"/>
    <x v="69"/>
    <s v="Diya Patel"/>
    <s v="Small Business"/>
    <s v="South"/>
    <s v="Karnataka"/>
    <x v="5"/>
    <s v="Men's Wear"/>
    <s v="Cotton Kurta"/>
    <n v="2"/>
    <n v="1716.85"/>
    <n v="3433.7"/>
    <n v="0"/>
    <n v="646.41"/>
    <n v="51.18"/>
    <s v="Credit Card"/>
    <s v="Low"/>
    <n v="0.18825465241576142"/>
  </r>
  <r>
    <s v="ORD-10865"/>
    <x v="70"/>
    <s v="Ananya Bose"/>
    <s v="Corporate"/>
    <s v="North"/>
    <s v="Haryana"/>
    <x v="1"/>
    <s v="Decor"/>
    <s v="Wall Art Frame"/>
    <n v="2"/>
    <n v="474"/>
    <n v="853.2"/>
    <n v="10"/>
    <n v="166.7"/>
    <n v="155.66"/>
    <s v="UPI"/>
    <s v="Low"/>
    <n v="0.19538209095171119"/>
  </r>
  <r>
    <s v="ORD-10893"/>
    <x v="71"/>
    <s v="Arjun Agarwal"/>
    <s v="Corporate"/>
    <s v="East"/>
    <s v="Odisha"/>
    <x v="3"/>
    <s v="Footwear"/>
    <s v="Running Shoes"/>
    <n v="2"/>
    <n v="4436.4399999999996"/>
    <n v="7985.59"/>
    <n v="10"/>
    <n v="1339.82"/>
    <n v="126.15"/>
    <s v="Debit Card"/>
    <s v="High"/>
    <n v="0.16777971320841664"/>
  </r>
  <r>
    <s v="ORD-10506"/>
    <x v="72"/>
    <s v="Sai Patel"/>
    <s v="Small Business"/>
    <s v="South"/>
    <s v="Telangana"/>
    <x v="5"/>
    <s v="Women's Wear"/>
    <s v="Floral Dress"/>
    <n v="1"/>
    <n v="2853.2"/>
    <n v="2710.54"/>
    <n v="5"/>
    <n v="418.87"/>
    <n v="129"/>
    <s v="UPI"/>
    <s v="Medium"/>
    <n v="0.15453378293624148"/>
  </r>
  <r>
    <s v="ORD-10805"/>
    <x v="72"/>
    <s v="Anika Khan"/>
    <s v="Consumer"/>
    <s v="East"/>
    <s v="Odisha"/>
    <x v="4"/>
    <s v="Makeup"/>
    <s v="Foundation Stick"/>
    <n v="2"/>
    <n v="2372.73"/>
    <n v="4745.46"/>
    <n v="0"/>
    <n v="1495.12"/>
    <n v="296.45999999999998"/>
    <s v="Debit Card"/>
    <s v="Medium"/>
    <n v="0.31506323939091258"/>
  </r>
  <r>
    <s v="ORD-10646"/>
    <x v="73"/>
    <s v="Ayaan Khan"/>
    <s v="Corporate"/>
    <s v="North"/>
    <s v="Punjab"/>
    <x v="1"/>
    <s v="Appliances"/>
    <s v="Air Fryer"/>
    <n v="4"/>
    <n v="8687.32"/>
    <n v="29536.89"/>
    <n v="15"/>
    <n v="2224.4299999999998"/>
    <n v="317.88"/>
    <s v="UPI"/>
    <s v="Critical"/>
    <n v="7.5310230697950925E-2"/>
  </r>
  <r>
    <s v="ORD-10916"/>
    <x v="73"/>
    <s v="Ananya Joshi"/>
    <s v="Consumer"/>
    <s v="North"/>
    <s v="Punjab"/>
    <x v="5"/>
    <s v="Kids Wear"/>
    <s v="Winter Jacket Jr"/>
    <n v="2"/>
    <n v="1636.88"/>
    <n v="2455.3200000000002"/>
    <n v="25"/>
    <n v="291.85000000000002"/>
    <n v="201.49"/>
    <s v="Credit Card"/>
    <s v="Medium"/>
    <n v="0.11886434354788786"/>
  </r>
  <r>
    <s v="ORD-10288"/>
    <x v="73"/>
    <s v="Saanvi Iyer"/>
    <s v="Consumer"/>
    <s v="West"/>
    <s v="Maharashtra"/>
    <x v="4"/>
    <s v="Skincare"/>
    <s v="Vitamin C Serum"/>
    <n v="1"/>
    <n v="2074.1"/>
    <n v="1970.39"/>
    <n v="5"/>
    <n v="544.04"/>
    <n v="55.64"/>
    <s v="Net Banking"/>
    <s v="Critical"/>
    <n v="0.27610777561802485"/>
  </r>
  <r>
    <s v="ORD-10641"/>
    <x v="74"/>
    <s v="Pooja Kapoor"/>
    <s v="Corporate"/>
    <s v="East"/>
    <s v="Odisha"/>
    <x v="0"/>
    <s v="Mobiles"/>
    <s v="Nova 5G"/>
    <n v="4"/>
    <n v="53310.53"/>
    <n v="213242.12"/>
    <n v="0"/>
    <n v="16416.830000000002"/>
    <n v="363.62"/>
    <s v="UPI"/>
    <s v="High"/>
    <n v="7.6986807296794843E-2"/>
  </r>
  <r>
    <s v="ORD-10787"/>
    <x v="74"/>
    <s v="Aarav Nair"/>
    <s v="Consumer"/>
    <s v="East"/>
    <s v="West Bengal"/>
    <x v="2"/>
    <s v="Comics"/>
    <s v="Graphic Tales"/>
    <n v="3"/>
    <n v="332.96"/>
    <n v="898.99"/>
    <n v="10"/>
    <n v="73.680000000000007"/>
    <n v="374.96"/>
    <s v="Debit Card"/>
    <s v="High"/>
    <n v="8.1958642476557028E-2"/>
  </r>
  <r>
    <s v="ORD-10763"/>
    <x v="75"/>
    <s v="Myra Joshi"/>
    <s v="Consumer"/>
    <s v="North"/>
    <s v="Uttar Pradesh"/>
    <x v="5"/>
    <s v="Kids Wear"/>
    <s v="Cartoon T-Shirt"/>
    <n v="1"/>
    <n v="2236.9"/>
    <n v="1677.68"/>
    <n v="25"/>
    <n v="117.98"/>
    <n v="333.74"/>
    <s v="Credit Card"/>
    <s v="Medium"/>
    <n v="7.0323303609746798E-2"/>
  </r>
  <r>
    <s v="ORD-10972"/>
    <x v="76"/>
    <s v="Vihaan Kapoor"/>
    <s v="Corporate"/>
    <s v="West"/>
    <s v="Rajasthan"/>
    <x v="0"/>
    <s v="Headphones"/>
    <s v="BassBoost 300"/>
    <n v="4"/>
    <n v="41250.160000000003"/>
    <n v="156750.60999999999"/>
    <n v="5"/>
    <n v="12629.85"/>
    <n v="282.19"/>
    <s v="Debit Card"/>
    <s v="Medium"/>
    <n v="8.0572892188425949E-2"/>
  </r>
  <r>
    <s v="ORD-10284"/>
    <x v="77"/>
    <s v="Navya Rao"/>
    <s v="Small Business"/>
    <s v="South"/>
    <s v="Telangana"/>
    <x v="0"/>
    <s v="Accessories"/>
    <s v="FastCharge Cable"/>
    <n v="2"/>
    <n v="24027.73"/>
    <n v="43249.91"/>
    <n v="10"/>
    <n v="1811.44"/>
    <n v="148.07"/>
    <s v="Cash on Delivery"/>
    <s v="Low"/>
    <n v="4.1883092935915932E-2"/>
  </r>
  <r>
    <s v="ORD-10277"/>
    <x v="78"/>
    <s v="Kabir Singh"/>
    <s v="Consumer"/>
    <s v="East"/>
    <s v="Bihar"/>
    <x v="4"/>
    <s v="Skincare"/>
    <s v="Face Wash Gel"/>
    <n v="2"/>
    <n v="1557.61"/>
    <n v="2803.7"/>
    <n v="10"/>
    <n v="658.37"/>
    <n v="92.87"/>
    <s v="Credit Card"/>
    <s v="High"/>
    <n v="0.23482184256518174"/>
  </r>
  <r>
    <s v="ORD-10928"/>
    <x v="79"/>
    <s v="Riya Chopra"/>
    <s v="Consumer"/>
    <s v="East"/>
    <s v="Odisha"/>
    <x v="5"/>
    <s v="Kids Wear"/>
    <s v="Denim Overalls"/>
    <n v="2"/>
    <n v="1572.67"/>
    <n v="3145.34"/>
    <n v="0"/>
    <n v="667.51"/>
    <n v="354.3"/>
    <s v="Net Banking"/>
    <s v="Critical"/>
    <n v="0.21222189016131801"/>
  </r>
  <r>
    <s v="ORD-10511"/>
    <x v="79"/>
    <s v="Rohan Nair"/>
    <s v="Corporate"/>
    <s v="East"/>
    <s v="Odisha"/>
    <x v="3"/>
    <s v="Gym Equipment"/>
    <s v="Adjustable Dumbbells"/>
    <n v="3"/>
    <n v="2045.56"/>
    <n v="6136.68"/>
    <n v="0"/>
    <n v="1134.9000000000001"/>
    <n v="264.12"/>
    <s v="Debit Card"/>
    <s v="Medium"/>
    <n v="0.18493713213007684"/>
  </r>
  <r>
    <s v="ORD-10396"/>
    <x v="80"/>
    <s v="Kiara Reddy"/>
    <s v="Corporate"/>
    <s v="East"/>
    <s v="West Bengal"/>
    <x v="0"/>
    <s v="Mobiles"/>
    <s v="Galaxy Note Lite"/>
    <n v="1"/>
    <n v="3876.49"/>
    <n v="3488.84"/>
    <n v="10"/>
    <n v="95.8"/>
    <n v="339.92"/>
    <s v="Debit Card"/>
    <s v="Low"/>
    <n v="2.7458983501679638E-2"/>
  </r>
  <r>
    <s v="ORD-10196"/>
    <x v="81"/>
    <s v="Kiara Reddy"/>
    <s v="Corporate"/>
    <s v="North"/>
    <s v="Uttar Pradesh"/>
    <x v="1"/>
    <s v="Decor"/>
    <s v="Wall Art Frame"/>
    <n v="1"/>
    <n v="9759.4599999999991"/>
    <n v="7807.57"/>
    <n v="20"/>
    <n v="322.13"/>
    <n v="338.05"/>
    <s v="UPI"/>
    <s v="Medium"/>
    <n v="4.1258675874824048E-2"/>
  </r>
  <r>
    <s v="ORD-10961"/>
    <x v="82"/>
    <s v="Aarav Reddy"/>
    <s v="Consumer"/>
    <s v="West"/>
    <s v="Gujarat"/>
    <x v="5"/>
    <s v="Women's Wear"/>
    <s v="Denim Jacket"/>
    <n v="1"/>
    <n v="910.37"/>
    <n v="819.33"/>
    <n v="10"/>
    <n v="101.28"/>
    <n v="52.77"/>
    <s v="UPI"/>
    <s v="Low"/>
    <n v="0.1236131961480722"/>
  </r>
  <r>
    <s v="ORD-10733"/>
    <x v="82"/>
    <s v="Reyansh Mishra"/>
    <s v="Small Business"/>
    <s v="South"/>
    <s v="Telangana"/>
    <x v="5"/>
    <s v="Kids Wear"/>
    <s v="Denim Overalls"/>
    <n v="1"/>
    <n v="1769.77"/>
    <n v="1681.28"/>
    <n v="5"/>
    <n v="304.04000000000002"/>
    <n v="296.04000000000002"/>
    <s v="Debit Card"/>
    <s v="Low"/>
    <n v="0.18083840883136659"/>
  </r>
  <r>
    <s v="ORD-10958"/>
    <x v="83"/>
    <s v="Ayaan Khan"/>
    <s v="Consumer"/>
    <s v="West"/>
    <s v="Gujarat"/>
    <x v="1"/>
    <s v="Decor"/>
    <s v="Ceramic Vase"/>
    <n v="1"/>
    <n v="2295.0500000000002"/>
    <n v="2065.5500000000002"/>
    <n v="10"/>
    <n v="130.03"/>
    <n v="89.03"/>
    <s v="Cash on Delivery"/>
    <s v="Low"/>
    <n v="6.2951756190845046E-2"/>
  </r>
  <r>
    <s v="ORD-10313"/>
    <x v="84"/>
    <s v="Myra Patel"/>
    <s v="Corporate"/>
    <s v="East"/>
    <s v="Bihar"/>
    <x v="0"/>
    <s v="Cameras"/>
    <s v="SnapLite Mini"/>
    <n v="2"/>
    <n v="61925.59"/>
    <n v="117658.62"/>
    <n v="5"/>
    <n v="13626.8"/>
    <n v="190.52"/>
    <s v="Credit Card"/>
    <s v="Low"/>
    <n v="0.11581641872053233"/>
  </r>
  <r>
    <s v="ORD-10552"/>
    <x v="84"/>
    <s v="Neha Patel"/>
    <s v="Small Business"/>
    <s v="South"/>
    <s v="Telangana"/>
    <x v="3"/>
    <s v="Apparel"/>
    <s v="Sports Jacket"/>
    <n v="1"/>
    <n v="9791.49"/>
    <n v="8812.34"/>
    <n v="10"/>
    <n v="1718.92"/>
    <n v="292.33999999999997"/>
    <s v="Debit Card"/>
    <s v="High"/>
    <n v="0.19505829325695559"/>
  </r>
  <r>
    <s v="ORD-10683"/>
    <x v="85"/>
    <s v="Aadhya Sharma"/>
    <s v="Corporate"/>
    <s v="West"/>
    <s v="Maharashtra"/>
    <x v="1"/>
    <s v="Furniture"/>
    <s v="Study Table"/>
    <n v="1"/>
    <n v="9763.4"/>
    <n v="9763.4"/>
    <n v="0"/>
    <n v="1884.77"/>
    <n v="194.07"/>
    <s v="Debit Card"/>
    <s v="Low"/>
    <n v="0.19304443124321446"/>
  </r>
  <r>
    <s v="ORD-10856"/>
    <x v="86"/>
    <s v="Anika Bose"/>
    <s v="Consumer"/>
    <s v="North"/>
    <s v="Haryana"/>
    <x v="0"/>
    <s v="Mobiles"/>
    <s v="Pixel Nano"/>
    <n v="2"/>
    <n v="43190.6"/>
    <n v="82062.14"/>
    <n v="5"/>
    <n v="4280.6099999999997"/>
    <n v="67.430000000000007"/>
    <s v="Net Banking"/>
    <s v="Low"/>
    <n v="5.216303157582778E-2"/>
  </r>
  <r>
    <s v="ORD-10831"/>
    <x v="87"/>
    <s v="Karan Verma"/>
    <s v="Consumer"/>
    <s v="East"/>
    <s v="Odisha"/>
    <x v="2"/>
    <s v="Fiction"/>
    <s v="Beyond the Horizon"/>
    <n v="4"/>
    <n v="612.05999999999995"/>
    <n v="2081"/>
    <n v="15"/>
    <n v="140.21"/>
    <n v="268.22000000000003"/>
    <s v="Debit Card"/>
    <s v="High"/>
    <n v="6.7376261412782315E-2"/>
  </r>
  <r>
    <s v="ORD-10459"/>
    <x v="87"/>
    <s v="Karan Bose"/>
    <s v="Consumer"/>
    <s v="East"/>
    <s v="Bihar"/>
    <x v="3"/>
    <s v="Gym Equipment"/>
    <s v="Yoga Mat Pro"/>
    <n v="1"/>
    <n v="839.07"/>
    <n v="839.07"/>
    <n v="0"/>
    <n v="224.71"/>
    <n v="292.52"/>
    <s v="Cash on Delivery"/>
    <s v="Low"/>
    <n v="0.26780840692671648"/>
  </r>
  <r>
    <s v="ORD-10386"/>
    <x v="88"/>
    <s v="Kiara Nair"/>
    <s v="Consumer"/>
    <s v="East"/>
    <s v="Odisha"/>
    <x v="2"/>
    <s v="Academic"/>
    <s v="Calculus Made Easy"/>
    <n v="2"/>
    <n v="609.48"/>
    <n v="1218.96"/>
    <n v="0"/>
    <n v="138.31"/>
    <n v="126.49"/>
    <s v="UPI"/>
    <s v="Low"/>
    <n v="0.11346557721336221"/>
  </r>
  <r>
    <s v="ORD-10170"/>
    <x v="88"/>
    <s v="Ishaan Gupta"/>
    <s v="Corporate"/>
    <s v="West"/>
    <s v="Gujarat"/>
    <x v="4"/>
    <s v="Haircare"/>
    <s v="Hair Growth Serum"/>
    <n v="3"/>
    <n v="228.07"/>
    <n v="581.58000000000004"/>
    <n v="15"/>
    <n v="94.43"/>
    <n v="251.5"/>
    <s v="Credit Card"/>
    <s v="Medium"/>
    <n v="0.1623680319130644"/>
  </r>
  <r>
    <s v="ORD-10268"/>
    <x v="88"/>
    <s v="Ira Verma"/>
    <s v="Corporate"/>
    <s v="North"/>
    <s v="Uttar Pradesh"/>
    <x v="3"/>
    <s v="Apparel"/>
    <s v="Sports T-Shirt"/>
    <n v="2"/>
    <n v="11671.85"/>
    <n v="23343.7"/>
    <n v="0"/>
    <n v="4082.75"/>
    <n v="118.62"/>
    <s v="UPI"/>
    <s v="Medium"/>
    <n v="0.17489729563008435"/>
  </r>
  <r>
    <s v="ORD-10464"/>
    <x v="89"/>
    <s v="Arjun Malhotra"/>
    <s v="Consumer"/>
    <s v="South"/>
    <s v="Karnataka"/>
    <x v="3"/>
    <s v="Apparel"/>
    <s v="Compression Shorts"/>
    <n v="5"/>
    <n v="8076.4"/>
    <n v="36343.800000000003"/>
    <n v="10"/>
    <n v="5748.76"/>
    <n v="320.19"/>
    <s v="Credit Card"/>
    <s v="Low"/>
    <n v="0.15817718565477468"/>
  </r>
  <r>
    <s v="ORD-10468"/>
    <x v="89"/>
    <s v="Ira Agarwal"/>
    <s v="Consumer"/>
    <s v="North"/>
    <s v="Uttar Pradesh"/>
    <x v="5"/>
    <s v="Footwear"/>
    <s v="Casual Sneakers"/>
    <n v="1"/>
    <n v="3995.25"/>
    <n v="3395.96"/>
    <n v="15"/>
    <n v="625.4"/>
    <n v="198.14"/>
    <s v="Debit Card"/>
    <s v="High"/>
    <n v="0.18416000188459228"/>
  </r>
  <r>
    <s v="ORD-10160"/>
    <x v="90"/>
    <s v="Sai Desai"/>
    <s v="Consumer"/>
    <s v="West"/>
    <s v="Gujarat"/>
    <x v="5"/>
    <s v="Kids Wear"/>
    <s v="School Uniform Set"/>
    <n v="3"/>
    <n v="1628.03"/>
    <n v="4639.8900000000003"/>
    <n v="5"/>
    <n v="807.56"/>
    <n v="248.26"/>
    <s v="UPI"/>
    <s v="High"/>
    <n v="0.17404722956794233"/>
  </r>
  <r>
    <s v="ORD-10830"/>
    <x v="90"/>
    <s v="Krishna Reddy"/>
    <s v="Small Business"/>
    <s v="West"/>
    <s v="Gujarat"/>
    <x v="1"/>
    <s v="Cookware"/>
    <s v="Pressure Cooker"/>
    <n v="3"/>
    <n v="4040.99"/>
    <n v="10304.52"/>
    <n v="15"/>
    <n v="1155.79"/>
    <n v="281.14"/>
    <s v="Credit Card"/>
    <s v="Low"/>
    <n v="0.11216340013896814"/>
  </r>
  <r>
    <s v="ORD-10172"/>
    <x v="91"/>
    <s v="Karan Desai"/>
    <s v="Corporate"/>
    <s v="West"/>
    <s v="Gujarat"/>
    <x v="0"/>
    <s v="Mobiles"/>
    <s v="iSmart X2"/>
    <n v="1"/>
    <n v="26774.32"/>
    <n v="20080.740000000002"/>
    <n v="25"/>
    <n v="-644.41999999999996"/>
    <n v="177.84"/>
    <s v="Debit Card"/>
    <s v="Critical"/>
    <n v="-3.2091446829150716E-2"/>
  </r>
  <r>
    <s v="ORD-10697"/>
    <x v="92"/>
    <s v="Ishaan Nair"/>
    <s v="Small Business"/>
    <s v="West"/>
    <s v="Rajasthan"/>
    <x v="5"/>
    <s v="Kids Wear"/>
    <s v="Cartoon T-Shirt"/>
    <n v="3"/>
    <n v="535.94000000000005"/>
    <n v="1366.65"/>
    <n v="15"/>
    <n v="231.86"/>
    <n v="93.73"/>
    <s v="Credit Card"/>
    <s v="Low"/>
    <n v="0.16965572750887206"/>
  </r>
  <r>
    <s v="ORD-10717"/>
    <x v="93"/>
    <s v="Vivaan Chopra"/>
    <s v="Consumer"/>
    <s v="North"/>
    <s v="Delhi"/>
    <x v="4"/>
    <s v="Fragrances"/>
    <s v="Citrus Eau de Toilette"/>
    <n v="1"/>
    <n v="1156.28"/>
    <n v="809.4"/>
    <n v="30"/>
    <n v="135.24"/>
    <n v="252.86"/>
    <s v="Net Banking"/>
    <s v="Critical"/>
    <n v="0.16708673091178652"/>
  </r>
  <r>
    <s v="ORD-10968"/>
    <x v="93"/>
    <s v="Sai Sharma"/>
    <s v="Corporate"/>
    <s v="West"/>
    <s v="Gujarat"/>
    <x v="4"/>
    <s v="Fragrances"/>
    <s v="Citrus Eau de Toilette"/>
    <n v="2"/>
    <n v="1155.52"/>
    <n v="2311.04"/>
    <n v="0"/>
    <n v="807.29"/>
    <n v="52.68"/>
    <s v="Debit Card"/>
    <s v="High"/>
    <n v="0.34931892135142617"/>
  </r>
  <r>
    <s v="ORD-10922"/>
    <x v="93"/>
    <s v="Pooja Iyer"/>
    <s v="Corporate"/>
    <s v="North"/>
    <s v="Haryana"/>
    <x v="3"/>
    <s v="Footwear"/>
    <s v="Formal Loafers"/>
    <n v="2"/>
    <n v="1610.37"/>
    <n v="2898.67"/>
    <n v="10"/>
    <n v="263.45"/>
    <n v="63.25"/>
    <s v="Debit Card"/>
    <s v="Low"/>
    <n v="9.0886510020112665E-2"/>
  </r>
  <r>
    <s v="ORD-10129"/>
    <x v="94"/>
    <s v="Dhruv Verma"/>
    <s v="Consumer"/>
    <s v="South"/>
    <s v="Telangana"/>
    <x v="1"/>
    <s v="Appliances"/>
    <s v="Mixer Grinder"/>
    <n v="1"/>
    <n v="11148.42"/>
    <n v="10033.58"/>
    <n v="10"/>
    <n v="349.48"/>
    <n v="176.92"/>
    <s v="Debit Card"/>
    <s v="Low"/>
    <n v="3.4831037376489751E-2"/>
  </r>
  <r>
    <s v="ORD-10537"/>
    <x v="95"/>
    <s v="Myra Rao"/>
    <s v="Consumer"/>
    <s v="South"/>
    <s v="Karnataka"/>
    <x v="1"/>
    <s v="Appliances"/>
    <s v="Electric Kettle"/>
    <n v="1"/>
    <n v="2804.78"/>
    <n v="2804.78"/>
    <n v="0"/>
    <n v="604.48"/>
    <n v="126.16"/>
    <s v="UPI"/>
    <s v="Critical"/>
    <n v="0.21551779462203807"/>
  </r>
  <r>
    <s v="ORD-10339"/>
    <x v="96"/>
    <s v="Aditya Nair"/>
    <s v="Consumer"/>
    <s v="East"/>
    <s v="Odisha"/>
    <x v="3"/>
    <s v="Footwear"/>
    <s v="Running Shoes"/>
    <n v="1"/>
    <n v="9163.61"/>
    <n v="7789.07"/>
    <n v="15"/>
    <n v="875.83"/>
    <n v="102.99"/>
    <s v="UPI"/>
    <s v="Medium"/>
    <n v="0.11244346244160087"/>
  </r>
  <r>
    <s v="ORD-10441"/>
    <x v="97"/>
    <s v="Vihaan Mishra"/>
    <s v="Consumer"/>
    <s v="South"/>
    <s v="Telangana"/>
    <x v="1"/>
    <s v="Appliances"/>
    <s v="Air Fryer"/>
    <n v="1"/>
    <n v="8877.52"/>
    <n v="6214.26"/>
    <n v="30"/>
    <n v="-345.02"/>
    <n v="210.91"/>
    <s v="Credit Card"/>
    <s v="Low"/>
    <n v="-5.552068951089912E-2"/>
  </r>
  <r>
    <s v="ORD-10998"/>
    <x v="98"/>
    <s v="Meera Joshi"/>
    <s v="Consumer"/>
    <s v="South"/>
    <s v="Tamil Nadu"/>
    <x v="1"/>
    <s v="Furniture"/>
    <s v="Bookshelf Unit"/>
    <n v="4"/>
    <n v="2183.89"/>
    <n v="8735.56"/>
    <n v="0"/>
    <n v="1437.37"/>
    <n v="358.57"/>
    <s v="Credit Card"/>
    <s v="Medium"/>
    <n v="0.16454239911350846"/>
  </r>
  <r>
    <s v="ORD-10092"/>
    <x v="99"/>
    <s v="Ayaan Kapoor"/>
    <s v="Small Business"/>
    <s v="West"/>
    <s v="Rajasthan"/>
    <x v="3"/>
    <s v="Apparel"/>
    <s v="Sports T-Shirt"/>
    <n v="1"/>
    <n v="6919.73"/>
    <n v="6919.73"/>
    <n v="0"/>
    <n v="2084.4699999999998"/>
    <n v="123.83"/>
    <s v="Cash on Delivery"/>
    <s v="High"/>
    <n v="0.30123574185697993"/>
  </r>
  <r>
    <s v="ORD-10955"/>
    <x v="99"/>
    <s v="Navya Agarwal"/>
    <s v="Small Business"/>
    <s v="West"/>
    <s v="Rajasthan"/>
    <x v="1"/>
    <s v="Cookware"/>
    <s v="Cookware Combo"/>
    <n v="1"/>
    <n v="10448.99"/>
    <n v="9404.09"/>
    <n v="10"/>
    <n v="988.47"/>
    <n v="34.590000000000003"/>
    <s v="Cash on Delivery"/>
    <s v="Medium"/>
    <n v="0.10511064866457041"/>
  </r>
  <r>
    <s v="ORD-10120"/>
    <x v="100"/>
    <s v="Saanvi Mishra"/>
    <s v="Consumer"/>
    <s v="North"/>
    <s v="Punjab"/>
    <x v="3"/>
    <s v="Apparel"/>
    <s v="Compression Shorts"/>
    <n v="1"/>
    <n v="3881.89"/>
    <n v="3687.8"/>
    <n v="5"/>
    <n v="684.54"/>
    <n v="95.61"/>
    <s v="Debit Card"/>
    <s v="Medium"/>
    <n v="0.1856228645805087"/>
  </r>
  <r>
    <s v="ORD-10318"/>
    <x v="100"/>
    <s v="Diya Mishra"/>
    <s v="Small Business"/>
    <s v="North"/>
    <s v="Uttar Pradesh"/>
    <x v="5"/>
    <s v="Footwear"/>
    <s v="Sandals"/>
    <n v="4"/>
    <n v="3789.68"/>
    <n v="12126.98"/>
    <n v="20"/>
    <n v="1433.99"/>
    <n v="351.67"/>
    <s v="UPI"/>
    <s v="Medium"/>
    <n v="0.11824790673358083"/>
  </r>
  <r>
    <s v="ORD-10142"/>
    <x v="100"/>
    <s v="Vihaan Agarwal"/>
    <s v="Corporate"/>
    <s v="East"/>
    <s v="Bihar"/>
    <x v="3"/>
    <s v="Apparel"/>
    <s v="Track Pants"/>
    <n v="1"/>
    <n v="5373.88"/>
    <n v="5373.88"/>
    <n v="0"/>
    <n v="784.17"/>
    <n v="181.67"/>
    <s v="Cash on Delivery"/>
    <s v="Low"/>
    <n v="0.14592249919983324"/>
  </r>
  <r>
    <s v="ORD-10884"/>
    <x v="101"/>
    <s v="Ishaan Verma"/>
    <s v="Corporate"/>
    <s v="East"/>
    <s v="Odisha"/>
    <x v="0"/>
    <s v="Cameras"/>
    <s v="ActionCam 4K"/>
    <n v="1"/>
    <n v="4816.21"/>
    <n v="4816.21"/>
    <n v="0"/>
    <n v="591.41"/>
    <n v="41.1"/>
    <s v="UPI"/>
    <s v="Low"/>
    <n v="0.12279572526945461"/>
  </r>
  <r>
    <s v="ORD-10973"/>
    <x v="102"/>
    <s v="Sai Rao"/>
    <s v="Small Business"/>
    <s v="East"/>
    <s v="West Bengal"/>
    <x v="0"/>
    <s v="Headphones"/>
    <s v="SilentPods"/>
    <n v="2"/>
    <n v="64522.43"/>
    <n v="129044.86"/>
    <n v="0"/>
    <n v="16148.12"/>
    <n v="310.8"/>
    <s v="Debit Card"/>
    <s v="Low"/>
    <n v="0.12513570862101753"/>
  </r>
  <r>
    <s v="ORD-10960"/>
    <x v="102"/>
    <s v="Ananya Agarwal"/>
    <s v="Consumer"/>
    <s v="East"/>
    <s v="West Bengal"/>
    <x v="3"/>
    <s v="Gym Equipment"/>
    <s v="Treadmill Compact"/>
    <n v="1"/>
    <n v="13294.22"/>
    <n v="12629.51"/>
    <n v="5"/>
    <n v="1793.01"/>
    <n v="116.6"/>
    <s v="Credit Card"/>
    <s v="High"/>
    <n v="0.14196987848301321"/>
  </r>
  <r>
    <s v="ORD-10397"/>
    <x v="103"/>
    <s v="Krishna Gupta"/>
    <s v="Consumer"/>
    <s v="South"/>
    <s v="Karnataka"/>
    <x v="3"/>
    <s v="Outdoor Gear"/>
    <s v="Water Bottle Steel"/>
    <n v="2"/>
    <n v="2184.67"/>
    <n v="4150.87"/>
    <n v="5"/>
    <n v="495.91"/>
    <n v="200.52"/>
    <s v="Credit Card"/>
    <s v="Medium"/>
    <n v="0.11947133974323455"/>
  </r>
  <r>
    <s v="ORD-10296"/>
    <x v="104"/>
    <s v="Vivaan Mehta"/>
    <s v="Small Business"/>
    <s v="East"/>
    <s v="Bihar"/>
    <x v="4"/>
    <s v="Fragrances"/>
    <s v="Woody Cologne"/>
    <n v="1"/>
    <n v="1449.59"/>
    <n v="1304.6300000000001"/>
    <n v="10"/>
    <n v="191.5"/>
    <n v="194.48"/>
    <s v="Cash on Delivery"/>
    <s v="Low"/>
    <n v="0.14678491219732798"/>
  </r>
  <r>
    <s v="ORD-10341"/>
    <x v="105"/>
    <s v="Neha Kapoor"/>
    <s v="Consumer"/>
    <s v="North"/>
    <s v="Uttar Pradesh"/>
    <x v="4"/>
    <s v="Skincare"/>
    <s v="Vitamin C Serum"/>
    <n v="5"/>
    <n v="787.98"/>
    <n v="3939.9"/>
    <n v="0"/>
    <n v="1313.93"/>
    <n v="362.38"/>
    <s v="UPI"/>
    <s v="Low"/>
    <n v="0.3334932358689307"/>
  </r>
  <r>
    <s v="ORD-10072"/>
    <x v="105"/>
    <s v="Kabir Iyer"/>
    <s v="Corporate"/>
    <s v="South"/>
    <s v="Kerala"/>
    <x v="5"/>
    <s v="Women's Wear"/>
    <s v="Denim Jacket"/>
    <n v="4"/>
    <n v="1795.09"/>
    <n v="6462.32"/>
    <n v="10"/>
    <n v="1759.3"/>
    <n v="317.51"/>
    <s v="Debit Card"/>
    <s v="Medium"/>
    <n v="0.2722396910088018"/>
  </r>
  <r>
    <s v="ORD-10480"/>
    <x v="105"/>
    <s v="Vihaan Verma"/>
    <s v="Corporate"/>
    <s v="North"/>
    <s v="Uttar Pradesh"/>
    <x v="2"/>
    <s v="Fiction"/>
    <s v="Mystery of Ashgrove"/>
    <n v="2"/>
    <n v="1164.56"/>
    <n v="2329.12"/>
    <n v="0"/>
    <n v="239.6"/>
    <n v="85.79"/>
    <s v="Credit Card"/>
    <s v="Low"/>
    <n v="0.10287147077007626"/>
  </r>
  <r>
    <s v="ORD-10806"/>
    <x v="106"/>
    <s v="Diya Iyer"/>
    <s v="Consumer"/>
    <s v="South"/>
    <s v="Tamil Nadu"/>
    <x v="1"/>
    <s v="Furniture"/>
    <s v="Wooden Chair"/>
    <n v="1"/>
    <n v="9222.68"/>
    <n v="8761.5499999999993"/>
    <n v="5"/>
    <n v="1393.79"/>
    <n v="79.44"/>
    <s v="Net Banking"/>
    <s v="Critical"/>
    <n v="0.15908029971865709"/>
  </r>
  <r>
    <s v="ORD-10518"/>
    <x v="106"/>
    <s v="Myra Malhotra"/>
    <s v="Small Business"/>
    <s v="North"/>
    <s v="Delhi"/>
    <x v="0"/>
    <s v="Headphones"/>
    <s v="SoundWave Pro"/>
    <n v="4"/>
    <n v="38157.19"/>
    <n v="106840.13"/>
    <n v="30"/>
    <n v="-12847.48"/>
    <n v="317.99"/>
    <s v="UPI"/>
    <s v="High"/>
    <n v="-0.12024957288988697"/>
  </r>
  <r>
    <s v="ORD-10334"/>
    <x v="106"/>
    <s v="Diya Nair"/>
    <s v="Consumer"/>
    <s v="East"/>
    <s v="West Bengal"/>
    <x v="1"/>
    <s v="Appliances"/>
    <s v="Air Fryer"/>
    <n v="1"/>
    <n v="6654.27"/>
    <n v="5656.13"/>
    <n v="15"/>
    <n v="230.69"/>
    <n v="129.62"/>
    <s v="Debit Card"/>
    <s v="High"/>
    <n v="4.0785837666390268E-2"/>
  </r>
  <r>
    <s v="ORD-10353"/>
    <x v="107"/>
    <s v="Aarav Verma"/>
    <s v="Corporate"/>
    <s v="East"/>
    <s v="Bihar"/>
    <x v="0"/>
    <s v="Cameras"/>
    <s v="PixelPro DSLR"/>
    <n v="2"/>
    <n v="35652.76"/>
    <n v="60609.69"/>
    <n v="15"/>
    <n v="1608.82"/>
    <n v="215.55"/>
    <s v="Credit Card"/>
    <s v="High"/>
    <n v="2.6543940416128179E-2"/>
  </r>
  <r>
    <s v="ORD-10193"/>
    <x v="108"/>
    <s v="Aarav Das"/>
    <s v="Consumer"/>
    <s v="East"/>
    <s v="Odisha"/>
    <x v="4"/>
    <s v="Skincare"/>
    <s v="Sunscreen SPF50"/>
    <n v="3"/>
    <n v="1140.0899999999999"/>
    <n v="2394.19"/>
    <n v="30"/>
    <n v="351.43"/>
    <n v="68.67"/>
    <s v="UPI"/>
    <s v="Medium"/>
    <n v="0.14678450749522803"/>
  </r>
  <r>
    <s v="ORD-10279"/>
    <x v="109"/>
    <s v="Kiara Mishra"/>
    <s v="Consumer"/>
    <s v="West"/>
    <s v="Gujarat"/>
    <x v="5"/>
    <s v="Men's Wear"/>
    <s v="Cotton Kurta"/>
    <n v="3"/>
    <n v="1524.98"/>
    <n v="4346.1899999999996"/>
    <n v="5"/>
    <n v="996.54"/>
    <n v="309.55"/>
    <s v="Credit Card"/>
    <s v="Medium"/>
    <n v="0.22929048200837976"/>
  </r>
  <r>
    <s v="ORD-10858"/>
    <x v="110"/>
    <s v="Dhruv Khan"/>
    <s v="Corporate"/>
    <s v="South"/>
    <s v="Telangana"/>
    <x v="4"/>
    <s v="Fragrances"/>
    <s v="Woody Cologne"/>
    <n v="2"/>
    <n v="803.39"/>
    <n v="1526.44"/>
    <n v="5"/>
    <n v="265.81"/>
    <n v="145.18"/>
    <s v="Debit Card"/>
    <s v="Low"/>
    <n v="0.17413720814444064"/>
  </r>
  <r>
    <s v="ORD-10389"/>
    <x v="111"/>
    <s v="Sai Iyer"/>
    <s v="Consumer"/>
    <s v="West"/>
    <s v="Maharashtra"/>
    <x v="5"/>
    <s v="Kids Wear"/>
    <s v="Denim Overalls"/>
    <n v="2"/>
    <n v="930.71"/>
    <n v="1768.35"/>
    <n v="5"/>
    <n v="343.82"/>
    <n v="262.67"/>
    <s v="Debit Card"/>
    <s v="High"/>
    <n v="0.19442983572256625"/>
  </r>
  <r>
    <s v="ORD-10869"/>
    <x v="112"/>
    <s v="Diya Mehta"/>
    <s v="Consumer"/>
    <s v="West"/>
    <s v="Maharashtra"/>
    <x v="4"/>
    <s v="Haircare"/>
    <s v="Hair Mask Deep Repair"/>
    <n v="2"/>
    <n v="1165.6500000000001"/>
    <n v="2098.17"/>
    <n v="10"/>
    <n v="551.02"/>
    <n v="293.41000000000003"/>
    <s v="Net Banking"/>
    <s v="High"/>
    <n v="0.26261933017820288"/>
  </r>
  <r>
    <s v="ORD-10987"/>
    <x v="113"/>
    <s v="Ishaan Desai"/>
    <s v="Consumer"/>
    <s v="East"/>
    <s v="West Bengal"/>
    <x v="3"/>
    <s v="Apparel"/>
    <s v="Sports Jacket"/>
    <n v="3"/>
    <n v="2301.12"/>
    <n v="6558.19"/>
    <n v="5"/>
    <n v="940.62"/>
    <n v="251.78"/>
    <s v="Net Banking"/>
    <s v="Medium"/>
    <n v="0.14342676866635459"/>
  </r>
  <r>
    <s v="ORD-10443"/>
    <x v="114"/>
    <s v="Meera Gupta"/>
    <s v="Corporate"/>
    <s v="West"/>
    <s v="Maharashtra"/>
    <x v="0"/>
    <s v="Mobiles"/>
    <s v="Pixel Nano"/>
    <n v="2"/>
    <n v="47136.51"/>
    <n v="89559.37"/>
    <n v="5"/>
    <n v="2583.2600000000002"/>
    <n v="263.8"/>
    <s v="UPI"/>
    <s v="High"/>
    <n v="2.8844106429064879E-2"/>
  </r>
  <r>
    <s v="ORD-10776"/>
    <x v="115"/>
    <s v="Aditya Khan"/>
    <s v="Consumer"/>
    <s v="East"/>
    <s v="West Bengal"/>
    <x v="1"/>
    <s v="Decor"/>
    <s v="LED Fairy Lights"/>
    <n v="3"/>
    <n v="748.3"/>
    <n v="2132.66"/>
    <n v="5"/>
    <n v="266.22000000000003"/>
    <n v="347.16"/>
    <s v="Cash on Delivery"/>
    <s v="Low"/>
    <n v="0.12483002447647541"/>
  </r>
  <r>
    <s v="ORD-10183"/>
    <x v="115"/>
    <s v="Priya Kapoor"/>
    <s v="Consumer"/>
    <s v="East"/>
    <s v="West Bengal"/>
    <x v="1"/>
    <s v="Furniture"/>
    <s v="Bookshelf Unit"/>
    <n v="5"/>
    <n v="3279.43"/>
    <n v="14757.44"/>
    <n v="10"/>
    <n v="889.67"/>
    <n v="100.84"/>
    <s v="Debit Card"/>
    <s v="Medium"/>
    <n v="6.0286201400784958E-2"/>
  </r>
  <r>
    <s v="ORD-10197"/>
    <x v="116"/>
    <s v="Navya Khan"/>
    <s v="Corporate"/>
    <s v="South"/>
    <s v="Tamil Nadu"/>
    <x v="5"/>
    <s v="Men's Wear"/>
    <s v="Casual Blazer"/>
    <n v="1"/>
    <n v="1160.93"/>
    <n v="812.65"/>
    <n v="30"/>
    <n v="56.61"/>
    <n v="34.159999999999997"/>
    <s v="Debit Card"/>
    <s v="Medium"/>
    <n v="6.9660985664185077E-2"/>
  </r>
  <r>
    <s v="ORD-10230"/>
    <x v="117"/>
    <s v="Ananya Agarwal"/>
    <s v="Consumer"/>
    <s v="East"/>
    <s v="Odisha"/>
    <x v="1"/>
    <s v="Furniture"/>
    <s v="Wooden Chair"/>
    <n v="4"/>
    <n v="5092.03"/>
    <n v="17312.900000000001"/>
    <n v="15"/>
    <n v="2782.22"/>
    <n v="258.18"/>
    <s v="Credit Card"/>
    <s v="Critical"/>
    <n v="0.16070213540192571"/>
  </r>
  <r>
    <s v="ORD-10789"/>
    <x v="118"/>
    <s v="Myra Agarwal"/>
    <s v="Corporate"/>
    <s v="West"/>
    <s v="Maharashtra"/>
    <x v="3"/>
    <s v="Footwear"/>
    <s v="Sandals"/>
    <n v="2"/>
    <n v="5679.81"/>
    <n v="8519.7199999999993"/>
    <n v="25"/>
    <n v="195.96"/>
    <n v="220.12"/>
    <s v="Net Banking"/>
    <s v="Medium"/>
    <n v="2.3000755893386172E-2"/>
  </r>
  <r>
    <s v="ORD-10820"/>
    <x v="118"/>
    <s v="Kiara Rao"/>
    <s v="Consumer"/>
    <s v="West"/>
    <s v="Gujarat"/>
    <x v="3"/>
    <s v="Gym Equipment"/>
    <s v="Yoga Mat Pro"/>
    <n v="1"/>
    <n v="5002.1000000000004"/>
    <n v="4501.8900000000003"/>
    <n v="10"/>
    <n v="1013.56"/>
    <n v="301.39"/>
    <s v="Cash on Delivery"/>
    <s v="Medium"/>
    <n v="0.22514099633709395"/>
  </r>
  <r>
    <s v="ORD-10899"/>
    <x v="119"/>
    <s v="Meera Patel"/>
    <s v="Consumer"/>
    <s v="East"/>
    <s v="Bihar"/>
    <x v="5"/>
    <s v="Women's Wear"/>
    <s v="Ethnic Kurti"/>
    <n v="1"/>
    <n v="3867.67"/>
    <n v="3094.14"/>
    <n v="20"/>
    <n v="265.14"/>
    <n v="327.24"/>
    <s v="Credit Card"/>
    <s v="Medium"/>
    <n v="8.5691015920417307E-2"/>
  </r>
  <r>
    <s v="ORD-10696"/>
    <x v="119"/>
    <s v="Diya Iyer"/>
    <s v="Small Business"/>
    <s v="West"/>
    <s v="Maharashtra"/>
    <x v="2"/>
    <s v="Non-Fiction"/>
    <s v="Modern Economics"/>
    <n v="1"/>
    <n v="361.15"/>
    <n v="361.15"/>
    <n v="0"/>
    <n v="69.69"/>
    <n v="218.87"/>
    <s v="Credit Card"/>
    <s v="High"/>
    <n v="0.19296691125571092"/>
  </r>
  <r>
    <s v="ORD-10857"/>
    <x v="120"/>
    <s v="Simran Joshi"/>
    <s v="Consumer"/>
    <s v="West"/>
    <s v="Rajasthan"/>
    <x v="2"/>
    <s v="Academic"/>
    <s v="Calculus Made Easy"/>
    <n v="1"/>
    <n v="180.61"/>
    <n v="162.55000000000001"/>
    <n v="10"/>
    <n v="15.43"/>
    <n v="257.24"/>
    <s v="Credit Card"/>
    <s v="Low"/>
    <n v="9.4924638572746842E-2"/>
  </r>
  <r>
    <s v="ORD-10794"/>
    <x v="120"/>
    <s v="Riya Desai"/>
    <s v="Small Business"/>
    <s v="North"/>
    <s v="Punjab"/>
    <x v="0"/>
    <s v="Headphones"/>
    <s v="EchoBuds"/>
    <n v="1"/>
    <n v="49844.12"/>
    <n v="42367.5"/>
    <n v="15"/>
    <n v="-131.97"/>
    <n v="70.319999999999993"/>
    <s v="Cash on Delivery"/>
    <s v="High"/>
    <n v="-3.114887590724022E-3"/>
  </r>
  <r>
    <s v="ORD-10797"/>
    <x v="120"/>
    <s v="Navya Mishra"/>
    <s v="Consumer"/>
    <s v="East"/>
    <s v="West Bengal"/>
    <x v="5"/>
    <s v="Kids Wear"/>
    <s v="Cartoon T-Shirt"/>
    <n v="2"/>
    <n v="893.14"/>
    <n v="1607.65"/>
    <n v="10"/>
    <n v="153.41"/>
    <n v="134.16999999999999"/>
    <s v="Debit Card"/>
    <s v="Medium"/>
    <n v="9.5424999222467569E-2"/>
  </r>
  <r>
    <s v="ORD-10891"/>
    <x v="120"/>
    <s v="Ananya Chopra"/>
    <s v="Consumer"/>
    <s v="West"/>
    <s v="Gujarat"/>
    <x v="4"/>
    <s v="Skincare"/>
    <s v="Sunscreen SPF50"/>
    <n v="1"/>
    <n v="1145.74"/>
    <n v="1031.17"/>
    <n v="10"/>
    <n v="132.19"/>
    <n v="210.55"/>
    <s v="UPI"/>
    <s v="Low"/>
    <n v="0.12819418718543013"/>
  </r>
  <r>
    <s v="ORD-10764"/>
    <x v="121"/>
    <s v="Krishna Malhotra"/>
    <s v="Consumer"/>
    <s v="West"/>
    <s v="Rajasthan"/>
    <x v="1"/>
    <s v="Cookware"/>
    <s v="Cookware Combo"/>
    <n v="2"/>
    <n v="8227.52"/>
    <n v="13986.78"/>
    <n v="15"/>
    <n v="1759.09"/>
    <n v="261.81"/>
    <s v="Debit Card"/>
    <s v="Low"/>
    <n v="0.12576804668408309"/>
  </r>
  <r>
    <s v="ORD-10317"/>
    <x v="122"/>
    <s v="Karan Agarwal"/>
    <s v="Consumer"/>
    <s v="North"/>
    <s v="Delhi"/>
    <x v="0"/>
    <s v="Cameras"/>
    <s v="PixelPro DSLR"/>
    <n v="1"/>
    <n v="54671.76"/>
    <n v="41003.82"/>
    <n v="25"/>
    <n v="-1741.8"/>
    <n v="189.1"/>
    <s v="UPI"/>
    <s v="Medium"/>
    <n v="-4.2478969032641346E-2"/>
  </r>
  <r>
    <s v="ORD-10190"/>
    <x v="123"/>
    <s v="Kabir Das"/>
    <s v="Consumer"/>
    <s v="East"/>
    <s v="West Bengal"/>
    <x v="2"/>
    <s v="Fiction"/>
    <s v="Beyond the Horizon"/>
    <n v="2"/>
    <n v="711.18"/>
    <n v="1280.1199999999999"/>
    <n v="10"/>
    <n v="122.02"/>
    <n v="198.95"/>
    <s v="UPI"/>
    <s v="Medium"/>
    <n v="9.5319188826047563E-2"/>
  </r>
  <r>
    <s v="ORD-10557"/>
    <x v="123"/>
    <s v="Saanvi Mishra"/>
    <s v="Corporate"/>
    <s v="South"/>
    <s v="Telangana"/>
    <x v="0"/>
    <s v="Headphones"/>
    <s v="StudioMax"/>
    <n v="3"/>
    <n v="7860.98"/>
    <n v="18866.349999999999"/>
    <n v="20"/>
    <n v="1075.01"/>
    <n v="149.71"/>
    <s v="UPI"/>
    <s v="Medium"/>
    <n v="5.6980285004783651E-2"/>
  </r>
  <r>
    <s v="ORD-10838"/>
    <x v="124"/>
    <s v="Ira Desai"/>
    <s v="Consumer"/>
    <s v="South"/>
    <s v="Karnataka"/>
    <x v="4"/>
    <s v="Makeup"/>
    <s v="Foundation Stick"/>
    <n v="2"/>
    <n v="354.64"/>
    <n v="567.41999999999996"/>
    <n v="20"/>
    <n v="83.74"/>
    <n v="235.35"/>
    <s v="Credit Card"/>
    <s v="High"/>
    <n v="0.14758027563356949"/>
  </r>
  <r>
    <s v="ORD-10037"/>
    <x v="125"/>
    <s v="Aditya Rao"/>
    <s v="Consumer"/>
    <s v="South"/>
    <s v="Telangana"/>
    <x v="3"/>
    <s v="Outdoor Gear"/>
    <s v="Hiking Backpack"/>
    <n v="2"/>
    <n v="6192.78"/>
    <n v="11766.28"/>
    <n v="5"/>
    <n v="2301.73"/>
    <n v="93.23"/>
    <s v="Credit Card"/>
    <s v="Medium"/>
    <n v="0.195620875926801"/>
  </r>
  <r>
    <s v="ORD-10631"/>
    <x v="126"/>
    <s v="Myra Mehta"/>
    <s v="Corporate"/>
    <s v="West"/>
    <s v="Gujarat"/>
    <x v="3"/>
    <s v="Apparel"/>
    <s v="Sports Jacket"/>
    <n v="2"/>
    <n v="13448.48"/>
    <n v="25552.11"/>
    <n v="5"/>
    <n v="6146.63"/>
    <n v="197.43"/>
    <s v="Credit Card"/>
    <s v="Critical"/>
    <n v="0.24055273713208028"/>
  </r>
  <r>
    <s v="ORD-10921"/>
    <x v="127"/>
    <s v="Vihaan Verma"/>
    <s v="Corporate"/>
    <s v="West"/>
    <s v="Maharashtra"/>
    <x v="1"/>
    <s v="Appliances"/>
    <s v="Mixer Grinder"/>
    <n v="1"/>
    <n v="11576.37"/>
    <n v="10997.55"/>
    <n v="5"/>
    <n v="1619.99"/>
    <n v="217.38"/>
    <s v="Cash on Delivery"/>
    <s v="Low"/>
    <n v="0.14730462693963656"/>
  </r>
  <r>
    <s v="ORD-10390"/>
    <x v="127"/>
    <s v="Ira Khan"/>
    <s v="Consumer"/>
    <s v="South"/>
    <s v="Karnataka"/>
    <x v="5"/>
    <s v="Women's Wear"/>
    <s v="Floral Dress"/>
    <n v="2"/>
    <n v="656.13"/>
    <n v="1181.03"/>
    <n v="10"/>
    <n v="290.66000000000003"/>
    <n v="274.22000000000003"/>
    <s v="Net Banking"/>
    <s v="Medium"/>
    <n v="0.24610721150182471"/>
  </r>
  <r>
    <s v="ORD-10388"/>
    <x v="127"/>
    <s v="Rohan Malhotra"/>
    <s v="Consumer"/>
    <s v="South"/>
    <s v="Karnataka"/>
    <x v="0"/>
    <s v="Mobiles"/>
    <s v="Nova 5G"/>
    <n v="2"/>
    <n v="15680.35"/>
    <n v="26656.6"/>
    <n v="15"/>
    <n v="1494.57"/>
    <n v="329.61"/>
    <s v="Cash on Delivery"/>
    <s v="Medium"/>
    <n v="5.6067540496537442E-2"/>
  </r>
  <r>
    <s v="ORD-10556"/>
    <x v="128"/>
    <s v="Kiara Reddy"/>
    <s v="Consumer"/>
    <s v="East"/>
    <s v="Bihar"/>
    <x v="4"/>
    <s v="Haircare"/>
    <s v="Conditioner Pro"/>
    <n v="1"/>
    <n v="1962.07"/>
    <n v="1863.97"/>
    <n v="5"/>
    <n v="410.65"/>
    <n v="300.69"/>
    <s v="Credit Card"/>
    <s v="Medium"/>
    <n v="0.2203093397425924"/>
  </r>
  <r>
    <s v="ORD-10792"/>
    <x v="128"/>
    <s v="Ananya Reddy"/>
    <s v="Corporate"/>
    <s v="East"/>
    <s v="Bihar"/>
    <x v="3"/>
    <s v="Gym Equipment"/>
    <s v="Yoga Mat Pro"/>
    <n v="1"/>
    <n v="7566.14"/>
    <n v="5296.3"/>
    <n v="30"/>
    <n v="12.7"/>
    <n v="184.62"/>
    <s v="UPI"/>
    <s v="Low"/>
    <n v="2.3979004210486566E-3"/>
  </r>
  <r>
    <s v="ORD-10810"/>
    <x v="128"/>
    <s v="Aadhya Mishra"/>
    <s v="Corporate"/>
    <s v="West"/>
    <s v="Rajasthan"/>
    <x v="3"/>
    <s v="Apparel"/>
    <s v="Sports Jacket"/>
    <n v="3"/>
    <n v="7211.04"/>
    <n v="20551.46"/>
    <n v="5"/>
    <n v="1304.44"/>
    <n v="307.54000000000002"/>
    <s v="Cash on Delivery"/>
    <s v="Medium"/>
    <n v="6.3471889588379612E-2"/>
  </r>
  <r>
    <s v="ORD-10342"/>
    <x v="129"/>
    <s v="Rohan Iyer"/>
    <s v="Consumer"/>
    <s v="South"/>
    <s v="Tamil Nadu"/>
    <x v="3"/>
    <s v="Apparel"/>
    <s v="Sports Jacket"/>
    <n v="3"/>
    <n v="12209.61"/>
    <n v="36628.83"/>
    <n v="0"/>
    <n v="5653.76"/>
    <n v="305.33"/>
    <s v="UPI"/>
    <s v="High"/>
    <n v="0.15435273253336237"/>
  </r>
  <r>
    <s v="ORD-10864"/>
    <x v="129"/>
    <s v="Reyansh Joshi"/>
    <s v="Consumer"/>
    <s v="West"/>
    <s v="Gujarat"/>
    <x v="3"/>
    <s v="Gym Equipment"/>
    <s v="Adjustable Dumbbells"/>
    <n v="1"/>
    <n v="8745.07"/>
    <n v="8745.07"/>
    <n v="0"/>
    <n v="1043.8699999999999"/>
    <n v="134.07"/>
    <s v="Credit Card"/>
    <s v="Medium"/>
    <n v="0.11936668317120389"/>
  </r>
  <r>
    <s v="ORD-10107"/>
    <x v="130"/>
    <s v="Sai Patel"/>
    <s v="Small Business"/>
    <s v="West"/>
    <s v="Gujarat"/>
    <x v="1"/>
    <s v="Appliances"/>
    <s v="Microwave Oven"/>
    <n v="1"/>
    <n v="11061.74"/>
    <n v="10508.65"/>
    <n v="5"/>
    <n v="2019.54"/>
    <n v="54.14"/>
    <s v="UPI"/>
    <s v="High"/>
    <n v="0.19217882411156523"/>
  </r>
  <r>
    <s v="ORD-10918"/>
    <x v="131"/>
    <s v="Kiara Mehta"/>
    <s v="Consumer"/>
    <s v="South"/>
    <s v="Kerala"/>
    <x v="1"/>
    <s v="Decor"/>
    <s v="Ceramic Vase"/>
    <n v="1"/>
    <n v="7042.66"/>
    <n v="6690.53"/>
    <n v="5"/>
    <n v="1478.12"/>
    <n v="112.16"/>
    <s v="Net Banking"/>
    <s v="Medium"/>
    <n v="0.22092719111938813"/>
  </r>
  <r>
    <s v="ORD-10719"/>
    <x v="132"/>
    <s v="Karan Gupta"/>
    <s v="Small Business"/>
    <s v="South"/>
    <s v="Tamil Nadu"/>
    <x v="3"/>
    <s v="Footwear"/>
    <s v="Running Shoes"/>
    <n v="1"/>
    <n v="10555.59"/>
    <n v="10555.59"/>
    <n v="0"/>
    <n v="2511"/>
    <n v="170.51"/>
    <s v="UPI"/>
    <s v="Low"/>
    <n v="0.23788343427510922"/>
  </r>
  <r>
    <s v="ORD-10599"/>
    <x v="132"/>
    <s v="Priya Das"/>
    <s v="Consumer"/>
    <s v="West"/>
    <s v="Gujarat"/>
    <x v="2"/>
    <s v="Comics"/>
    <s v="Graphic Tales"/>
    <n v="1"/>
    <n v="934.82"/>
    <n v="934.82"/>
    <n v="0"/>
    <n v="107.74"/>
    <n v="336.49"/>
    <s v="Credit Card"/>
    <s v="Medium"/>
    <n v="0.11525213410068247"/>
  </r>
  <r>
    <s v="ORD-10910"/>
    <x v="133"/>
    <s v="Krishna Nair"/>
    <s v="Corporate"/>
    <s v="North"/>
    <s v="Uttar Pradesh"/>
    <x v="4"/>
    <s v="Haircare"/>
    <s v="Hair Growth Serum"/>
    <n v="2"/>
    <n v="471.9"/>
    <n v="943.8"/>
    <n v="0"/>
    <n v="277.81"/>
    <n v="45.01"/>
    <s v="UPI"/>
    <s v="Medium"/>
    <n v="0.2943526170798898"/>
  </r>
  <r>
    <s v="ORD-10477"/>
    <x v="134"/>
    <s v="Reyansh Iyer"/>
    <s v="Consumer"/>
    <s v="West"/>
    <s v="Gujarat"/>
    <x v="1"/>
    <s v="Furniture"/>
    <s v="Wooden Chair"/>
    <n v="3"/>
    <n v="3419.33"/>
    <n v="8719.2900000000009"/>
    <n v="15"/>
    <n v="903.62"/>
    <n v="239.34"/>
    <s v="UPI"/>
    <s v="Medium"/>
    <n v="0.10363458492606621"/>
  </r>
  <r>
    <s v="ORD-10671"/>
    <x v="135"/>
    <s v="Priya Sharma"/>
    <s v="Small Business"/>
    <s v="North"/>
    <s v="Delhi"/>
    <x v="3"/>
    <s v="Apparel"/>
    <s v="Sports Jacket"/>
    <n v="1"/>
    <n v="9589.76"/>
    <n v="8630.7800000000007"/>
    <n v="10"/>
    <n v="2016.04"/>
    <n v="76.06"/>
    <s v="UPI"/>
    <s v="Medium"/>
    <n v="0.23358723081807203"/>
  </r>
  <r>
    <s v="ORD-10289"/>
    <x v="135"/>
    <s v="Simran Bose"/>
    <s v="Consumer"/>
    <s v="North"/>
    <s v="Haryana"/>
    <x v="5"/>
    <s v="Men's Wear"/>
    <s v="Casual Blazer"/>
    <n v="3"/>
    <n v="2599.89"/>
    <n v="6629.72"/>
    <n v="15"/>
    <n v="796.24"/>
    <n v="265.94"/>
    <s v="Cash on Delivery"/>
    <s v="High"/>
    <n v="0.12010160308429314"/>
  </r>
  <r>
    <s v="ORD-10045"/>
    <x v="135"/>
    <s v="Rohan Bose"/>
    <s v="Corporate"/>
    <s v="West"/>
    <s v="Gujarat"/>
    <x v="0"/>
    <s v="Cameras"/>
    <s v="ActionCam 4K"/>
    <n v="1"/>
    <n v="58435.63"/>
    <n v="49670.29"/>
    <n v="15"/>
    <n v="1118.81"/>
    <n v="235.45"/>
    <s v="Cash on Delivery"/>
    <s v="Low"/>
    <n v="2.2524732591655897E-2"/>
  </r>
  <r>
    <s v="ORD-10355"/>
    <x v="136"/>
    <s v="Raj Iyer"/>
    <s v="Consumer"/>
    <s v="South"/>
    <s v="Karnataka"/>
    <x v="3"/>
    <s v="Footwear"/>
    <s v="Casual Sneakers"/>
    <n v="1"/>
    <n v="14933.79"/>
    <n v="12693.72"/>
    <n v="15"/>
    <n v="157.96"/>
    <n v="215.75"/>
    <s v="UPI"/>
    <s v="Medium"/>
    <n v="1.2443948661227758E-2"/>
  </r>
  <r>
    <s v="ORD-10793"/>
    <x v="137"/>
    <s v="Raj Nair"/>
    <s v="Consumer"/>
    <s v="West"/>
    <s v="Rajasthan"/>
    <x v="1"/>
    <s v="Furniture"/>
    <s v="Study Table"/>
    <n v="2"/>
    <n v="8033.76"/>
    <n v="13657.39"/>
    <n v="15"/>
    <n v="1369.34"/>
    <n v="84.43"/>
    <s v="Credit Card"/>
    <s v="Low"/>
    <n v="0.10026366677674138"/>
  </r>
  <r>
    <s v="ORD-10416"/>
    <x v="137"/>
    <s v="Myra Iyer"/>
    <s v="Consumer"/>
    <s v="West"/>
    <s v="Gujarat"/>
    <x v="4"/>
    <s v="Haircare"/>
    <s v="Hair Growth Serum"/>
    <n v="1"/>
    <n v="2491.5700000000002"/>
    <n v="1868.68"/>
    <n v="25"/>
    <n v="202.05"/>
    <n v="147.86000000000001"/>
    <s v="Net Banking"/>
    <s v="Low"/>
    <n v="0.10812445148447032"/>
  </r>
  <r>
    <s v="ORD-10685"/>
    <x v="138"/>
    <s v="Kabir Chopra"/>
    <s v="Consumer"/>
    <s v="North"/>
    <s v="Punjab"/>
    <x v="0"/>
    <s v="Mobiles"/>
    <s v="Galaxy Note Lite"/>
    <n v="2"/>
    <n v="14216.77"/>
    <n v="21325.15"/>
    <n v="25"/>
    <n v="63.42"/>
    <n v="61.01"/>
    <s v="Credit Card"/>
    <s v="Low"/>
    <n v="2.9739532898947953E-3"/>
  </r>
  <r>
    <s v="ORD-10515"/>
    <x v="139"/>
    <s v="Simran Das"/>
    <s v="Consumer"/>
    <s v="North"/>
    <s v="Delhi"/>
    <x v="3"/>
    <s v="Footwear"/>
    <s v="Sandals"/>
    <n v="2"/>
    <n v="12187.53"/>
    <n v="24375.06"/>
    <n v="0"/>
    <n v="4662.17"/>
    <n v="306.35000000000002"/>
    <s v="Cash on Delivery"/>
    <s v="High"/>
    <n v="0.19126804200687095"/>
  </r>
  <r>
    <s v="ORD-10383"/>
    <x v="139"/>
    <s v="Vivaan Rao"/>
    <s v="Corporate"/>
    <s v="West"/>
    <s v="Maharashtra"/>
    <x v="5"/>
    <s v="Women's Wear"/>
    <s v="Silk Saree"/>
    <n v="1"/>
    <n v="1135.2"/>
    <n v="1078.44"/>
    <n v="5"/>
    <n v="130.06"/>
    <n v="236.75"/>
    <s v="Debit Card"/>
    <s v="High"/>
    <n v="0.12060012610808205"/>
  </r>
  <r>
    <s v="ORD-10244"/>
    <x v="140"/>
    <s v="Neha Mishra"/>
    <s v="Consumer"/>
    <s v="North"/>
    <s v="Delhi"/>
    <x v="3"/>
    <s v="Apparel"/>
    <s v="Sports Jacket"/>
    <n v="1"/>
    <n v="13497.44"/>
    <n v="12822.57"/>
    <n v="5"/>
    <n v="1813.92"/>
    <n v="178.28"/>
    <s v="UPI"/>
    <s v="Critical"/>
    <n v="0.14146306083725807"/>
  </r>
  <r>
    <s v="ORD-10545"/>
    <x v="140"/>
    <s v="Karan Iyer"/>
    <s v="Small Business"/>
    <s v="East"/>
    <s v="Odisha"/>
    <x v="1"/>
    <s v="Cookware"/>
    <s v="Steel Kadai"/>
    <n v="3"/>
    <n v="5518.2"/>
    <n v="14899.14"/>
    <n v="10"/>
    <n v="2340.7199999999998"/>
    <n v="175.93"/>
    <s v="Credit Card"/>
    <s v="Low"/>
    <n v="0.15710436978241696"/>
  </r>
  <r>
    <s v="ORD-10022"/>
    <x v="141"/>
    <s v="Kabir Desai"/>
    <s v="Consumer"/>
    <s v="West"/>
    <s v="Rajasthan"/>
    <x v="3"/>
    <s v="Apparel"/>
    <s v="Sports T-Shirt"/>
    <n v="2"/>
    <n v="3807.18"/>
    <n v="5710.77"/>
    <n v="25"/>
    <n v="101.33"/>
    <n v="126.94"/>
    <s v="Credit Card"/>
    <s v="Low"/>
    <n v="1.7743666790993158E-2"/>
  </r>
  <r>
    <s v="ORD-10242"/>
    <x v="141"/>
    <s v="Sai Mehta"/>
    <s v="Small Business"/>
    <s v="West"/>
    <s v="Maharashtra"/>
    <x v="0"/>
    <s v="Mobiles"/>
    <s v="Pixel Nano"/>
    <n v="2"/>
    <n v="3543.5"/>
    <n v="7087"/>
    <n v="0"/>
    <n v="734.91"/>
    <n v="351.33"/>
    <s v="Net Banking"/>
    <s v="Medium"/>
    <n v="0.10369832086919711"/>
  </r>
  <r>
    <s v="ORD-10575"/>
    <x v="141"/>
    <s v="Kiara Sharma"/>
    <s v="Consumer"/>
    <s v="North"/>
    <s v="Delhi"/>
    <x v="2"/>
    <s v="Academic"/>
    <s v="Statistics Handbook"/>
    <n v="1"/>
    <n v="742.86"/>
    <n v="705.72"/>
    <n v="5"/>
    <n v="54.96"/>
    <n v="111.35"/>
    <s v="Cash on Delivery"/>
    <s v="Medium"/>
    <n v="7.7877911919741541E-2"/>
  </r>
  <r>
    <s v="ORD-10394"/>
    <x v="142"/>
    <s v="Anika Rao"/>
    <s v="Consumer"/>
    <s v="West"/>
    <s v="Maharashtra"/>
    <x v="0"/>
    <s v="Headphones"/>
    <s v="SilentPods"/>
    <n v="2"/>
    <n v="58549.87"/>
    <n v="105389.77"/>
    <n v="10"/>
    <n v="8004.11"/>
    <n v="295.39999999999998"/>
    <s v="Credit Card"/>
    <s v="High"/>
    <n v="7.5947693974472083E-2"/>
  </r>
  <r>
    <s v="ORD-10103"/>
    <x v="142"/>
    <s v="Simran Iyer"/>
    <s v="Corporate"/>
    <s v="North"/>
    <s v="Haryana"/>
    <x v="4"/>
    <s v="Fragrances"/>
    <s v="Floral Mist"/>
    <n v="3"/>
    <n v="1514.39"/>
    <n v="3861.69"/>
    <n v="15"/>
    <n v="898.22"/>
    <n v="323.29000000000002"/>
    <s v="UPI"/>
    <s v="Medium"/>
    <n v="0.23259764507249417"/>
  </r>
  <r>
    <s v="ORD-10191"/>
    <x v="143"/>
    <s v="Kabir Iyer"/>
    <s v="Consumer"/>
    <s v="West"/>
    <s v="Rajasthan"/>
    <x v="5"/>
    <s v="Kids Wear"/>
    <s v="Cartoon T-Shirt"/>
    <n v="1"/>
    <n v="2650.49"/>
    <n v="2650.49"/>
    <n v="0"/>
    <n v="537.69000000000005"/>
    <n v="305.77"/>
    <s v="Debit Card"/>
    <s v="Low"/>
    <n v="0.20286437602103766"/>
  </r>
  <r>
    <s v="ORD-10777"/>
    <x v="144"/>
    <s v="Saanvi Reddy"/>
    <s v="Small Business"/>
    <s v="East"/>
    <s v="West Bengal"/>
    <x v="3"/>
    <s v="Footwear"/>
    <s v="Sandals"/>
    <n v="4"/>
    <n v="14610.06"/>
    <n v="52596.22"/>
    <n v="10"/>
    <n v="10499.51"/>
    <n v="94.97"/>
    <s v="Credit Card"/>
    <s v="Medium"/>
    <n v="0.1996248019344356"/>
  </r>
  <r>
    <s v="ORD-10075"/>
    <x v="144"/>
    <s v="Diya Khan"/>
    <s v="Corporate"/>
    <s v="West"/>
    <s v="Maharashtra"/>
    <x v="1"/>
    <s v="Cookware"/>
    <s v="Cookware Combo"/>
    <n v="3"/>
    <n v="577.53"/>
    <n v="1299.44"/>
    <n v="25"/>
    <n v="39.1"/>
    <n v="232.6"/>
    <s v="Credit Card"/>
    <s v="Low"/>
    <n v="3.0089884873483963E-2"/>
  </r>
  <r>
    <s v="ORD-10894"/>
    <x v="145"/>
    <s v="Ira Reddy"/>
    <s v="Consumer"/>
    <s v="West"/>
    <s v="Maharashtra"/>
    <x v="2"/>
    <s v="Non-Fiction"/>
    <s v="Modern Economics"/>
    <n v="1"/>
    <n v="666.84"/>
    <n v="466.79"/>
    <n v="30"/>
    <n v="42.69"/>
    <n v="92.4"/>
    <s v="UPI"/>
    <s v="Low"/>
    <n v="9.1454401336789559E-2"/>
  </r>
  <r>
    <s v="ORD-10201"/>
    <x v="146"/>
    <s v="Priya Chopra"/>
    <s v="Small Business"/>
    <s v="East"/>
    <s v="Odisha"/>
    <x v="4"/>
    <s v="Haircare"/>
    <s v="Hair Mask Deep Repair"/>
    <n v="3"/>
    <n v="2180.46"/>
    <n v="6541.38"/>
    <n v="0"/>
    <n v="1715.47"/>
    <n v="241.05"/>
    <s v="UPI"/>
    <s v="High"/>
    <n v="0.26224894441234115"/>
  </r>
  <r>
    <s v="ORD-10818"/>
    <x v="147"/>
    <s v="Saanvi Gupta"/>
    <s v="Small Business"/>
    <s v="South"/>
    <s v="Telangana"/>
    <x v="4"/>
    <s v="Skincare"/>
    <s v="Aloe Moisturizer"/>
    <n v="4"/>
    <n v="1162.74"/>
    <n v="3255.67"/>
    <n v="30"/>
    <n v="192.34"/>
    <n v="168.61"/>
    <s v="UPI"/>
    <s v="Critical"/>
    <n v="5.9078469255176354E-2"/>
  </r>
  <r>
    <s v="ORD-10475"/>
    <x v="147"/>
    <s v="Ishaan Mehta"/>
    <s v="Consumer"/>
    <s v="East"/>
    <s v="Odisha"/>
    <x v="3"/>
    <s v="Apparel"/>
    <s v="Sports T-Shirt"/>
    <n v="4"/>
    <n v="11530.23"/>
    <n v="41508.83"/>
    <n v="10"/>
    <n v="8837.14"/>
    <n v="364.15"/>
    <s v="Net Banking"/>
    <s v="Low"/>
    <n v="0.21289783402712142"/>
  </r>
  <r>
    <s v="ORD-10882"/>
    <x v="148"/>
    <s v="Arjun Sharma"/>
    <s v="Consumer"/>
    <s v="South"/>
    <s v="Telangana"/>
    <x v="4"/>
    <s v="Fragrances"/>
    <s v="Citrus Eau de Toilette"/>
    <n v="4"/>
    <n v="1795.75"/>
    <n v="6464.7"/>
    <n v="10"/>
    <n v="1301.08"/>
    <n v="251.88"/>
    <s v="Credit Card"/>
    <s v="High"/>
    <n v="0.20125914582269866"/>
  </r>
  <r>
    <s v="ORD-10544"/>
    <x v="148"/>
    <s v="Sai Joshi"/>
    <s v="Consumer"/>
    <s v="North"/>
    <s v="Haryana"/>
    <x v="1"/>
    <s v="Decor"/>
    <s v="LED Fairy Lights"/>
    <n v="1"/>
    <n v="3715.09"/>
    <n v="3529.34"/>
    <n v="5"/>
    <n v="819.08"/>
    <n v="95.03"/>
    <s v="UPI"/>
    <s v="Low"/>
    <n v="0.23207738557350666"/>
  </r>
  <r>
    <s v="ORD-10168"/>
    <x v="148"/>
    <s v="Navya Desai"/>
    <s v="Consumer"/>
    <s v="West"/>
    <s v="Rajasthan"/>
    <x v="2"/>
    <s v="Fiction"/>
    <s v="The Silent Valley"/>
    <n v="1"/>
    <n v="629.85"/>
    <n v="535.37"/>
    <n v="15"/>
    <n v="39.1"/>
    <n v="223.27"/>
    <s v="UPI"/>
    <s v="Low"/>
    <n v="7.3033602928815583E-2"/>
  </r>
  <r>
    <s v="ORD-10303"/>
    <x v="149"/>
    <s v="Myra Chopra"/>
    <s v="Consumer"/>
    <s v="North"/>
    <s v="Haryana"/>
    <x v="0"/>
    <s v="Laptops"/>
    <s v="WorkStation Pro"/>
    <n v="2"/>
    <n v="1776.14"/>
    <n v="3552.28"/>
    <n v="0"/>
    <n v="660.15"/>
    <n v="171.93"/>
    <s v="Debit Card"/>
    <s v="Low"/>
    <n v="0.18583839111781728"/>
  </r>
  <r>
    <s v="ORD-10159"/>
    <x v="149"/>
    <s v="Navya Mishra"/>
    <s v="Small Business"/>
    <s v="South"/>
    <s v="Telangana"/>
    <x v="1"/>
    <s v="Decor"/>
    <s v="Wall Art Frame"/>
    <n v="4"/>
    <n v="2738.88"/>
    <n v="9859.9699999999993"/>
    <n v="10"/>
    <n v="1026.19"/>
    <n v="335.66"/>
    <s v="Debit Card"/>
    <s v="Medium"/>
    <n v="0.1040763815711407"/>
  </r>
  <r>
    <s v="ORD-10752"/>
    <x v="150"/>
    <s v="Dhruv Agarwal"/>
    <s v="Small Business"/>
    <s v="South"/>
    <s v="Tamil Nadu"/>
    <x v="0"/>
    <s v="Accessories"/>
    <s v="Screen Guard"/>
    <n v="3"/>
    <n v="7218.09"/>
    <n v="18406.13"/>
    <n v="15"/>
    <n v="-84.91"/>
    <n v="299.36"/>
    <s v="UPI"/>
    <s v="Medium"/>
    <n v="-4.6131370364112384E-3"/>
  </r>
  <r>
    <s v="ORD-10097"/>
    <x v="150"/>
    <s v="Ira Iyer"/>
    <s v="Corporate"/>
    <s v="North"/>
    <s v="Punjab"/>
    <x v="1"/>
    <s v="Furniture"/>
    <s v="Study Table"/>
    <n v="2"/>
    <n v="1375.64"/>
    <n v="2751.28"/>
    <n v="0"/>
    <n v="435.62"/>
    <n v="308"/>
    <s v="Net Banking"/>
    <s v="Medium"/>
    <n v="0.15833357564479078"/>
  </r>
  <r>
    <s v="ORD-10860"/>
    <x v="150"/>
    <s v="Ananya Reddy"/>
    <s v="Small Business"/>
    <s v="East"/>
    <s v="Bihar"/>
    <x v="5"/>
    <s v="Men's Wear"/>
    <s v="Casual Blazer"/>
    <n v="4"/>
    <n v="2531.4299999999998"/>
    <n v="9113.15"/>
    <n v="10"/>
    <n v="1773.75"/>
    <n v="291.77999999999997"/>
    <s v="Credit Card"/>
    <s v="Low"/>
    <n v="0.1946363222376456"/>
  </r>
  <r>
    <s v="ORD-10815"/>
    <x v="151"/>
    <s v="Ira Singh"/>
    <s v="Consumer"/>
    <s v="East"/>
    <s v="West Bengal"/>
    <x v="3"/>
    <s v="Apparel"/>
    <s v="Sports T-Shirt"/>
    <n v="1"/>
    <n v="3277.67"/>
    <n v="3113.79"/>
    <n v="5"/>
    <n v="544.78"/>
    <n v="238.49"/>
    <s v="UPI"/>
    <s v="Low"/>
    <n v="0.17495720649112495"/>
  </r>
  <r>
    <s v="ORD-10974"/>
    <x v="152"/>
    <s v="Navya Verma"/>
    <s v="Corporate"/>
    <s v="North"/>
    <s v="Haryana"/>
    <x v="0"/>
    <s v="Accessories"/>
    <s v="FastCharge Cable"/>
    <n v="1"/>
    <n v="41439.769999999997"/>
    <n v="41439.769999999997"/>
    <n v="0"/>
    <n v="3422.32"/>
    <n v="266.7"/>
    <s v="Cash on Delivery"/>
    <s v="Low"/>
    <n v="8.2585400449857724E-2"/>
  </r>
  <r>
    <s v="ORD-10868"/>
    <x v="152"/>
    <s v="Aditya Das"/>
    <s v="Consumer"/>
    <s v="East"/>
    <s v="Odisha"/>
    <x v="3"/>
    <s v="Footwear"/>
    <s v="Casual Sneakers"/>
    <n v="1"/>
    <n v="3252.1"/>
    <n v="2764.28"/>
    <n v="15"/>
    <n v="454.41"/>
    <n v="51.02"/>
    <s v="UPI"/>
    <s v="High"/>
    <n v="0.16438638632844718"/>
  </r>
  <r>
    <s v="ORD-10108"/>
    <x v="152"/>
    <s v="Kiara Joshi"/>
    <s v="Consumer"/>
    <s v="North"/>
    <s v="Haryana"/>
    <x v="0"/>
    <s v="Laptops"/>
    <s v="GameForce X"/>
    <n v="1"/>
    <n v="15032.42"/>
    <n v="11274.32"/>
    <n v="25"/>
    <n v="-1164.82"/>
    <n v="124.24"/>
    <s v="Credit Card"/>
    <s v="Medium"/>
    <n v="-0.10331620887113369"/>
  </r>
  <r>
    <s v="ORD-10576"/>
    <x v="153"/>
    <s v="Diya Verma"/>
    <s v="Consumer"/>
    <s v="East"/>
    <s v="Bihar"/>
    <x v="5"/>
    <s v="Women's Wear"/>
    <s v="Ethnic Kurti"/>
    <n v="4"/>
    <n v="3098.82"/>
    <n v="10535.99"/>
    <n v="15"/>
    <n v="1585.92"/>
    <n v="384.14"/>
    <s v="Credit Card"/>
    <s v="Low"/>
    <n v="0.1505240608618649"/>
  </r>
  <r>
    <s v="ORD-10758"/>
    <x v="153"/>
    <s v="Riya Bose"/>
    <s v="Consumer"/>
    <s v="West"/>
    <s v="Gujarat"/>
    <x v="3"/>
    <s v="Outdoor Gear"/>
    <s v="Hiking Backpack"/>
    <n v="1"/>
    <n v="428.32"/>
    <n v="428.32"/>
    <n v="0"/>
    <n v="109.51"/>
    <n v="330.29"/>
    <s v="UPI"/>
    <s v="High"/>
    <n v="0.25567332835263357"/>
  </r>
  <r>
    <s v="ORD-10205"/>
    <x v="153"/>
    <s v="Ananya Malhotra"/>
    <s v="Small Business"/>
    <s v="West"/>
    <s v="Maharashtra"/>
    <x v="3"/>
    <s v="Gym Equipment"/>
    <s v="Adjustable Dumbbells"/>
    <n v="1"/>
    <n v="6527.96"/>
    <n v="5548.77"/>
    <n v="15"/>
    <n v="916.39"/>
    <n v="293.23"/>
    <s v="Net Banking"/>
    <s v="Low"/>
    <n v="0.16515191655087522"/>
  </r>
  <r>
    <s v="ORD-10837"/>
    <x v="154"/>
    <s v="Raj Singh"/>
    <s v="Consumer"/>
    <s v="West"/>
    <s v="Gujarat"/>
    <x v="0"/>
    <s v="Headphones"/>
    <s v="EchoBuds"/>
    <n v="3"/>
    <n v="6027.18"/>
    <n v="17177.46"/>
    <n v="5"/>
    <n v="574.12"/>
    <n v="247.23"/>
    <s v="Debit Card"/>
    <s v="Medium"/>
    <n v="3.3422869271708393E-2"/>
  </r>
  <r>
    <s v="ORD-10870"/>
    <x v="154"/>
    <s v="Vivaan Reddy"/>
    <s v="Consumer"/>
    <s v="South"/>
    <s v="Kerala"/>
    <x v="5"/>
    <s v="Footwear"/>
    <s v="Casual Sneakers"/>
    <n v="2"/>
    <n v="2674.76"/>
    <n v="4814.57"/>
    <n v="10"/>
    <n v="768.8"/>
    <n v="186.52"/>
    <s v="UPI"/>
    <s v="Low"/>
    <n v="0.15968196536762369"/>
  </r>
  <r>
    <s v="ORD-10775"/>
    <x v="155"/>
    <s v="Vivaan Patel"/>
    <s v="Consumer"/>
    <s v="East"/>
    <s v="West Bengal"/>
    <x v="1"/>
    <s v="Cookware"/>
    <s v="Cookware Combo"/>
    <n v="2"/>
    <n v="8328.06"/>
    <n v="16656.12"/>
    <n v="0"/>
    <n v="4008.15"/>
    <n v="328.07"/>
    <s v="Debit Card"/>
    <s v="Medium"/>
    <n v="0.24064127780059225"/>
  </r>
  <r>
    <s v="ORD-10991"/>
    <x v="156"/>
    <s v="Pooja Bose"/>
    <s v="Consumer"/>
    <s v="South"/>
    <s v="Tamil Nadu"/>
    <x v="1"/>
    <s v="Appliances"/>
    <s v="Mixer Grinder"/>
    <n v="1"/>
    <n v="4595.1099999999997"/>
    <n v="4135.6000000000004"/>
    <n v="10"/>
    <n v="421.26"/>
    <n v="235.47"/>
    <s v="UPI"/>
    <s v="Low"/>
    <n v="0.10186188219363573"/>
  </r>
  <r>
    <s v="ORD-10283"/>
    <x v="157"/>
    <s v="Dhruv Chopra"/>
    <s v="Consumer"/>
    <s v="North"/>
    <s v="Uttar Pradesh"/>
    <x v="5"/>
    <s v="Footwear"/>
    <s v="Formal Loafers"/>
    <n v="1"/>
    <n v="1671.14"/>
    <n v="1253.3599999999999"/>
    <n v="25"/>
    <n v="32.82"/>
    <n v="142.19999999999999"/>
    <s v="Net Banking"/>
    <s v="Medium"/>
    <n v="2.6185613072062301E-2"/>
  </r>
  <r>
    <s v="ORD-10387"/>
    <x v="157"/>
    <s v="Aadhya Chopra"/>
    <s v="Consumer"/>
    <s v="North"/>
    <s v="Punjab"/>
    <x v="4"/>
    <s v="Haircare"/>
    <s v="Hair Mask Deep Repair"/>
    <n v="1"/>
    <n v="288.38"/>
    <n v="259.54000000000002"/>
    <n v="10"/>
    <n v="55.95"/>
    <n v="233.9"/>
    <s v="UPI"/>
    <s v="Low"/>
    <n v="0.21557370732835016"/>
  </r>
  <r>
    <s v="ORD-10934"/>
    <x v="158"/>
    <s v="Raj Chopra"/>
    <s v="Consumer"/>
    <s v="North"/>
    <s v="Uttar Pradesh"/>
    <x v="2"/>
    <s v="Fiction"/>
    <s v="Beyond the Horizon"/>
    <n v="3"/>
    <n v="830.65"/>
    <n v="2491.9499999999998"/>
    <n v="0"/>
    <n v="370.01"/>
    <n v="79.66"/>
    <s v="Credit Card"/>
    <s v="Medium"/>
    <n v="0.14848211240193424"/>
  </r>
  <r>
    <s v="ORD-10799"/>
    <x v="159"/>
    <s v="Ira Agarwal"/>
    <s v="Small Business"/>
    <s v="North"/>
    <s v="Delhi"/>
    <x v="1"/>
    <s v="Cookware"/>
    <s v="Cookware Combo"/>
    <n v="4"/>
    <n v="7026.62"/>
    <n v="25295.83"/>
    <n v="10"/>
    <n v="2592.8000000000002"/>
    <n v="330.27"/>
    <s v="Credit Card"/>
    <s v="High"/>
    <n v="0.10249910756041608"/>
  </r>
  <r>
    <s v="ORD-10999"/>
    <x v="159"/>
    <s v="Aadhya Chopra"/>
    <s v="Consumer"/>
    <s v="South"/>
    <s v="Telangana"/>
    <x v="4"/>
    <s v="Haircare"/>
    <s v="Hair Growth Serum"/>
    <n v="3"/>
    <n v="1723.91"/>
    <n v="5171.7299999999996"/>
    <n v="0"/>
    <n v="1494.06"/>
    <n v="321.14999999999998"/>
    <s v="Cash on Delivery"/>
    <s v="Low"/>
    <n v="0.28888979123040065"/>
  </r>
  <r>
    <s v="ORD-10623"/>
    <x v="159"/>
    <s v="Arjun Malhotra"/>
    <s v="Consumer"/>
    <s v="West"/>
    <s v="Maharashtra"/>
    <x v="4"/>
    <s v="Skincare"/>
    <s v="Vitamin C Serum"/>
    <n v="1"/>
    <n v="2314.92"/>
    <n v="2199.17"/>
    <n v="5"/>
    <n v="478.39"/>
    <n v="155.59"/>
    <s v="UPI"/>
    <s v="Low"/>
    <n v="0.21753206891690954"/>
  </r>
  <r>
    <s v="ORD-10297"/>
    <x v="160"/>
    <s v="Simran Reddy"/>
    <s v="Consumer"/>
    <s v="North"/>
    <s v="Punjab"/>
    <x v="3"/>
    <s v="Outdoor Gear"/>
    <s v="Trekking Pole"/>
    <n v="3"/>
    <n v="10975.02"/>
    <n v="26340.05"/>
    <n v="20"/>
    <n v="3527.83"/>
    <n v="348.22"/>
    <s v="UPI"/>
    <s v="Medium"/>
    <n v="0.13393406618438461"/>
  </r>
  <r>
    <s v="ORD-10826"/>
    <x v="160"/>
    <s v="Ananya Kapoor"/>
    <s v="Consumer"/>
    <s v="East"/>
    <s v="West Bengal"/>
    <x v="4"/>
    <s v="Fragrances"/>
    <s v="Floral Mist"/>
    <n v="1"/>
    <n v="211.56"/>
    <n v="211.56"/>
    <n v="0"/>
    <n v="64.37"/>
    <n v="49.23"/>
    <s v="Net Banking"/>
    <s v="High"/>
    <n v="0.30426356589147291"/>
  </r>
  <r>
    <s v="ORD-10232"/>
    <x v="161"/>
    <s v="Simran Das"/>
    <s v="Consumer"/>
    <s v="East"/>
    <s v="Bihar"/>
    <x v="4"/>
    <s v="Haircare"/>
    <s v="Hair Growth Serum"/>
    <n v="1"/>
    <n v="2211.81"/>
    <n v="2211.81"/>
    <n v="0"/>
    <n v="597.6"/>
    <n v="199.26"/>
    <s v="Credit Card"/>
    <s v="Medium"/>
    <n v="0.27018595629823539"/>
  </r>
  <r>
    <s v="ORD-10722"/>
    <x v="161"/>
    <s v="Sai Gupta"/>
    <s v="Consumer"/>
    <s v="North"/>
    <s v="Uttar Pradesh"/>
    <x v="1"/>
    <s v="Furniture"/>
    <s v="Sofa Set"/>
    <n v="1"/>
    <n v="5901.36"/>
    <n v="5901.36"/>
    <n v="0"/>
    <n v="1455.97"/>
    <n v="209.42"/>
    <s v="Credit Card"/>
    <s v="High"/>
    <n v="0.24671770574918325"/>
  </r>
  <r>
    <s v="ORD-10801"/>
    <x v="162"/>
    <s v="Vivaan Kapoor"/>
    <s v="Corporate"/>
    <s v="West"/>
    <s v="Rajasthan"/>
    <x v="3"/>
    <s v="Gym Equipment"/>
    <s v="Treadmill Compact"/>
    <n v="2"/>
    <n v="5296.56"/>
    <n v="10063.459999999999"/>
    <n v="5"/>
    <n v="1778.92"/>
    <n v="212.02"/>
    <s v="Debit Card"/>
    <s v="Low"/>
    <n v="0.17677021620794442"/>
  </r>
  <r>
    <s v="ORD-10115"/>
    <x v="163"/>
    <s v="Priya Patel"/>
    <s v="Small Business"/>
    <s v="West"/>
    <s v="Maharashtra"/>
    <x v="1"/>
    <s v="Furniture"/>
    <s v="Wooden Chair"/>
    <n v="1"/>
    <n v="7141.49"/>
    <n v="6784.42"/>
    <n v="5"/>
    <n v="1065.8499999999999"/>
    <n v="82.75"/>
    <s v="Debit Card"/>
    <s v="High"/>
    <n v="0.15710259683215366"/>
  </r>
  <r>
    <s v="ORD-10077"/>
    <x v="164"/>
    <s v="Kabir Desai"/>
    <s v="Consumer"/>
    <s v="South"/>
    <s v="Tamil Nadu"/>
    <x v="2"/>
    <s v="Comics"/>
    <s v="Graphic Tales"/>
    <n v="3"/>
    <n v="177.84"/>
    <n v="533.52"/>
    <n v="0"/>
    <n v="97.29"/>
    <n v="244.15"/>
    <s v="Debit Card"/>
    <s v="Low"/>
    <n v="0.18235492577597842"/>
  </r>
  <r>
    <s v="ORD-10873"/>
    <x v="164"/>
    <s v="Anika Nair"/>
    <s v="Small Business"/>
    <s v="East"/>
    <s v="Bihar"/>
    <x v="2"/>
    <s v="Fiction"/>
    <s v="Mystery of Ashgrove"/>
    <n v="4"/>
    <n v="1122.79"/>
    <n v="3143.81"/>
    <n v="30"/>
    <n v="-187.67"/>
    <n v="87.61"/>
    <s v="Cash on Delivery"/>
    <s v="Low"/>
    <n v="-5.9695083354273953E-2"/>
  </r>
  <r>
    <s v="ORD-10951"/>
    <x v="165"/>
    <s v="Aarav Reddy"/>
    <s v="Consumer"/>
    <s v="West"/>
    <s v="Maharashtra"/>
    <x v="3"/>
    <s v="Apparel"/>
    <s v="Compression Shorts"/>
    <n v="2"/>
    <n v="3123.01"/>
    <n v="5309.12"/>
    <n v="15"/>
    <n v="1013.61"/>
    <n v="334.77"/>
    <s v="UPI"/>
    <s v="Low"/>
    <n v="0.19091864565125671"/>
  </r>
  <r>
    <s v="ORD-10567"/>
    <x v="166"/>
    <s v="Simran Reddy"/>
    <s v="Consumer"/>
    <s v="South"/>
    <s v="Telangana"/>
    <x v="1"/>
    <s v="Decor"/>
    <s v="Table Lamp"/>
    <n v="1"/>
    <n v="2057.36"/>
    <n v="1851.62"/>
    <n v="10"/>
    <n v="153.80000000000001"/>
    <n v="188.94"/>
    <s v="Credit Card"/>
    <s v="Medium"/>
    <n v="8.3062399412406437E-2"/>
  </r>
  <r>
    <s v="ORD-10155"/>
    <x v="167"/>
    <s v="Rohan Malhotra"/>
    <s v="Consumer"/>
    <s v="West"/>
    <s v="Gujarat"/>
    <x v="0"/>
    <s v="Accessories"/>
    <s v="PowerBank 20K"/>
    <n v="5"/>
    <n v="5243.32"/>
    <n v="24905.77"/>
    <n v="5"/>
    <n v="993.78"/>
    <n v="308.08"/>
    <s v="Credit Card"/>
    <s v="Critical"/>
    <n v="3.9901597099788522E-2"/>
  </r>
  <r>
    <s v="ORD-10650"/>
    <x v="168"/>
    <s v="Simran Singh"/>
    <s v="Consumer"/>
    <s v="North"/>
    <s v="Uttar Pradesh"/>
    <x v="1"/>
    <s v="Furniture"/>
    <s v="Sofa Set"/>
    <n v="2"/>
    <n v="8115.7"/>
    <n v="14608.26"/>
    <n v="10"/>
    <n v="2147.4299999999998"/>
    <n v="95.34"/>
    <s v="Credit Card"/>
    <s v="Medium"/>
    <n v="0.14700108021078484"/>
  </r>
  <r>
    <s v="ORD-10875"/>
    <x v="168"/>
    <s v="Aditya Singh"/>
    <s v="Consumer"/>
    <s v="North"/>
    <s v="Punjab"/>
    <x v="5"/>
    <s v="Women's Wear"/>
    <s v="Ethnic Kurti"/>
    <n v="2"/>
    <n v="3582.79"/>
    <n v="6090.74"/>
    <n v="15"/>
    <n v="457.09"/>
    <n v="268.27"/>
    <s v="Credit Card"/>
    <s v="Low"/>
    <n v="7.504671025195625E-2"/>
  </r>
  <r>
    <s v="ORD-10251"/>
    <x v="168"/>
    <s v="Raj Das"/>
    <s v="Corporate"/>
    <s v="North"/>
    <s v="Punjab"/>
    <x v="2"/>
    <s v="Non-Fiction"/>
    <s v="Modern Economics"/>
    <n v="3"/>
    <n v="697.32"/>
    <n v="1673.57"/>
    <n v="20"/>
    <n v="18.55"/>
    <n v="110.35"/>
    <s v="UPI"/>
    <s v="Low"/>
    <n v="1.1084089700460693E-2"/>
  </r>
  <r>
    <s v="ORD-10528"/>
    <x v="168"/>
    <s v="Rohan Iyer"/>
    <s v="Consumer"/>
    <s v="South"/>
    <s v="Tamil Nadu"/>
    <x v="2"/>
    <s v="Comics"/>
    <s v="Graphic Tales"/>
    <n v="2"/>
    <n v="944.02"/>
    <n v="1793.64"/>
    <n v="5"/>
    <n v="182.05"/>
    <n v="191.73"/>
    <s v="Net Banking"/>
    <s v="Low"/>
    <n v="0.10149751343636404"/>
  </r>
  <r>
    <s v="ORD-10336"/>
    <x v="169"/>
    <s v="Ishaan Khan"/>
    <s v="Corporate"/>
    <s v="West"/>
    <s v="Gujarat"/>
    <x v="5"/>
    <s v="Kids Wear"/>
    <s v="School Uniform Set"/>
    <n v="2"/>
    <n v="3160.69"/>
    <n v="6005.31"/>
    <n v="5"/>
    <n v="1121.07"/>
    <n v="103.06"/>
    <s v="UPI"/>
    <s v="Low"/>
    <n v="0.18667978838727722"/>
  </r>
  <r>
    <s v="ORD-10813"/>
    <x v="170"/>
    <s v="Kiara Nair"/>
    <s v="Consumer"/>
    <s v="North"/>
    <s v="Haryana"/>
    <x v="4"/>
    <s v="Makeup"/>
    <s v="Matte Lipstick"/>
    <n v="3"/>
    <n v="972.82"/>
    <n v="2772.54"/>
    <n v="5"/>
    <n v="905.5"/>
    <n v="352.79"/>
    <s v="UPI"/>
    <s v="Low"/>
    <n v="0.32659582909534218"/>
  </r>
  <r>
    <s v="ORD-10627"/>
    <x v="171"/>
    <s v="Ishaan Mehta"/>
    <s v="Corporate"/>
    <s v="South"/>
    <s v="Tamil Nadu"/>
    <x v="2"/>
    <s v="Non-Fiction"/>
    <s v="The Growth Mindset"/>
    <n v="5"/>
    <n v="1031.81"/>
    <n v="5159.05"/>
    <n v="0"/>
    <n v="566.47"/>
    <n v="396.02"/>
    <s v="Cash on Delivery"/>
    <s v="Medium"/>
    <n v="0.10980122309339899"/>
  </r>
  <r>
    <s v="ORD-10786"/>
    <x v="171"/>
    <s v="Kiara Reddy"/>
    <s v="Corporate"/>
    <s v="West"/>
    <s v="Gujarat"/>
    <x v="5"/>
    <s v="Men's Wear"/>
    <s v="Casual Blazer"/>
    <n v="1"/>
    <n v="2423.14"/>
    <n v="2301.98"/>
    <n v="5"/>
    <n v="479.31"/>
    <n v="76.11"/>
    <s v="UPI"/>
    <s v="High"/>
    <n v="0.20821640500786279"/>
  </r>
  <r>
    <s v="ORD-10945"/>
    <x v="172"/>
    <s v="Arjun Malhotra"/>
    <s v="Consumer"/>
    <s v="West"/>
    <s v="Maharashtra"/>
    <x v="0"/>
    <s v="Accessories"/>
    <s v="Screen Guard"/>
    <n v="1"/>
    <n v="54068.06"/>
    <n v="37847.64"/>
    <n v="30"/>
    <n v="-4365.21"/>
    <n v="331.08"/>
    <s v="Credit Card"/>
    <s v="High"/>
    <n v="-0.11533638557120074"/>
  </r>
  <r>
    <s v="ORD-10033"/>
    <x v="172"/>
    <s v="Priya Patel"/>
    <s v="Consumer"/>
    <s v="East"/>
    <s v="West Bengal"/>
    <x v="5"/>
    <s v="Kids Wear"/>
    <s v="Denim Overalls"/>
    <n v="1"/>
    <n v="1357.49"/>
    <n v="950.24"/>
    <n v="30"/>
    <n v="-53.16"/>
    <n v="121.15"/>
    <s v="UPI"/>
    <s v="High"/>
    <n v="-5.5943761576022898E-2"/>
  </r>
  <r>
    <s v="ORD-10779"/>
    <x v="172"/>
    <s v="Anika Malhotra"/>
    <s v="Consumer"/>
    <s v="West"/>
    <s v="Maharashtra"/>
    <x v="5"/>
    <s v="Footwear"/>
    <s v="Casual Sneakers"/>
    <n v="1"/>
    <n v="3731.29"/>
    <n v="3544.73"/>
    <n v="5"/>
    <n v="637.01"/>
    <n v="52.73"/>
    <s v="Debit Card"/>
    <s v="Low"/>
    <n v="0.1797062117566077"/>
  </r>
  <r>
    <s v="ORD-10013"/>
    <x v="173"/>
    <s v="Riya Desai"/>
    <s v="Consumer"/>
    <s v="South"/>
    <s v="Tamil Nadu"/>
    <x v="0"/>
    <s v="Headphones"/>
    <s v="BassBoost 300"/>
    <n v="1"/>
    <n v="47599.95"/>
    <n v="47599.95"/>
    <n v="0"/>
    <n v="6535.14"/>
    <n v="196.67"/>
    <s v="UPI"/>
    <s v="Low"/>
    <n v="0.13729300135819472"/>
  </r>
  <r>
    <s v="ORD-10634"/>
    <x v="174"/>
    <s v="Karan Rao"/>
    <s v="Consumer"/>
    <s v="North"/>
    <s v="Uttar Pradesh"/>
    <x v="2"/>
    <s v="Fiction"/>
    <s v="Mystery of Ashgrove"/>
    <n v="1"/>
    <n v="1073.47"/>
    <n v="912.45"/>
    <n v="15"/>
    <n v="58.69"/>
    <n v="177.2"/>
    <s v="UPI"/>
    <s v="Medium"/>
    <n v="6.4321332675763052E-2"/>
  </r>
  <r>
    <s v="ORD-10804"/>
    <x v="175"/>
    <s v="Aditya Khan"/>
    <s v="Small Business"/>
    <s v="West"/>
    <s v="Gujarat"/>
    <x v="3"/>
    <s v="Gym Equipment"/>
    <s v="Adjustable Dumbbells"/>
    <n v="1"/>
    <n v="4656.3500000000004"/>
    <n v="3957.9"/>
    <n v="15"/>
    <n v="261.94"/>
    <n v="105.87"/>
    <s v="Net Banking"/>
    <s v="High"/>
    <n v="6.6181560928775363E-2"/>
  </r>
  <r>
    <s v="ORD-10616"/>
    <x v="175"/>
    <s v="Kiara Malhotra"/>
    <s v="Consumer"/>
    <s v="North"/>
    <s v="Delhi"/>
    <x v="3"/>
    <s v="Apparel"/>
    <s v="Track Pants"/>
    <n v="2"/>
    <n v="14415.99"/>
    <n v="23065.58"/>
    <n v="20"/>
    <n v="2721.03"/>
    <n v="211.87"/>
    <s v="UPI"/>
    <s v="Medium"/>
    <n v="0.11796928583629807"/>
  </r>
  <r>
    <s v="ORD-10140"/>
    <x v="176"/>
    <s v="Ishaan Mehta"/>
    <s v="Corporate"/>
    <s v="South"/>
    <s v="Kerala"/>
    <x v="4"/>
    <s v="Makeup"/>
    <s v="Foundation Stick"/>
    <n v="2"/>
    <n v="1229.05"/>
    <n v="2212.29"/>
    <n v="10"/>
    <n v="377.42"/>
    <n v="215.44"/>
    <s v="UPI"/>
    <s v="Medium"/>
    <n v="0.17060150341953362"/>
  </r>
  <r>
    <s v="ORD-10584"/>
    <x v="176"/>
    <s v="Vivaan Mehta"/>
    <s v="Small Business"/>
    <s v="West"/>
    <s v="Maharashtra"/>
    <x v="0"/>
    <s v="Mobiles"/>
    <s v="OnePlus Edge"/>
    <n v="1"/>
    <n v="48226.76"/>
    <n v="43404.08"/>
    <n v="10"/>
    <n v="3511.15"/>
    <n v="341.87"/>
    <s v="Debit Card"/>
    <s v="High"/>
    <n v="8.0894468907070485E-2"/>
  </r>
  <r>
    <s v="ORD-10996"/>
    <x v="176"/>
    <s v="Kiara Kapoor"/>
    <s v="Consumer"/>
    <s v="West"/>
    <s v="Gujarat"/>
    <x v="2"/>
    <s v="Comics"/>
    <s v="Comic Universe"/>
    <n v="1"/>
    <n v="447.45"/>
    <n v="380.33"/>
    <n v="15"/>
    <n v="37.07"/>
    <n v="158.1"/>
    <s v="Credit Card"/>
    <s v="Medium"/>
    <n v="9.7467988325927485E-2"/>
  </r>
  <r>
    <s v="ORD-10780"/>
    <x v="177"/>
    <s v="Ira Desai"/>
    <s v="Small Business"/>
    <s v="South"/>
    <s v="Kerala"/>
    <x v="5"/>
    <s v="Kids Wear"/>
    <s v="Denim Overalls"/>
    <n v="3"/>
    <n v="531.92999999999995"/>
    <n v="1595.79"/>
    <n v="0"/>
    <n v="291.5"/>
    <n v="361.56"/>
    <s v="Net Banking"/>
    <s v="Low"/>
    <n v="0.18266814555799948"/>
  </r>
  <r>
    <s v="ORD-10306"/>
    <x v="177"/>
    <s v="Karan Sharma"/>
    <s v="Small Business"/>
    <s v="South"/>
    <s v="Tamil Nadu"/>
    <x v="1"/>
    <s v="Cookware"/>
    <s v="Non-Stick Pan Set"/>
    <n v="2"/>
    <n v="7219.46"/>
    <n v="11551.14"/>
    <n v="20"/>
    <n v="839.87"/>
    <n v="348.55"/>
    <s v="UPI"/>
    <s v="High"/>
    <n v="7.2708840858997467E-2"/>
  </r>
  <r>
    <s v="ORD-10778"/>
    <x v="177"/>
    <s v="Navya Patel"/>
    <s v="Consumer"/>
    <s v="South"/>
    <s v="Tamil Nadu"/>
    <x v="1"/>
    <s v="Furniture"/>
    <s v="Bookshelf Unit"/>
    <n v="1"/>
    <n v="4431.08"/>
    <n v="3987.97"/>
    <n v="10"/>
    <n v="454.61"/>
    <n v="169.33"/>
    <s v="UPI"/>
    <s v="Medium"/>
    <n v="0.11399534098802148"/>
  </r>
  <r>
    <s v="ORD-10803"/>
    <x v="177"/>
    <s v="Arjun Bose"/>
    <s v="Consumer"/>
    <s v="North"/>
    <s v="Punjab"/>
    <x v="0"/>
    <s v="Mobiles"/>
    <s v="Galaxy Note Lite"/>
    <n v="1"/>
    <n v="25222.63"/>
    <n v="23961.5"/>
    <n v="5"/>
    <n v="757.88"/>
    <n v="207.39"/>
    <s v="UPI"/>
    <s v="Low"/>
    <n v="3.1629071635749011E-2"/>
  </r>
  <r>
    <s v="ORD-10469"/>
    <x v="178"/>
    <s v="Diya Mehta"/>
    <s v="Small Business"/>
    <s v="West"/>
    <s v="Gujarat"/>
    <x v="0"/>
    <s v="Headphones"/>
    <s v="SilentPods"/>
    <n v="3"/>
    <n v="8405.7800000000007"/>
    <n v="25217.34"/>
    <n v="0"/>
    <n v="2828.92"/>
    <n v="194.44"/>
    <s v="UPI"/>
    <s v="Medium"/>
    <n v="0.11218153857623366"/>
  </r>
  <r>
    <s v="ORD-10049"/>
    <x v="178"/>
    <s v="Dhruv Bose"/>
    <s v="Consumer"/>
    <s v="West"/>
    <s v="Rajasthan"/>
    <x v="4"/>
    <s v="Makeup"/>
    <s v="Eyeliner Pro"/>
    <n v="1"/>
    <n v="611.29"/>
    <n v="611.29"/>
    <n v="0"/>
    <n v="212.21"/>
    <n v="260.7"/>
    <s v="Credit Card"/>
    <s v="Low"/>
    <n v="0.34715110667604576"/>
  </r>
  <r>
    <s v="ORD-10052"/>
    <x v="178"/>
    <s v="Sai Verma"/>
    <s v="Consumer"/>
    <s v="East"/>
    <s v="Odisha"/>
    <x v="2"/>
    <s v="Comics"/>
    <s v="Graphic Tales"/>
    <n v="3"/>
    <n v="677.77"/>
    <n v="2033.31"/>
    <n v="0"/>
    <n v="280.64"/>
    <n v="244.61"/>
    <s v="Credit Card"/>
    <s v="Medium"/>
    <n v="0.13802125598162601"/>
  </r>
  <r>
    <s v="ORD-10085"/>
    <x v="178"/>
    <s v="Ananya Bose"/>
    <s v="Consumer"/>
    <s v="South"/>
    <s v="Telangana"/>
    <x v="2"/>
    <s v="Non-Fiction"/>
    <s v="Modern Economics"/>
    <n v="2"/>
    <n v="1165.96"/>
    <n v="2215.3200000000002"/>
    <n v="5"/>
    <n v="20.3"/>
    <n v="226.93"/>
    <s v="Debit Card"/>
    <s v="Low"/>
    <n v="9.1634617120777122E-3"/>
  </r>
  <r>
    <s v="ORD-10532"/>
    <x v="179"/>
    <s v="Anika Rao"/>
    <s v="Consumer"/>
    <s v="North"/>
    <s v="Delhi"/>
    <x v="0"/>
    <s v="Accessories"/>
    <s v="FastCharge Cable"/>
    <n v="2"/>
    <n v="35741.81"/>
    <n v="60761.08"/>
    <n v="15"/>
    <n v="1609.68"/>
    <n v="94.33"/>
    <s v="Net Banking"/>
    <s v="Medium"/>
    <n v="2.6491958339121029E-2"/>
  </r>
  <r>
    <s v="ORD-10843"/>
    <x v="179"/>
    <s v="Ayaan Rao"/>
    <s v="Corporate"/>
    <s v="West"/>
    <s v="Gujarat"/>
    <x v="1"/>
    <s v="Appliances"/>
    <s v="Mixer Grinder"/>
    <n v="2"/>
    <n v="3027.65"/>
    <n v="4541.4799999999996"/>
    <n v="25"/>
    <n v="-185.39"/>
    <n v="229.84"/>
    <s v="UPI"/>
    <s v="Low"/>
    <n v="-4.0821494314628712E-2"/>
  </r>
  <r>
    <s v="ORD-10407"/>
    <x v="179"/>
    <s v="Sai Agarwal"/>
    <s v="Small Business"/>
    <s v="West"/>
    <s v="Maharashtra"/>
    <x v="0"/>
    <s v="Cameras"/>
    <s v="SnapLite Mini"/>
    <n v="2"/>
    <n v="35794.730000000003"/>
    <n v="60851.040000000001"/>
    <n v="15"/>
    <n v="1341.01"/>
    <n v="140.22"/>
    <s v="Debit Card"/>
    <s v="Medium"/>
    <n v="2.2037585553180358E-2"/>
  </r>
  <r>
    <s v="ORD-10628"/>
    <x v="179"/>
    <s v="Kiara Rao"/>
    <s v="Consumer"/>
    <s v="East"/>
    <s v="Odisha"/>
    <x v="2"/>
    <s v="Non-Fiction"/>
    <s v="Modern Economics"/>
    <n v="3"/>
    <n v="1060.1099999999999"/>
    <n v="2703.28"/>
    <n v="15"/>
    <n v="263.04000000000002"/>
    <n v="150.38999999999999"/>
    <s v="Net Banking"/>
    <s v="High"/>
    <n v="9.7304015862211837E-2"/>
  </r>
  <r>
    <s v="ORD-10471"/>
    <x v="180"/>
    <s v="Aadhya Nair"/>
    <s v="Corporate"/>
    <s v="West"/>
    <s v="Maharashtra"/>
    <x v="0"/>
    <s v="Cameras"/>
    <s v="ActionCam 4K"/>
    <n v="2"/>
    <n v="40815.24"/>
    <n v="69385.91"/>
    <n v="15"/>
    <n v="4157.29"/>
    <n v="195.81"/>
    <s v="Credit Card"/>
    <s v="Low"/>
    <n v="5.9915478517180217E-2"/>
  </r>
  <r>
    <s v="ORD-10088"/>
    <x v="180"/>
    <s v="Riya Singh"/>
    <s v="Small Business"/>
    <s v="East"/>
    <s v="Bihar"/>
    <x v="1"/>
    <s v="Cookware"/>
    <s v="Steel Kadai"/>
    <n v="3"/>
    <n v="9152.7000000000007"/>
    <n v="19220.669999999998"/>
    <n v="30"/>
    <n v="348.92"/>
    <n v="93"/>
    <s v="Net Banking"/>
    <s v="Medium"/>
    <n v="1.8153373425588183E-2"/>
  </r>
  <r>
    <s v="ORD-10635"/>
    <x v="181"/>
    <s v="Neha Malhotra"/>
    <s v="Small Business"/>
    <s v="West"/>
    <s v="Rajasthan"/>
    <x v="0"/>
    <s v="Mobiles"/>
    <s v="OnePlus Edge"/>
    <n v="1"/>
    <n v="53946.44"/>
    <n v="53946.44"/>
    <n v="0"/>
    <n v="3633.41"/>
    <n v="293.93"/>
    <s v="UPI"/>
    <s v="Medium"/>
    <n v="6.7352173748629188E-2"/>
  </r>
  <r>
    <s v="ORD-10536"/>
    <x v="181"/>
    <s v="Vihaan Sharma"/>
    <s v="Corporate"/>
    <s v="North"/>
    <s v="Punjab"/>
    <x v="5"/>
    <s v="Men's Wear"/>
    <s v="Slim Fit Jeans"/>
    <n v="1"/>
    <n v="4498.8"/>
    <n v="4498.8"/>
    <n v="0"/>
    <n v="1157.97"/>
    <n v="78.17"/>
    <s v="UPI"/>
    <s v="Low"/>
    <n v="0.25739530541477729"/>
  </r>
  <r>
    <s v="ORD-10204"/>
    <x v="182"/>
    <s v="Aarav Sharma"/>
    <s v="Corporate"/>
    <s v="North"/>
    <s v="Punjab"/>
    <x v="4"/>
    <s v="Haircare"/>
    <s v="Hair Mask Deep Repair"/>
    <n v="3"/>
    <n v="793.14"/>
    <n v="1665.59"/>
    <n v="30"/>
    <n v="173.86"/>
    <n v="104.59"/>
    <s v="Debit Card"/>
    <s v="Low"/>
    <n v="0.10438343169687619"/>
  </r>
  <r>
    <s v="ORD-10720"/>
    <x v="183"/>
    <s v="Diya Agarwal"/>
    <s v="Small Business"/>
    <s v="East"/>
    <s v="Odisha"/>
    <x v="5"/>
    <s v="Kids Wear"/>
    <s v="Winter Jacket Jr"/>
    <n v="1"/>
    <n v="2451.6"/>
    <n v="1961.28"/>
    <n v="20"/>
    <n v="195.39"/>
    <n v="66.569999999999993"/>
    <s v="Net Banking"/>
    <s v="Medium"/>
    <n v="9.9623715124816437E-2"/>
  </r>
  <r>
    <s v="ORD-10630"/>
    <x v="183"/>
    <s v="Reyansh Iyer"/>
    <s v="Small Business"/>
    <s v="West"/>
    <s v="Maharashtra"/>
    <x v="1"/>
    <s v="Furniture"/>
    <s v="Bookshelf Unit"/>
    <n v="1"/>
    <n v="10140.049999999999"/>
    <n v="8112.04"/>
    <n v="20"/>
    <n v="-147.74"/>
    <n v="76.02"/>
    <s v="UPI"/>
    <s v="Medium"/>
    <n v="-1.8212434849926778E-2"/>
  </r>
  <r>
    <s v="ORD-10827"/>
    <x v="183"/>
    <s v="Diya Mehta"/>
    <s v="Consumer"/>
    <s v="East"/>
    <s v="Bihar"/>
    <x v="4"/>
    <s v="Makeup"/>
    <s v="Matte Lipstick"/>
    <n v="1"/>
    <n v="1689.29"/>
    <n v="1520.36"/>
    <n v="10"/>
    <n v="273.97000000000003"/>
    <n v="124.17"/>
    <s v="Credit Card"/>
    <s v="Low"/>
    <n v="0.18020074192954302"/>
  </r>
  <r>
    <s v="ORD-10117"/>
    <x v="183"/>
    <s v="Meera Joshi"/>
    <s v="Consumer"/>
    <s v="South"/>
    <s v="Telangana"/>
    <x v="3"/>
    <s v="Footwear"/>
    <s v="Casual Sneakers"/>
    <n v="1"/>
    <n v="5930.05"/>
    <n v="5633.55"/>
    <n v="5"/>
    <n v="925.44"/>
    <n v="162.74"/>
    <s v="Debit Card"/>
    <s v="Critical"/>
    <n v="0.16427297174960726"/>
  </r>
  <r>
    <s v="ORD-10674"/>
    <x v="184"/>
    <s v="Ishaan Khan"/>
    <s v="Consumer"/>
    <s v="South"/>
    <s v="Karnataka"/>
    <x v="1"/>
    <s v="Decor"/>
    <s v="Table Lamp"/>
    <n v="3"/>
    <n v="8241.9"/>
    <n v="22253.13"/>
    <n v="10"/>
    <n v="3733.27"/>
    <n v="286.12"/>
    <s v="Credit Card"/>
    <s v="Low"/>
    <n v="0.16776381569693791"/>
  </r>
  <r>
    <s v="ORD-10941"/>
    <x v="184"/>
    <s v="Kabir Iyer"/>
    <s v="Corporate"/>
    <s v="East"/>
    <s v="West Bengal"/>
    <x v="1"/>
    <s v="Appliances"/>
    <s v="Air Fryer"/>
    <n v="4"/>
    <n v="7276.14"/>
    <n v="29104.560000000001"/>
    <n v="0"/>
    <n v="4846.1400000000003"/>
    <n v="356.21"/>
    <s v="Cash on Delivery"/>
    <s v="Medium"/>
    <n v="0.16650792865447889"/>
  </r>
  <r>
    <s v="ORD-10661"/>
    <x v="184"/>
    <s v="Diya Desai"/>
    <s v="Consumer"/>
    <s v="North"/>
    <s v="Delhi"/>
    <x v="0"/>
    <s v="Accessories"/>
    <s v="Screen Guard"/>
    <n v="5"/>
    <n v="27463.62"/>
    <n v="116720.38"/>
    <n v="15"/>
    <n v="512.13"/>
    <n v="370.96"/>
    <s v="Credit Card"/>
    <s v="Low"/>
    <n v="4.3876656330282676E-3"/>
  </r>
  <r>
    <s v="ORD-10828"/>
    <x v="184"/>
    <s v="Vihaan Patel"/>
    <s v="Corporate"/>
    <s v="North"/>
    <s v="Punjab"/>
    <x v="3"/>
    <s v="Apparel"/>
    <s v="Track Pants"/>
    <n v="2"/>
    <n v="1164.6199999999999"/>
    <n v="2329.2399999999998"/>
    <n v="0"/>
    <n v="400.67"/>
    <n v="47.2"/>
    <s v="UPI"/>
    <s v="Low"/>
    <n v="0.17201748209716478"/>
  </r>
  <r>
    <s v="ORD-10458"/>
    <x v="184"/>
    <s v="Diya Bose"/>
    <s v="Consumer"/>
    <s v="West"/>
    <s v="Gujarat"/>
    <x v="0"/>
    <s v="Mobiles"/>
    <s v="iSmart X2"/>
    <n v="2"/>
    <n v="18866.509999999998"/>
    <n v="37733.019999999997"/>
    <n v="0"/>
    <n v="4174.68"/>
    <n v="359.73"/>
    <s v="UPI"/>
    <s v="Medium"/>
    <n v="0.11063731447946654"/>
  </r>
  <r>
    <s v="ORD-10539"/>
    <x v="185"/>
    <s v="Anika Mishra"/>
    <s v="Corporate"/>
    <s v="East"/>
    <s v="West Bengal"/>
    <x v="2"/>
    <s v="Comics"/>
    <s v="Comic Universe"/>
    <n v="4"/>
    <n v="1045.19"/>
    <n v="3135.57"/>
    <n v="25"/>
    <n v="82.11"/>
    <n v="117.36"/>
    <s v="Cash on Delivery"/>
    <s v="Low"/>
    <n v="2.6186626355016791E-2"/>
  </r>
  <r>
    <s v="ORD-10709"/>
    <x v="186"/>
    <s v="Ayaan Patel"/>
    <s v="Small Business"/>
    <s v="South"/>
    <s v="Kerala"/>
    <x v="2"/>
    <s v="Non-Fiction"/>
    <s v="Modern Economics"/>
    <n v="1"/>
    <n v="632.15"/>
    <n v="632.15"/>
    <n v="0"/>
    <n v="145.22999999999999"/>
    <n v="153.13999999999999"/>
    <s v="Cash on Delivery"/>
    <s v="High"/>
    <n v="0.22973977695167286"/>
  </r>
  <r>
    <s v="ORD-10184"/>
    <x v="186"/>
    <s v="Neha Singh"/>
    <s v="Corporate"/>
    <s v="East"/>
    <s v="Bihar"/>
    <x v="4"/>
    <s v="Skincare"/>
    <s v="Vitamin C Serum"/>
    <n v="1"/>
    <n v="1535.35"/>
    <n v="1381.82"/>
    <n v="10"/>
    <n v="323.14999999999998"/>
    <n v="232.32"/>
    <s v="Credit Card"/>
    <s v="Critical"/>
    <n v="0.23385824492336194"/>
  </r>
  <r>
    <s v="ORD-10485"/>
    <x v="187"/>
    <s v="Ira Mehta"/>
    <s v="Corporate"/>
    <s v="West"/>
    <s v="Maharashtra"/>
    <x v="2"/>
    <s v="Academic"/>
    <s v="Physics Fundamentals"/>
    <n v="3"/>
    <n v="198.43"/>
    <n v="595.29"/>
    <n v="0"/>
    <n v="38.69"/>
    <n v="323.85000000000002"/>
    <s v="Debit Card"/>
    <s v="Critical"/>
    <n v="6.4993532563960427E-2"/>
  </r>
  <r>
    <s v="ORD-10825"/>
    <x v="188"/>
    <s v="Saanvi Chopra"/>
    <s v="Consumer"/>
    <s v="South"/>
    <s v="Karnataka"/>
    <x v="4"/>
    <s v="Makeup"/>
    <s v="Compact Powder"/>
    <n v="2"/>
    <n v="546.09"/>
    <n v="982.96"/>
    <n v="10"/>
    <n v="213.54"/>
    <n v="205.49"/>
    <s v="Cash on Delivery"/>
    <s v="Low"/>
    <n v="0.21724180027671522"/>
  </r>
  <r>
    <s v="ORD-10911"/>
    <x v="188"/>
    <s v="Raj Gupta"/>
    <s v="Small Business"/>
    <s v="East"/>
    <s v="Bihar"/>
    <x v="1"/>
    <s v="Cookware"/>
    <s v="Pressure Cooker"/>
    <n v="1"/>
    <n v="4143.63"/>
    <n v="3936.45"/>
    <n v="5"/>
    <n v="363.69"/>
    <n v="59.47"/>
    <s v="Credit Card"/>
    <s v="Low"/>
    <n v="9.2390351712837715E-2"/>
  </r>
  <r>
    <s v="ORD-10374"/>
    <x v="188"/>
    <s v="Dhruv Sharma"/>
    <s v="Consumer"/>
    <s v="South"/>
    <s v="Kerala"/>
    <x v="4"/>
    <s v="Fragrances"/>
    <s v="Musk Perfume"/>
    <n v="4"/>
    <n v="341.1"/>
    <n v="1227.96"/>
    <n v="10"/>
    <n v="255.99"/>
    <n v="324.83999999999997"/>
    <s v="Credit Card"/>
    <s v="Low"/>
    <n v="0.20846770253102706"/>
  </r>
  <r>
    <s v="ORD-10550"/>
    <x v="188"/>
    <s v="Kabir Iyer"/>
    <s v="Small Business"/>
    <s v="South"/>
    <s v="Telangana"/>
    <x v="0"/>
    <s v="Cameras"/>
    <s v="ClickShot X1"/>
    <n v="1"/>
    <n v="48031.1"/>
    <n v="43227.99"/>
    <n v="10"/>
    <n v="-4626.2299999999996"/>
    <n v="274.02999999999997"/>
    <s v="UPI"/>
    <s v="Medium"/>
    <n v="-0.10701931780774447"/>
  </r>
  <r>
    <s v="ORD-10398"/>
    <x v="189"/>
    <s v="Meera Das"/>
    <s v="Small Business"/>
    <s v="North"/>
    <s v="Punjab"/>
    <x v="5"/>
    <s v="Kids Wear"/>
    <s v="Winter Jacket Jr"/>
    <n v="3"/>
    <n v="2889.3"/>
    <n v="7801.11"/>
    <n v="10"/>
    <n v="1221.97"/>
    <n v="110.12"/>
    <s v="UPI"/>
    <s v="Medium"/>
    <n v="0.15664052936056536"/>
  </r>
  <r>
    <s v="ORD-10863"/>
    <x v="189"/>
    <s v="Simran Chopra"/>
    <s v="Small Business"/>
    <s v="East"/>
    <s v="West Bengal"/>
    <x v="3"/>
    <s v="Gym Equipment"/>
    <s v="Resistance Bands Set"/>
    <n v="1"/>
    <n v="6704.74"/>
    <n v="4693.32"/>
    <n v="30"/>
    <n v="165.58"/>
    <n v="117.8"/>
    <s v="UPI"/>
    <s v="Medium"/>
    <n v="3.5279929772527766E-2"/>
  </r>
  <r>
    <s v="ORD-10712"/>
    <x v="190"/>
    <s v="Vihaan Iyer"/>
    <s v="Consumer"/>
    <s v="West"/>
    <s v="Rajasthan"/>
    <x v="3"/>
    <s v="Gym Equipment"/>
    <s v="Resistance Bands Set"/>
    <n v="2"/>
    <n v="5407.62"/>
    <n v="9733.7199999999993"/>
    <n v="10"/>
    <n v="1441.1"/>
    <n v="177.54"/>
    <s v="Credit Card"/>
    <s v="Low"/>
    <n v="0.1480523376468606"/>
  </r>
  <r>
    <s v="ORD-10472"/>
    <x v="190"/>
    <s v="Navya Bose"/>
    <s v="Consumer"/>
    <s v="West"/>
    <s v="Maharashtra"/>
    <x v="1"/>
    <s v="Decor"/>
    <s v="Table Lamp"/>
    <n v="3"/>
    <n v="1864.67"/>
    <n v="5594.01"/>
    <n v="0"/>
    <n v="886.2"/>
    <n v="276.38"/>
    <s v="Debit Card"/>
    <s v="Medium"/>
    <n v="0.15841945223551621"/>
  </r>
  <r>
    <s v="ORD-10165"/>
    <x v="190"/>
    <s v="Arjun Patel"/>
    <s v="Consumer"/>
    <s v="South"/>
    <s v="Karnataka"/>
    <x v="1"/>
    <s v="Appliances"/>
    <s v="Air Fryer"/>
    <n v="1"/>
    <n v="6588.15"/>
    <n v="5270.52"/>
    <n v="20"/>
    <n v="364.16"/>
    <n v="78.540000000000006"/>
    <s v="UPI"/>
    <s v="Medium"/>
    <n v="6.9093751660177741E-2"/>
  </r>
  <r>
    <s v="ORD-10444"/>
    <x v="190"/>
    <s v="Aadhya Singh"/>
    <s v="Small Business"/>
    <s v="South"/>
    <s v="Tamil Nadu"/>
    <x v="5"/>
    <s v="Kids Wear"/>
    <s v="School Uniform Set"/>
    <n v="2"/>
    <n v="2498.2399999999998"/>
    <n v="4996.4799999999996"/>
    <n v="0"/>
    <n v="1058.21"/>
    <n v="81.73"/>
    <s v="Credit Card"/>
    <s v="Medium"/>
    <n v="0.21179110093505832"/>
  </r>
  <r>
    <s v="ORD-10664"/>
    <x v="190"/>
    <s v="Navya Patel"/>
    <s v="Consumer"/>
    <s v="West"/>
    <s v="Maharashtra"/>
    <x v="1"/>
    <s v="Appliances"/>
    <s v="Electric Kettle"/>
    <n v="3"/>
    <n v="7844.12"/>
    <n v="16472.650000000001"/>
    <n v="30"/>
    <n v="-134.52000000000001"/>
    <n v="274.87"/>
    <s v="UPI"/>
    <s v="Low"/>
    <n v="-8.1662634730902441E-3"/>
  </r>
  <r>
    <s v="ORD-10369"/>
    <x v="190"/>
    <s v="Aadhya Mehta"/>
    <s v="Corporate"/>
    <s v="West"/>
    <s v="Rajasthan"/>
    <x v="4"/>
    <s v="Skincare"/>
    <s v="Aloe Moisturizer"/>
    <n v="1"/>
    <n v="2322.34"/>
    <n v="2206.2199999999998"/>
    <n v="5"/>
    <n v="823.46"/>
    <n v="274.74"/>
    <s v="UPI"/>
    <s v="High"/>
    <n v="0.37324473533917746"/>
  </r>
  <r>
    <s v="ORD-10568"/>
    <x v="191"/>
    <s v="Navya Rao"/>
    <s v="Consumer"/>
    <s v="North"/>
    <s v="Haryana"/>
    <x v="0"/>
    <s v="Headphones"/>
    <s v="EchoBuds"/>
    <n v="1"/>
    <n v="9738.25"/>
    <n v="8764.43"/>
    <n v="10"/>
    <n v="740.56"/>
    <n v="231.46"/>
    <s v="Cash on Delivery"/>
    <s v="Low"/>
    <n v="8.4496082460582142E-2"/>
  </r>
  <r>
    <s v="ORD-10636"/>
    <x v="191"/>
    <s v="Neha Rao"/>
    <s v="Consumer"/>
    <s v="South"/>
    <s v="Telangana"/>
    <x v="0"/>
    <s v="Mobiles"/>
    <s v="Galaxy Note Lite"/>
    <n v="2"/>
    <n v="57081.34"/>
    <n v="97038.28"/>
    <n v="15"/>
    <n v="6857.61"/>
    <n v="217.51"/>
    <s v="Credit Card"/>
    <s v="Medium"/>
    <n v="7.0669121505451252E-2"/>
  </r>
  <r>
    <s v="ORD-10912"/>
    <x v="192"/>
    <s v="Myra Reddy"/>
    <s v="Consumer"/>
    <s v="North"/>
    <s v="Haryana"/>
    <x v="3"/>
    <s v="Gym Equipment"/>
    <s v="Yoga Mat Pro"/>
    <n v="2"/>
    <n v="13517.24"/>
    <n v="27034.48"/>
    <n v="0"/>
    <n v="5647.54"/>
    <n v="222"/>
    <s v="UPI"/>
    <s v="Medium"/>
    <n v="0.20890137335728301"/>
  </r>
  <r>
    <s v="ORD-10500"/>
    <x v="192"/>
    <s v="Meera Desai"/>
    <s v="Small Business"/>
    <s v="West"/>
    <s v="Maharashtra"/>
    <x v="3"/>
    <s v="Footwear"/>
    <s v="Casual Sneakers"/>
    <n v="3"/>
    <n v="6905.41"/>
    <n v="15537.17"/>
    <n v="25"/>
    <n v="-414.28"/>
    <n v="211.77"/>
    <s v="Cash on Delivery"/>
    <s v="High"/>
    <n v="-2.6663800421827141E-2"/>
  </r>
  <r>
    <s v="ORD-10940"/>
    <x v="193"/>
    <s v="Ishaan Agarwal"/>
    <s v="Consumer"/>
    <s v="South"/>
    <s v="Karnataka"/>
    <x v="3"/>
    <s v="Gym Equipment"/>
    <s v="Treadmill Compact"/>
    <n v="1"/>
    <n v="8265.09"/>
    <n v="8265.09"/>
    <n v="0"/>
    <n v="2077.42"/>
    <n v="55.37"/>
    <s v="UPI"/>
    <s v="Low"/>
    <n v="0.25134874514373107"/>
  </r>
  <r>
    <s v="ORD-10171"/>
    <x v="193"/>
    <s v="Myra Rao"/>
    <s v="Corporate"/>
    <s v="North"/>
    <s v="Delhi"/>
    <x v="3"/>
    <s v="Outdoor Gear"/>
    <s v="Camping Tent"/>
    <n v="1"/>
    <n v="10842.02"/>
    <n v="7589.41"/>
    <n v="30"/>
    <n v="600.30999999999995"/>
    <n v="336.9"/>
    <s v="Cash on Delivery"/>
    <s v="High"/>
    <n v="7.9098375236019661E-2"/>
  </r>
  <r>
    <s v="ORD-10821"/>
    <x v="194"/>
    <s v="Neha Rao"/>
    <s v="Corporate"/>
    <s v="West"/>
    <s v="Maharashtra"/>
    <x v="4"/>
    <s v="Haircare"/>
    <s v="Hair Growth Serum"/>
    <n v="2"/>
    <n v="2235.17"/>
    <n v="4023.31"/>
    <n v="10"/>
    <n v="706.24"/>
    <n v="135.12"/>
    <s v="Net Banking"/>
    <s v="Low"/>
    <n v="0.17553705779569559"/>
  </r>
  <r>
    <s v="ORD-10833"/>
    <x v="195"/>
    <s v="Myra Desai"/>
    <s v="Corporate"/>
    <s v="North"/>
    <s v="Punjab"/>
    <x v="0"/>
    <s v="Cameras"/>
    <s v="ClickShot X1"/>
    <n v="2"/>
    <n v="44721.37"/>
    <n v="89442.74"/>
    <n v="0"/>
    <n v="12413.61"/>
    <n v="231.75"/>
    <s v="UPI"/>
    <s v="Medium"/>
    <n v="0.13878834660029421"/>
  </r>
  <r>
    <s v="ORD-10516"/>
    <x v="195"/>
    <s v="Ira Patel"/>
    <s v="Small Business"/>
    <s v="West"/>
    <s v="Gujarat"/>
    <x v="5"/>
    <s v="Footwear"/>
    <s v="Formal Loafers"/>
    <n v="1"/>
    <n v="3851.54"/>
    <n v="3273.81"/>
    <n v="15"/>
    <n v="182.51"/>
    <n v="251.6"/>
    <s v="Debit Card"/>
    <s v="Medium"/>
    <n v="5.5748500982036216E-2"/>
  </r>
  <r>
    <s v="ORD-10449"/>
    <x v="195"/>
    <s v="Sai Kapoor"/>
    <s v="Consumer"/>
    <s v="North"/>
    <s v="Uttar Pradesh"/>
    <x v="5"/>
    <s v="Women's Wear"/>
    <s v="Ethnic Kurti"/>
    <n v="2"/>
    <n v="3686.9"/>
    <n v="7373.8"/>
    <n v="0"/>
    <n v="1383.6"/>
    <n v="296.61"/>
    <s v="Debit Card"/>
    <s v="Low"/>
    <n v="0.18763731047763701"/>
  </r>
  <r>
    <s v="ORD-10036"/>
    <x v="195"/>
    <s v="Krishna Bose"/>
    <s v="Consumer"/>
    <s v="South"/>
    <s v="Kerala"/>
    <x v="4"/>
    <s v="Fragrances"/>
    <s v="Musk Perfume"/>
    <n v="1"/>
    <n v="1045.9000000000001"/>
    <n v="993.61"/>
    <n v="5"/>
    <n v="190.34"/>
    <n v="232.34"/>
    <s v="Debit Card"/>
    <s v="Medium"/>
    <n v="0.19156409456426565"/>
  </r>
  <r>
    <s v="ORD-10978"/>
    <x v="195"/>
    <s v="Ananya Singh"/>
    <s v="Consumer"/>
    <s v="West"/>
    <s v="Gujarat"/>
    <x v="0"/>
    <s v="Accessories"/>
    <s v="FastCharge Cable"/>
    <n v="1"/>
    <n v="26894.78"/>
    <n v="21515.82"/>
    <n v="20"/>
    <n v="-824.32"/>
    <n v="196.28"/>
    <s v="Credit Card"/>
    <s v="Medium"/>
    <n v="-3.831227441017819E-2"/>
  </r>
  <r>
    <s v="ORD-10907"/>
    <x v="195"/>
    <s v="Rohan Nair"/>
    <s v="Small Business"/>
    <s v="East"/>
    <s v="Bihar"/>
    <x v="1"/>
    <s v="Appliances"/>
    <s v="Microwave Oven"/>
    <n v="2"/>
    <n v="3831.56"/>
    <n v="6896.81"/>
    <n v="10"/>
    <n v="1052.68"/>
    <n v="247.79"/>
    <s v="Debit Card"/>
    <s v="Medium"/>
    <n v="0.152632883898498"/>
  </r>
  <r>
    <s v="ORD-10298"/>
    <x v="196"/>
    <s v="Vivaan Gupta"/>
    <s v="Consumer"/>
    <s v="North"/>
    <s v="Punjab"/>
    <x v="0"/>
    <s v="Cameras"/>
    <s v="ActionCam 4K"/>
    <n v="1"/>
    <n v="18861.61"/>
    <n v="17918.53"/>
    <n v="5"/>
    <n v="1219.8"/>
    <n v="219.55"/>
    <s v="Credit Card"/>
    <s v="High"/>
    <n v="6.8074780687924732E-2"/>
  </r>
  <r>
    <s v="ORD-10432"/>
    <x v="196"/>
    <s v="Ira Kapoor"/>
    <s v="Consumer"/>
    <s v="South"/>
    <s v="Telangana"/>
    <x v="0"/>
    <s v="Cameras"/>
    <s v="PixelPro DSLR"/>
    <n v="2"/>
    <n v="32874.22"/>
    <n v="65748.44"/>
    <n v="0"/>
    <n v="11269.39"/>
    <n v="184.79"/>
    <s v="Net Banking"/>
    <s v="Low"/>
    <n v="0.17140163325548102"/>
  </r>
  <r>
    <s v="ORD-10692"/>
    <x v="196"/>
    <s v="Pooja Singh"/>
    <s v="Consumer"/>
    <s v="West"/>
    <s v="Rajasthan"/>
    <x v="3"/>
    <s v="Apparel"/>
    <s v="Compression Shorts"/>
    <n v="1"/>
    <n v="4288.7"/>
    <n v="4288.7"/>
    <n v="0"/>
    <n v="784.92"/>
    <n v="147.9"/>
    <s v="Credit Card"/>
    <s v="Medium"/>
    <n v="0.18302049572131415"/>
  </r>
  <r>
    <s v="ORD-10672"/>
    <x v="196"/>
    <s v="Meera Sharma"/>
    <s v="Corporate"/>
    <s v="North"/>
    <s v="Uttar Pradesh"/>
    <x v="0"/>
    <s v="Accessories"/>
    <s v="PowerBank 20K"/>
    <n v="2"/>
    <n v="12180.66"/>
    <n v="20707.12"/>
    <n v="15"/>
    <n v="713.63"/>
    <n v="341.17"/>
    <s v="Credit Card"/>
    <s v="High"/>
    <n v="3.4463025278261776E-2"/>
  </r>
  <r>
    <s v="ORD-10161"/>
    <x v="197"/>
    <s v="Ayaan Khan"/>
    <s v="Consumer"/>
    <s v="West"/>
    <s v="Rajasthan"/>
    <x v="4"/>
    <s v="Haircare"/>
    <s v="Hair Mask Deep Repair"/>
    <n v="2"/>
    <n v="1239.48"/>
    <n v="1859.22"/>
    <n v="25"/>
    <n v="293.06"/>
    <n v="244.71"/>
    <s v="Net Banking"/>
    <s v="Low"/>
    <n v="0.15762524069233333"/>
  </r>
  <r>
    <s v="ORD-10781"/>
    <x v="197"/>
    <s v="Vihaan Mehta"/>
    <s v="Corporate"/>
    <s v="East"/>
    <s v="Bihar"/>
    <x v="0"/>
    <s v="Headphones"/>
    <s v="StudioMax"/>
    <n v="2"/>
    <n v="1755.45"/>
    <n v="2808.72"/>
    <n v="20"/>
    <n v="-113.95"/>
    <n v="246.79"/>
    <s v="Credit Card"/>
    <s v="Medium"/>
    <n v="-4.0570081745421406E-2"/>
  </r>
  <r>
    <s v="ORD-10896"/>
    <x v="197"/>
    <s v="Simran Bose"/>
    <s v="Consumer"/>
    <s v="South"/>
    <s v="Telangana"/>
    <x v="2"/>
    <s v="Comics"/>
    <s v="Graphic Tales"/>
    <n v="3"/>
    <n v="247.94"/>
    <n v="706.63"/>
    <n v="5"/>
    <n v="114.13"/>
    <n v="368.42"/>
    <s v="Credit Card"/>
    <s v="High"/>
    <n v="0.16151309737769412"/>
  </r>
  <r>
    <s v="ORD-10014"/>
    <x v="197"/>
    <s v="Navya Iyer"/>
    <s v="Corporate"/>
    <s v="North"/>
    <s v="Punjab"/>
    <x v="1"/>
    <s v="Appliances"/>
    <s v="Electric Kettle"/>
    <n v="4"/>
    <n v="10196.59"/>
    <n v="36707.72"/>
    <n v="10"/>
    <n v="1034.0899999999999"/>
    <n v="314.14"/>
    <s v="Credit Card"/>
    <s v="Medium"/>
    <n v="2.8170913366452614E-2"/>
  </r>
  <r>
    <s v="ORD-10889"/>
    <x v="198"/>
    <s v="Reyansh Sharma"/>
    <s v="Corporate"/>
    <s v="South"/>
    <s v="Kerala"/>
    <x v="1"/>
    <s v="Cookware"/>
    <s v="Cookware Combo"/>
    <n v="2"/>
    <n v="1342.26"/>
    <n v="2550.29"/>
    <n v="5"/>
    <n v="459.72"/>
    <n v="229.9"/>
    <s v="UPI"/>
    <s v="High"/>
    <n v="0.18026185257362889"/>
  </r>
  <r>
    <s v="ORD-10493"/>
    <x v="199"/>
    <s v="Neha Mehta"/>
    <s v="Consumer"/>
    <s v="West"/>
    <s v="Gujarat"/>
    <x v="2"/>
    <s v="Comics"/>
    <s v="Graphic Tales"/>
    <n v="1"/>
    <n v="879.17"/>
    <n v="879.17"/>
    <n v="0"/>
    <n v="82.62"/>
    <n v="139.06"/>
    <s v="Net Banking"/>
    <s v="Low"/>
    <n v="9.3974999146922672E-2"/>
  </r>
  <r>
    <s v="ORD-10507"/>
    <x v="199"/>
    <s v="Kabir Singh"/>
    <s v="Small Business"/>
    <s v="North"/>
    <s v="Haryana"/>
    <x v="4"/>
    <s v="Fragrances"/>
    <s v="Woody Cologne"/>
    <n v="3"/>
    <n v="1852.39"/>
    <n v="4167.88"/>
    <n v="25"/>
    <n v="710.77"/>
    <n v="72.98"/>
    <s v="Debit Card"/>
    <s v="High"/>
    <n v="0.1705351401671833"/>
  </r>
  <r>
    <s v="ORD-10100"/>
    <x v="199"/>
    <s v="Vivaan Bose"/>
    <s v="Consumer"/>
    <s v="South"/>
    <s v="Kerala"/>
    <x v="4"/>
    <s v="Fragrances"/>
    <s v="Musk Perfume"/>
    <n v="4"/>
    <n v="1932.77"/>
    <n v="7344.53"/>
    <n v="5"/>
    <n v="1660.83"/>
    <n v="195.4"/>
    <s v="UPI"/>
    <s v="Medium"/>
    <n v="0.22613155641000854"/>
  </r>
  <r>
    <s v="ORD-10173"/>
    <x v="200"/>
    <s v="Riya Kapoor"/>
    <s v="Corporate"/>
    <s v="West"/>
    <s v="Maharashtra"/>
    <x v="1"/>
    <s v="Furniture"/>
    <s v="Study Table"/>
    <n v="2"/>
    <n v="7533.42"/>
    <n v="14313.5"/>
    <n v="5"/>
    <n v="1954.63"/>
    <n v="277.35000000000002"/>
    <s v="UPI"/>
    <s v="High"/>
    <n v="0.13655849372969575"/>
  </r>
  <r>
    <s v="ORD-10403"/>
    <x v="200"/>
    <s v="Reyansh Verma"/>
    <s v="Consumer"/>
    <s v="East"/>
    <s v="West Bengal"/>
    <x v="0"/>
    <s v="Accessories"/>
    <s v="PowerBank 20K"/>
    <n v="2"/>
    <n v="47677.71"/>
    <n v="85819.88"/>
    <n v="10"/>
    <n v="6277.21"/>
    <n v="101.78"/>
    <s v="Credit Card"/>
    <s v="Critical"/>
    <n v="7.314400812492397E-2"/>
  </r>
  <r>
    <s v="ORD-10430"/>
    <x v="200"/>
    <s v="Kabir Mishra"/>
    <s v="Small Business"/>
    <s v="North"/>
    <s v="Delhi"/>
    <x v="4"/>
    <s v="Haircare"/>
    <s v="Hair Mask Deep Repair"/>
    <n v="1"/>
    <n v="718.75"/>
    <n v="718.75"/>
    <n v="0"/>
    <n v="195.95"/>
    <n v="150.61000000000001"/>
    <s v="Credit Card"/>
    <s v="Low"/>
    <n v="0.27262608695652174"/>
  </r>
  <r>
    <s v="ORD-10984"/>
    <x v="201"/>
    <s v="Sai Kapoor"/>
    <s v="Small Business"/>
    <s v="North"/>
    <s v="Haryana"/>
    <x v="0"/>
    <s v="Laptops"/>
    <s v="GameForce X"/>
    <n v="1"/>
    <n v="2807.7"/>
    <n v="2246.16"/>
    <n v="20"/>
    <n v="-125.14"/>
    <n v="143.55000000000001"/>
    <s v="Credit Card"/>
    <s v="Low"/>
    <n v="-5.571286106065463E-2"/>
  </r>
  <r>
    <s v="ORD-10898"/>
    <x v="201"/>
    <s v="Diya Sharma"/>
    <s v="Corporate"/>
    <s v="South"/>
    <s v="Tamil Nadu"/>
    <x v="4"/>
    <s v="Fragrances"/>
    <s v="Citrus Eau de Toilette"/>
    <n v="4"/>
    <n v="337.87"/>
    <n v="1148.76"/>
    <n v="15"/>
    <n v="215.08"/>
    <n v="116.91"/>
    <s v="UPI"/>
    <s v="High"/>
    <n v="0.18722796754761659"/>
  </r>
  <r>
    <s v="ORD-10304"/>
    <x v="201"/>
    <s v="Riya Mishra"/>
    <s v="Consumer"/>
    <s v="West"/>
    <s v="Gujarat"/>
    <x v="1"/>
    <s v="Decor"/>
    <s v="LED Fairy Lights"/>
    <n v="1"/>
    <n v="3122.22"/>
    <n v="2966.11"/>
    <n v="5"/>
    <n v="672.95"/>
    <n v="312.79000000000002"/>
    <s v="Credit Card"/>
    <s v="Low"/>
    <n v="0.22687965045126446"/>
  </r>
  <r>
    <s v="ORD-10701"/>
    <x v="201"/>
    <s v="Vihaan Joshi"/>
    <s v="Small Business"/>
    <s v="North"/>
    <s v="Delhi"/>
    <x v="0"/>
    <s v="Accessories"/>
    <s v="Screen Guard"/>
    <n v="1"/>
    <n v="44911.57"/>
    <n v="44911.57"/>
    <n v="0"/>
    <n v="3747.18"/>
    <n v="129.13999999999999"/>
    <s v="Credit Card"/>
    <s v="Low"/>
    <n v="8.343462497525693E-2"/>
  </r>
  <r>
    <s v="ORD-10543"/>
    <x v="202"/>
    <s v="Ira Das"/>
    <s v="Consumer"/>
    <s v="West"/>
    <s v="Maharashtra"/>
    <x v="5"/>
    <s v="Women's Wear"/>
    <s v="Silk Saree"/>
    <n v="1"/>
    <n v="693.42"/>
    <n v="485.39"/>
    <n v="30"/>
    <n v="18.149999999999999"/>
    <n v="126.78"/>
    <s v="Debit Card"/>
    <s v="Low"/>
    <n v="3.7392612126331402E-2"/>
  </r>
  <r>
    <s v="ORD-10320"/>
    <x v="202"/>
    <s v="Aadhya Mishra"/>
    <s v="Consumer"/>
    <s v="East"/>
    <s v="Odisha"/>
    <x v="1"/>
    <s v="Cookware"/>
    <s v="Pressure Cooker"/>
    <n v="3"/>
    <n v="7954.3"/>
    <n v="22669.759999999998"/>
    <n v="5"/>
    <n v="3560.33"/>
    <n v="94.11"/>
    <s v="Debit Card"/>
    <s v="Low"/>
    <n v="0.15705194938102565"/>
  </r>
  <r>
    <s v="ORD-10756"/>
    <x v="202"/>
    <s v="Ira Reddy"/>
    <s v="Consumer"/>
    <s v="West"/>
    <s v="Gujarat"/>
    <x v="3"/>
    <s v="Gym Equipment"/>
    <s v="Resistance Bands Set"/>
    <n v="1"/>
    <n v="4923.68"/>
    <n v="4923.68"/>
    <n v="0"/>
    <n v="837.62"/>
    <n v="35.04"/>
    <s v="Credit Card"/>
    <s v="Low"/>
    <n v="0.17012072271146783"/>
  </r>
  <r>
    <s v="ORD-10929"/>
    <x v="203"/>
    <s v="Aarav Desai"/>
    <s v="Corporate"/>
    <s v="South"/>
    <s v="Tamil Nadu"/>
    <x v="1"/>
    <s v="Furniture"/>
    <s v="Wooden Chair"/>
    <n v="3"/>
    <n v="8242.82"/>
    <n v="21019.19"/>
    <n v="15"/>
    <n v="863.41"/>
    <n v="236.15"/>
    <s v="UPI"/>
    <s v="Critical"/>
    <n v="4.1077225145212545E-2"/>
  </r>
  <r>
    <s v="ORD-10064"/>
    <x v="203"/>
    <s v="Navya Desai"/>
    <s v="Consumer"/>
    <s v="West"/>
    <s v="Rajasthan"/>
    <x v="2"/>
    <s v="Academic"/>
    <s v="Calculus Made Easy"/>
    <n v="4"/>
    <n v="189.22"/>
    <n v="605.5"/>
    <n v="20"/>
    <n v="28.98"/>
    <n v="338.23"/>
    <s v="Cash on Delivery"/>
    <s v="Low"/>
    <n v="4.7861271676300582E-2"/>
  </r>
  <r>
    <s v="ORD-10533"/>
    <x v="203"/>
    <s v="Priya Nair"/>
    <s v="Small Business"/>
    <s v="North"/>
    <s v="Delhi"/>
    <x v="3"/>
    <s v="Footwear"/>
    <s v="Formal Loafers"/>
    <n v="1"/>
    <n v="8147.57"/>
    <n v="7740.19"/>
    <n v="5"/>
    <n v="1116.04"/>
    <n v="298.33999999999997"/>
    <s v="UPI"/>
    <s v="Low"/>
    <n v="0.14418767497955476"/>
  </r>
  <r>
    <s v="ORD-10721"/>
    <x v="203"/>
    <s v="Priya Sharma"/>
    <s v="Consumer"/>
    <s v="North"/>
    <s v="Punjab"/>
    <x v="4"/>
    <s v="Fragrances"/>
    <s v="Citrus Eau de Toilette"/>
    <n v="3"/>
    <n v="1761.46"/>
    <n v="4755.9399999999996"/>
    <n v="10"/>
    <n v="1174.08"/>
    <n v="334.34"/>
    <s v="Cash on Delivery"/>
    <s v="High"/>
    <n v="0.24686602438214109"/>
  </r>
  <r>
    <s v="ORD-10640"/>
    <x v="204"/>
    <s v="Kabir Chopra"/>
    <s v="Small Business"/>
    <s v="East"/>
    <s v="Bihar"/>
    <x v="2"/>
    <s v="Academic"/>
    <s v="Calculus Made Easy"/>
    <n v="3"/>
    <n v="1090.8399999999999"/>
    <n v="2454.39"/>
    <n v="25"/>
    <n v="-140.97999999999999"/>
    <n v="321.77"/>
    <s v="UPI"/>
    <s v="Medium"/>
    <n v="-5.7439934158793018E-2"/>
  </r>
  <r>
    <s v="ORD-10937"/>
    <x v="204"/>
    <s v="Vivaan Desai"/>
    <s v="Consumer"/>
    <s v="West"/>
    <s v="Maharashtra"/>
    <x v="3"/>
    <s v="Outdoor Gear"/>
    <s v="Trekking Pole"/>
    <n v="2"/>
    <n v="6231.42"/>
    <n v="11216.56"/>
    <n v="10"/>
    <n v="1102.94"/>
    <n v="170.36"/>
    <s v="Credit Card"/>
    <s v="Low"/>
    <n v="9.8331395722039569E-2"/>
  </r>
  <r>
    <s v="ORD-10263"/>
    <x v="204"/>
    <s v="Myra Chopra"/>
    <s v="Corporate"/>
    <s v="West"/>
    <s v="Maharashtra"/>
    <x v="1"/>
    <s v="Furniture"/>
    <s v="Wooden Chair"/>
    <n v="1"/>
    <n v="11885.72"/>
    <n v="10697.15"/>
    <n v="10"/>
    <n v="969.94"/>
    <n v="237.22"/>
    <s v="Credit Card"/>
    <s v="Low"/>
    <n v="9.0672749283687723E-2"/>
  </r>
  <r>
    <s v="ORD-10470"/>
    <x v="205"/>
    <s v="Arjun Patel"/>
    <s v="Consumer"/>
    <s v="West"/>
    <s v="Rajasthan"/>
    <x v="2"/>
    <s v="Non-Fiction"/>
    <s v="Mind Over Matter"/>
    <n v="5"/>
    <n v="622.87"/>
    <n v="2802.91"/>
    <n v="10"/>
    <n v="187.92"/>
    <n v="329.62"/>
    <s v="Debit Card"/>
    <s v="Critical"/>
    <n v="6.7044607211790605E-2"/>
  </r>
  <r>
    <s v="ORD-10455"/>
    <x v="205"/>
    <s v="Ishaan Rao"/>
    <s v="Corporate"/>
    <s v="North"/>
    <s v="Uttar Pradesh"/>
    <x v="3"/>
    <s v="Apparel"/>
    <s v="Sports T-Shirt"/>
    <n v="2"/>
    <n v="3215.68"/>
    <n v="5788.22"/>
    <n v="10"/>
    <n v="1178.0899999999999"/>
    <n v="133.46"/>
    <s v="UPI"/>
    <s v="Low"/>
    <n v="0.20353234673181045"/>
  </r>
  <r>
    <s v="ORD-10596"/>
    <x v="205"/>
    <s v="Myra Joshi"/>
    <s v="Consumer"/>
    <s v="North"/>
    <s v="Punjab"/>
    <x v="4"/>
    <s v="Fragrances"/>
    <s v="Floral Mist"/>
    <n v="1"/>
    <n v="254.27"/>
    <n v="241.56"/>
    <n v="5"/>
    <n v="84.44"/>
    <n v="317.54000000000002"/>
    <s v="UPI"/>
    <s v="High"/>
    <n v="0.34956118562675936"/>
  </r>
  <r>
    <s v="ORD-10315"/>
    <x v="206"/>
    <s v="Ira Iyer"/>
    <s v="Corporate"/>
    <s v="West"/>
    <s v="Gujarat"/>
    <x v="5"/>
    <s v="Women's Wear"/>
    <s v="Ethnic Kurti"/>
    <n v="3"/>
    <n v="3259.66"/>
    <n v="9778.98"/>
    <n v="0"/>
    <n v="2450.9899999999998"/>
    <n v="370.37"/>
    <s v="UPI"/>
    <s v="Low"/>
    <n v="0.25063861466124276"/>
  </r>
  <r>
    <s v="ORD-10384"/>
    <x v="206"/>
    <s v="Dhruv Chopra"/>
    <s v="Small Business"/>
    <s v="South"/>
    <s v="Karnataka"/>
    <x v="5"/>
    <s v="Footwear"/>
    <s v="Sandals"/>
    <n v="4"/>
    <n v="1417.28"/>
    <n v="5385.66"/>
    <n v="5"/>
    <n v="818.02"/>
    <n v="122.76"/>
    <s v="Net Banking"/>
    <s v="Medium"/>
    <n v="0.15188853362447685"/>
  </r>
  <r>
    <s v="ORD-10643"/>
    <x v="207"/>
    <s v="Saanvi Agarwal"/>
    <s v="Corporate"/>
    <s v="East"/>
    <s v="Bihar"/>
    <x v="2"/>
    <s v="Non-Fiction"/>
    <s v="Modern Economics"/>
    <n v="1"/>
    <n v="770.17"/>
    <n v="577.63"/>
    <n v="25"/>
    <n v="-17.28"/>
    <n v="204.24"/>
    <s v="Cash on Delivery"/>
    <s v="Medium"/>
    <n v="-2.9915343732146878E-2"/>
  </r>
  <r>
    <s v="ORD-10979"/>
    <x v="207"/>
    <s v="Kabir Chopra"/>
    <s v="Small Business"/>
    <s v="West"/>
    <s v="Rajasthan"/>
    <x v="3"/>
    <s v="Gym Equipment"/>
    <s v="Adjustable Dumbbells"/>
    <n v="2"/>
    <n v="1216.94"/>
    <n v="2068.8000000000002"/>
    <n v="15"/>
    <n v="360.18"/>
    <n v="363.11"/>
    <s v="UPI"/>
    <s v="High"/>
    <n v="0.17410092807424593"/>
  </r>
  <r>
    <s v="ORD-10241"/>
    <x v="207"/>
    <s v="Vihaan Verma"/>
    <s v="Consumer"/>
    <s v="East"/>
    <s v="Bihar"/>
    <x v="1"/>
    <s v="Decor"/>
    <s v="LED Fairy Lights"/>
    <n v="2"/>
    <n v="7449.75"/>
    <n v="13409.55"/>
    <n v="10"/>
    <n v="556.52"/>
    <n v="101.49"/>
    <s v="Credit Card"/>
    <s v="Low"/>
    <n v="4.1501765532773287E-2"/>
  </r>
  <r>
    <s v="ORD-10514"/>
    <x v="208"/>
    <s v="Dhruv Nair"/>
    <s v="Consumer"/>
    <s v="South"/>
    <s v="Karnataka"/>
    <x v="2"/>
    <s v="Non-Fiction"/>
    <s v="History Untold"/>
    <n v="2"/>
    <n v="756.06"/>
    <n v="1360.91"/>
    <n v="10"/>
    <n v="108.32"/>
    <n v="59"/>
    <s v="Credit Card"/>
    <s v="Critical"/>
    <n v="7.9593801206545606E-2"/>
  </r>
  <r>
    <s v="ORD-10363"/>
    <x v="208"/>
    <s v="Ira Singh"/>
    <s v="Corporate"/>
    <s v="East"/>
    <s v="Odisha"/>
    <x v="3"/>
    <s v="Footwear"/>
    <s v="Casual Sneakers"/>
    <n v="1"/>
    <n v="2719.85"/>
    <n v="2311.87"/>
    <n v="15"/>
    <n v="296.52999999999997"/>
    <n v="211.3"/>
    <s v="Cash on Delivery"/>
    <s v="Low"/>
    <n v="0.12826413249879967"/>
  </r>
  <r>
    <s v="ORD-10615"/>
    <x v="208"/>
    <s v="Simran Nair"/>
    <s v="Consumer"/>
    <s v="South"/>
    <s v="Telangana"/>
    <x v="5"/>
    <s v="Footwear"/>
    <s v="Casual Sneakers"/>
    <n v="1"/>
    <n v="1198.6199999999999"/>
    <n v="1198.6199999999999"/>
    <n v="0"/>
    <n v="295.77"/>
    <n v="143.61000000000001"/>
    <s v="Debit Card"/>
    <s v="Medium"/>
    <n v="0.24675877258847675"/>
  </r>
  <r>
    <s v="ORD-10704"/>
    <x v="208"/>
    <s v="Krishna Das"/>
    <s v="Corporate"/>
    <s v="East"/>
    <s v="Bihar"/>
    <x v="1"/>
    <s v="Decor"/>
    <s v="Wall Art Frame"/>
    <n v="4"/>
    <n v="2906.3"/>
    <n v="9300.16"/>
    <n v="20"/>
    <n v="340.94"/>
    <n v="333.98"/>
    <s v="UPI"/>
    <s v="Low"/>
    <n v="3.6659584351236965E-2"/>
  </r>
  <r>
    <s v="ORD-10215"/>
    <x v="209"/>
    <s v="Sai Khan"/>
    <s v="Corporate"/>
    <s v="East"/>
    <s v="West Bengal"/>
    <x v="2"/>
    <s v="Non-Fiction"/>
    <s v="History Untold"/>
    <n v="4"/>
    <n v="375.69"/>
    <n v="1277.3499999999999"/>
    <n v="15"/>
    <n v="39.880000000000003"/>
    <n v="233.84"/>
    <s v="Credit Card"/>
    <s v="High"/>
    <n v="3.1220886992601875E-2"/>
  </r>
  <r>
    <s v="ORD-10337"/>
    <x v="209"/>
    <s v="Diya Desai"/>
    <s v="Corporate"/>
    <s v="West"/>
    <s v="Rajasthan"/>
    <x v="1"/>
    <s v="Decor"/>
    <s v="Ceramic Vase"/>
    <n v="3"/>
    <n v="9603.52"/>
    <n v="27370.03"/>
    <n v="5"/>
    <n v="2979.75"/>
    <n v="321.04000000000002"/>
    <s v="Debit Card"/>
    <s v="Medium"/>
    <n v="0.10886908052347768"/>
  </r>
  <r>
    <s v="ORD-10307"/>
    <x v="210"/>
    <s v="Diya Kapoor"/>
    <s v="Consumer"/>
    <s v="North"/>
    <s v="Haryana"/>
    <x v="4"/>
    <s v="Fragrances"/>
    <s v="Musk Perfume"/>
    <n v="3"/>
    <n v="584.20000000000005"/>
    <n v="1489.71"/>
    <n v="15"/>
    <n v="346.14"/>
    <n v="211.88"/>
    <s v="Debit Card"/>
    <s v="Medium"/>
    <n v="0.23235394808385523"/>
  </r>
  <r>
    <s v="ORD-10433"/>
    <x v="210"/>
    <s v="Aditya Gupta"/>
    <s v="Corporate"/>
    <s v="West"/>
    <s v="Rajasthan"/>
    <x v="1"/>
    <s v="Cookware"/>
    <s v="Non-Stick Pan Set"/>
    <n v="1"/>
    <n v="481.54"/>
    <n v="457.46"/>
    <n v="5"/>
    <n v="62.35"/>
    <n v="325.24"/>
    <s v="Cash on Delivery"/>
    <s v="Low"/>
    <n v="0.13629606960171381"/>
  </r>
  <r>
    <s v="ORD-10658"/>
    <x v="210"/>
    <s v="Saanvi Das"/>
    <s v="Small Business"/>
    <s v="West"/>
    <s v="Gujarat"/>
    <x v="3"/>
    <s v="Gym Equipment"/>
    <s v="Yoga Mat Pro"/>
    <n v="2"/>
    <n v="12021.38"/>
    <n v="22840.62"/>
    <n v="5"/>
    <n v="5041.97"/>
    <n v="125.15"/>
    <s v="Credit Card"/>
    <s v="Low"/>
    <n v="0.22074575909060265"/>
  </r>
  <r>
    <s v="ORD-10983"/>
    <x v="210"/>
    <s v="Dhruv Patel"/>
    <s v="Consumer"/>
    <s v="South"/>
    <s v="Tamil Nadu"/>
    <x v="3"/>
    <s v="Apparel"/>
    <s v="Sports T-Shirt"/>
    <n v="2"/>
    <n v="3262.63"/>
    <n v="5872.73"/>
    <n v="10"/>
    <n v="509.95"/>
    <n v="67.13"/>
    <s v="Credit Card"/>
    <s v="Medium"/>
    <n v="8.6833551006090873E-2"/>
  </r>
  <r>
    <s v="ORD-10649"/>
    <x v="210"/>
    <s v="Neha Malhotra"/>
    <s v="Corporate"/>
    <s v="North"/>
    <s v="Punjab"/>
    <x v="2"/>
    <s v="Comics"/>
    <s v="Graphic Tales"/>
    <n v="4"/>
    <n v="437.78"/>
    <n v="1751.12"/>
    <n v="0"/>
    <n v="215.74"/>
    <n v="185.51"/>
    <s v="UPI"/>
    <s v="Medium"/>
    <n v="0.12320115126319157"/>
  </r>
  <r>
    <s v="ORD-10736"/>
    <x v="211"/>
    <s v="Myra Agarwal"/>
    <s v="Small Business"/>
    <s v="North"/>
    <s v="Delhi"/>
    <x v="4"/>
    <s v="Fragrances"/>
    <s v="Citrus Eau de Toilette"/>
    <n v="1"/>
    <n v="1998.51"/>
    <n v="1898.58"/>
    <n v="5"/>
    <n v="419.68"/>
    <n v="270.56"/>
    <s v="UPI"/>
    <s v="Low"/>
    <n v="0.22104941587923607"/>
  </r>
  <r>
    <s v="ORD-10905"/>
    <x v="211"/>
    <s v="Ishaan Nair"/>
    <s v="Corporate"/>
    <s v="South"/>
    <s v="Kerala"/>
    <x v="4"/>
    <s v="Makeup"/>
    <s v="Eyeliner Pro"/>
    <n v="1"/>
    <n v="1135.1600000000001"/>
    <n v="964.89"/>
    <n v="15"/>
    <n v="204.62"/>
    <n v="123.87"/>
    <s v="UPI"/>
    <s v="Low"/>
    <n v="0.21206562406077378"/>
  </r>
  <r>
    <s v="ORD-10677"/>
    <x v="212"/>
    <s v="Aadhya Nair"/>
    <s v="Consumer"/>
    <s v="West"/>
    <s v="Gujarat"/>
    <x v="1"/>
    <s v="Decor"/>
    <s v="Ceramic Vase"/>
    <n v="1"/>
    <n v="8943.81"/>
    <n v="6260.67"/>
    <n v="30"/>
    <n v="-67.27"/>
    <n v="218.03"/>
    <s v="UPI"/>
    <s v="Medium"/>
    <n v="-1.0744856381186038E-2"/>
  </r>
  <r>
    <s v="ORD-10654"/>
    <x v="212"/>
    <s v="Karan Iyer"/>
    <s v="Consumer"/>
    <s v="South"/>
    <s v="Tamil Nadu"/>
    <x v="2"/>
    <s v="Comics"/>
    <s v="Graphic Tales"/>
    <n v="3"/>
    <n v="676.14"/>
    <n v="2028.42"/>
    <n v="0"/>
    <n v="350.39"/>
    <n v="285.98"/>
    <s v="UPI"/>
    <s v="Medium"/>
    <n v="0.172740359491624"/>
  </r>
  <r>
    <s v="ORD-10249"/>
    <x v="213"/>
    <s v="Vivaan Kapoor"/>
    <s v="Small Business"/>
    <s v="South"/>
    <s v="Kerala"/>
    <x v="2"/>
    <s v="Non-Fiction"/>
    <s v="Modern Economics"/>
    <n v="1"/>
    <n v="264.94"/>
    <n v="264.94"/>
    <n v="0"/>
    <n v="51.76"/>
    <n v="212.82"/>
    <s v="UPI"/>
    <s v="Critical"/>
    <n v="0.19536498829923757"/>
  </r>
  <r>
    <s v="ORD-10855"/>
    <x v="214"/>
    <s v="Sai Sharma"/>
    <s v="Corporate"/>
    <s v="East"/>
    <s v="Bihar"/>
    <x v="4"/>
    <s v="Fragrances"/>
    <s v="Musk Perfume"/>
    <n v="5"/>
    <n v="1207.81"/>
    <n v="6039.05"/>
    <n v="0"/>
    <n v="2172.86"/>
    <n v="260.13"/>
    <s v="Net Banking"/>
    <s v="Low"/>
    <n v="0.35980162442768315"/>
  </r>
  <r>
    <s v="ORD-10909"/>
    <x v="214"/>
    <s v="Rohan Reddy"/>
    <s v="Small Business"/>
    <s v="South"/>
    <s v="Tamil Nadu"/>
    <x v="1"/>
    <s v="Cookware"/>
    <s v="Cookware Combo"/>
    <n v="2"/>
    <n v="4375.68"/>
    <n v="8313.7900000000009"/>
    <n v="5"/>
    <n v="931.07"/>
    <n v="173.65"/>
    <s v="Cash on Delivery"/>
    <s v="High"/>
    <n v="0.11199104139026846"/>
  </r>
  <r>
    <s v="ORD-10926"/>
    <x v="214"/>
    <s v="Neha Gupta"/>
    <s v="Corporate"/>
    <s v="South"/>
    <s v="Karnataka"/>
    <x v="4"/>
    <s v="Fragrances"/>
    <s v="Musk Perfume"/>
    <n v="1"/>
    <n v="2492.1"/>
    <n v="2367.4899999999998"/>
    <n v="5"/>
    <n v="753.59"/>
    <n v="254.14"/>
    <s v="UPI"/>
    <s v="High"/>
    <n v="0.31830757468880549"/>
  </r>
  <r>
    <s v="ORD-10735"/>
    <x v="214"/>
    <s v="Rohan Mehta"/>
    <s v="Corporate"/>
    <s v="South"/>
    <s v="Telangana"/>
    <x v="2"/>
    <s v="Academic"/>
    <s v="Physics Fundamentals"/>
    <n v="4"/>
    <n v="258.86"/>
    <n v="776.58"/>
    <n v="25"/>
    <n v="4.04"/>
    <n v="211.34"/>
    <s v="Credit Card"/>
    <s v="Low"/>
    <n v="5.2022972520538767E-3"/>
  </r>
  <r>
    <s v="ORD-10188"/>
    <x v="215"/>
    <s v="Ananya Desai"/>
    <s v="Consumer"/>
    <s v="South"/>
    <s v="Tamil Nadu"/>
    <x v="4"/>
    <s v="Haircare"/>
    <s v="Hair Growth Serum"/>
    <n v="2"/>
    <n v="671.82"/>
    <n v="1142.0899999999999"/>
    <n v="15"/>
    <n v="124.95"/>
    <n v="106.02"/>
    <s v="UPI"/>
    <s v="Low"/>
    <n v="0.1094046878967507"/>
  </r>
  <r>
    <s v="ORD-10156"/>
    <x v="215"/>
    <s v="Arjun Khan"/>
    <s v="Consumer"/>
    <s v="West"/>
    <s v="Maharashtra"/>
    <x v="5"/>
    <s v="Footwear"/>
    <s v="Casual Sneakers"/>
    <n v="3"/>
    <n v="3433.09"/>
    <n v="8754.3799999999992"/>
    <n v="15"/>
    <n v="1470.85"/>
    <n v="190.73"/>
    <s v="Credit Card"/>
    <s v="Medium"/>
    <n v="0.16801304032952649"/>
  </r>
  <r>
    <s v="ORD-10030"/>
    <x v="215"/>
    <s v="Ira Chopra"/>
    <s v="Corporate"/>
    <s v="South"/>
    <s v="Kerala"/>
    <x v="2"/>
    <s v="Fiction"/>
    <s v="Beyond the Horizon"/>
    <n v="1"/>
    <n v="383.21"/>
    <n v="287.41000000000003"/>
    <n v="25"/>
    <n v="-7.28"/>
    <n v="68.36"/>
    <s v="UPI"/>
    <s v="Medium"/>
    <n v="-2.5329668417939526E-2"/>
  </r>
  <r>
    <s v="ORD-10669"/>
    <x v="215"/>
    <s v="Kabir Agarwal"/>
    <s v="Consumer"/>
    <s v="East"/>
    <s v="West Bengal"/>
    <x v="3"/>
    <s v="Apparel"/>
    <s v="Track Pants"/>
    <n v="2"/>
    <n v="8488.01"/>
    <n v="16127.22"/>
    <n v="5"/>
    <n v="3016.7"/>
    <n v="110.42"/>
    <s v="Debit Card"/>
    <s v="Medium"/>
    <n v="0.18705641765908818"/>
  </r>
  <r>
    <s v="ORD-10221"/>
    <x v="215"/>
    <s v="Anika Iyer"/>
    <s v="Corporate"/>
    <s v="East"/>
    <s v="Odisha"/>
    <x v="3"/>
    <s v="Gym Equipment"/>
    <s v="Adjustable Dumbbells"/>
    <n v="1"/>
    <n v="14387.2"/>
    <n v="12948.48"/>
    <n v="10"/>
    <n v="2260.56"/>
    <n v="272.89"/>
    <s v="Credit Card"/>
    <s v="Medium"/>
    <n v="0.17458110913404506"/>
  </r>
  <r>
    <s v="ORD-10502"/>
    <x v="215"/>
    <s v="Saanvi Singh"/>
    <s v="Consumer"/>
    <s v="East"/>
    <s v="Bihar"/>
    <x v="5"/>
    <s v="Kids Wear"/>
    <s v="Denim Overalls"/>
    <n v="1"/>
    <n v="1966.55"/>
    <n v="1966.55"/>
    <n v="0"/>
    <n v="358.68"/>
    <n v="44.2"/>
    <s v="Net Banking"/>
    <s v="Medium"/>
    <n v="0.18239048079123338"/>
  </r>
  <r>
    <s v="ORD-10158"/>
    <x v="216"/>
    <s v="Simran Mishra"/>
    <s v="Consumer"/>
    <s v="South"/>
    <s v="Karnataka"/>
    <x v="5"/>
    <s v="Kids Wear"/>
    <s v="Denim Overalls"/>
    <n v="2"/>
    <n v="2712.79"/>
    <n v="4611.74"/>
    <n v="15"/>
    <n v="313.17"/>
    <n v="314.39"/>
    <s v="Debit Card"/>
    <s v="Low"/>
    <n v="6.7907123992245882E-2"/>
  </r>
  <r>
    <s v="ORD-10347"/>
    <x v="216"/>
    <s v="Reyansh Gupta"/>
    <s v="Consumer"/>
    <s v="East"/>
    <s v="Odisha"/>
    <x v="3"/>
    <s v="Apparel"/>
    <s v="Sports Jacket"/>
    <n v="1"/>
    <n v="2348.84"/>
    <n v="2113.96"/>
    <n v="10"/>
    <n v="211.01"/>
    <n v="167.02"/>
    <s v="UPI"/>
    <s v="Low"/>
    <n v="9.9817404302825027E-2"/>
  </r>
  <r>
    <s v="ORD-10278"/>
    <x v="216"/>
    <s v="Pooja Nair"/>
    <s v="Consumer"/>
    <s v="North"/>
    <s v="Punjab"/>
    <x v="4"/>
    <s v="Fragrances"/>
    <s v="Woody Cologne"/>
    <n v="2"/>
    <n v="1109.75"/>
    <n v="2219.5"/>
    <n v="0"/>
    <n v="616.92999999999995"/>
    <n v="356.9"/>
    <s v="Cash on Delivery"/>
    <s v="Low"/>
    <n v="0.27795899977472399"/>
  </r>
  <r>
    <s v="ORD-10563"/>
    <x v="217"/>
    <s v="Navya Reddy"/>
    <s v="Corporate"/>
    <s v="North"/>
    <s v="Punjab"/>
    <x v="3"/>
    <s v="Gym Equipment"/>
    <s v="Resistance Bands Set"/>
    <n v="1"/>
    <n v="8392.56"/>
    <n v="6294.42"/>
    <n v="25"/>
    <n v="186.8"/>
    <n v="273.08"/>
    <s v="UPI"/>
    <s v="High"/>
    <n v="2.9677079063678623E-2"/>
  </r>
  <r>
    <s v="ORD-10668"/>
    <x v="218"/>
    <s v="Myra Mishra"/>
    <s v="Consumer"/>
    <s v="East"/>
    <s v="Odisha"/>
    <x v="5"/>
    <s v="Kids Wear"/>
    <s v="School Uniform Set"/>
    <n v="1"/>
    <n v="4376.84"/>
    <n v="3939.16"/>
    <n v="10"/>
    <n v="577.63"/>
    <n v="66.260000000000005"/>
    <s v="Credit Card"/>
    <s v="Low"/>
    <n v="0.14663786187918237"/>
  </r>
  <r>
    <s v="ORD-10621"/>
    <x v="218"/>
    <s v="Rohan Kapoor"/>
    <s v="Corporate"/>
    <s v="South"/>
    <s v="Kerala"/>
    <x v="0"/>
    <s v="Accessories"/>
    <s v="Screen Guard"/>
    <n v="5"/>
    <n v="34036.81"/>
    <n v="144656.44"/>
    <n v="15"/>
    <n v="-2947.57"/>
    <n v="168.66"/>
    <s v="Debit Card"/>
    <s v="Medium"/>
    <n v="-2.0376348263513189E-2"/>
  </r>
  <r>
    <s v="ORD-10731"/>
    <x v="219"/>
    <s v="Kabir Chopra"/>
    <s v="Consumer"/>
    <s v="South"/>
    <s v="Karnataka"/>
    <x v="3"/>
    <s v="Outdoor Gear"/>
    <s v="Water Bottle Steel"/>
    <n v="4"/>
    <n v="3574.63"/>
    <n v="10723.89"/>
    <n v="25"/>
    <n v="-136.35"/>
    <n v="96.99"/>
    <s v="UPI"/>
    <s v="Low"/>
    <n v="-1.2714602630202286E-2"/>
  </r>
  <r>
    <s v="ORD-10056"/>
    <x v="219"/>
    <s v="Priya Mehta"/>
    <s v="Corporate"/>
    <s v="East"/>
    <s v="West Bengal"/>
    <x v="0"/>
    <s v="Mobiles"/>
    <s v="Pixel Nano"/>
    <n v="3"/>
    <n v="12013.64"/>
    <n v="27030.69"/>
    <n v="25"/>
    <n v="-301.32"/>
    <n v="238.18"/>
    <s v="Debit Card"/>
    <s v="Medium"/>
    <n v="-1.1147329202473188E-2"/>
  </r>
  <r>
    <s v="ORD-10332"/>
    <x v="220"/>
    <s v="Vivaan Joshi"/>
    <s v="Corporate"/>
    <s v="South"/>
    <s v="Kerala"/>
    <x v="2"/>
    <s v="Non-Fiction"/>
    <s v="The Growth Mindset"/>
    <n v="2"/>
    <n v="1131.1600000000001"/>
    <n v="2036.09"/>
    <n v="10"/>
    <n v="223.16"/>
    <n v="157.52000000000001"/>
    <s v="UPI"/>
    <s v="Medium"/>
    <n v="0.10960222779936055"/>
  </r>
  <r>
    <s v="ORD-10492"/>
    <x v="220"/>
    <s v="Dhruv Kapoor"/>
    <s v="Consumer"/>
    <s v="South"/>
    <s v="Telangana"/>
    <x v="2"/>
    <s v="Non-Fiction"/>
    <s v="History Untold"/>
    <n v="1"/>
    <n v="1061.98"/>
    <n v="902.68"/>
    <n v="15"/>
    <n v="-14.51"/>
    <n v="50.7"/>
    <s v="UPI"/>
    <s v="Medium"/>
    <n v="-1.6074356361058181E-2"/>
  </r>
  <r>
    <s v="ORD-10175"/>
    <x v="220"/>
    <s v="Navya Kapoor"/>
    <s v="Consumer"/>
    <s v="East"/>
    <s v="Odisha"/>
    <x v="2"/>
    <s v="Non-Fiction"/>
    <s v="History Untold"/>
    <n v="2"/>
    <n v="979.59"/>
    <n v="1665.3"/>
    <n v="15"/>
    <n v="49.74"/>
    <n v="67.05"/>
    <s v="Credit Card"/>
    <s v="Medium"/>
    <n v="2.9868492163574133E-2"/>
  </r>
  <r>
    <s v="ORD-10322"/>
    <x v="220"/>
    <s v="Saanvi Sharma"/>
    <s v="Small Business"/>
    <s v="South"/>
    <s v="Telangana"/>
    <x v="1"/>
    <s v="Cookware"/>
    <s v="Pressure Cooker"/>
    <n v="3"/>
    <n v="7945.94"/>
    <n v="21454.04"/>
    <n v="10"/>
    <n v="2303.7600000000002"/>
    <n v="304.86"/>
    <s v="UPI"/>
    <s v="Low"/>
    <n v="0.10738117389545279"/>
  </r>
  <r>
    <s v="ORD-10491"/>
    <x v="221"/>
    <s v="Aadhya Reddy"/>
    <s v="Consumer"/>
    <s v="East"/>
    <s v="Bihar"/>
    <x v="4"/>
    <s v="Skincare"/>
    <s v="Vitamin C Serum"/>
    <n v="1"/>
    <n v="780.31"/>
    <n v="741.29"/>
    <n v="5"/>
    <n v="182.98"/>
    <n v="266.02"/>
    <s v="UPI"/>
    <s v="Low"/>
    <n v="0.24683996816360668"/>
  </r>
  <r>
    <s v="ORD-10038"/>
    <x v="222"/>
    <s v="Ishaan Kapoor"/>
    <s v="Small Business"/>
    <s v="North"/>
    <s v="Uttar Pradesh"/>
    <x v="2"/>
    <s v="Fiction"/>
    <s v="Beyond the Horizon"/>
    <n v="4"/>
    <n v="880.6"/>
    <n v="3346.28"/>
    <n v="5"/>
    <n v="492.49"/>
    <n v="349.67"/>
    <s v="UPI"/>
    <s v="Medium"/>
    <n v="0.14717537085958138"/>
  </r>
  <r>
    <s v="ORD-10917"/>
    <x v="222"/>
    <s v="Ananya Joshi"/>
    <s v="Small Business"/>
    <s v="South"/>
    <s v="Telangana"/>
    <x v="5"/>
    <s v="Women's Wear"/>
    <s v="Silk Saree"/>
    <n v="2"/>
    <n v="2787.67"/>
    <n v="4739.04"/>
    <n v="15"/>
    <n v="382.39"/>
    <n v="281.32"/>
    <s v="Net Banking"/>
    <s v="Low"/>
    <n v="8.0689337924980578E-2"/>
  </r>
  <r>
    <s v="ORD-10675"/>
    <x v="222"/>
    <s v="Diya Sharma"/>
    <s v="Corporate"/>
    <s v="North"/>
    <s v="Uttar Pradesh"/>
    <x v="4"/>
    <s v="Fragrances"/>
    <s v="Citrus Eau de Toilette"/>
    <n v="1"/>
    <n v="919.69"/>
    <n v="873.71"/>
    <n v="5"/>
    <n v="247.07"/>
    <n v="307.14999999999998"/>
    <s v="Credit Card"/>
    <s v="High"/>
    <n v="0.28278261665770105"/>
  </r>
  <r>
    <s v="ORD-10330"/>
    <x v="222"/>
    <s v="Reyansh Singh"/>
    <s v="Consumer"/>
    <s v="South"/>
    <s v="Tamil Nadu"/>
    <x v="3"/>
    <s v="Outdoor Gear"/>
    <s v="Water Bottle Steel"/>
    <n v="1"/>
    <n v="11291.73"/>
    <n v="10162.56"/>
    <n v="10"/>
    <n v="1509.63"/>
    <n v="258.95999999999998"/>
    <s v="Credit Card"/>
    <s v="Low"/>
    <n v="0.14854820045342906"/>
  </r>
  <r>
    <s v="ORD-10482"/>
    <x v="223"/>
    <s v="Simran Mishra"/>
    <s v="Corporate"/>
    <s v="South"/>
    <s v="Tamil Nadu"/>
    <x v="4"/>
    <s v="Skincare"/>
    <s v="Vitamin C Serum"/>
    <n v="2"/>
    <n v="1629.09"/>
    <n v="2769.45"/>
    <n v="15"/>
    <n v="648.71"/>
    <n v="223.94"/>
    <s v="Cash on Delivery"/>
    <s v="Low"/>
    <n v="0.23423784505948839"/>
  </r>
  <r>
    <s v="ORD-10328"/>
    <x v="224"/>
    <s v="Priya Chopra"/>
    <s v="Consumer"/>
    <s v="East"/>
    <s v="West Bengal"/>
    <x v="2"/>
    <s v="Non-Fiction"/>
    <s v="The Growth Mindset"/>
    <n v="1"/>
    <n v="695.04"/>
    <n v="625.54"/>
    <n v="10"/>
    <n v="87.88"/>
    <n v="183.34"/>
    <s v="UPI"/>
    <s v="Low"/>
    <n v="0.14048661956069955"/>
  </r>
  <r>
    <s v="ORD-10194"/>
    <x v="224"/>
    <s v="Priya Singh"/>
    <s v="Consumer"/>
    <s v="West"/>
    <s v="Gujarat"/>
    <x v="5"/>
    <s v="Men's Wear"/>
    <s v="Classic Shirt"/>
    <n v="1"/>
    <n v="737.26"/>
    <n v="663.53"/>
    <n v="10"/>
    <n v="148.35"/>
    <n v="285.97000000000003"/>
    <s v="Credit Card"/>
    <s v="Medium"/>
    <n v="0.22357692945307672"/>
  </r>
  <r>
    <s v="ORD-10248"/>
    <x v="224"/>
    <s v="Riya Reddy"/>
    <s v="Corporate"/>
    <s v="West"/>
    <s v="Maharashtra"/>
    <x v="5"/>
    <s v="Men's Wear"/>
    <s v="Classic Shirt"/>
    <n v="3"/>
    <n v="3222"/>
    <n v="7732.8"/>
    <n v="20"/>
    <n v="695.68"/>
    <n v="75.61"/>
    <s v="Cash on Delivery"/>
    <s v="Low"/>
    <n v="8.996482516035588E-2"/>
  </r>
  <r>
    <s v="ORD-10925"/>
    <x v="224"/>
    <s v="Ishaan Mishra"/>
    <s v="Consumer"/>
    <s v="West"/>
    <s v="Maharashtra"/>
    <x v="4"/>
    <s v="Makeup"/>
    <s v="Compact Powder"/>
    <n v="1"/>
    <n v="1541.2"/>
    <n v="1541.2"/>
    <n v="0"/>
    <n v="369.72"/>
    <n v="235.11"/>
    <s v="Credit Card"/>
    <s v="Medium"/>
    <n v="0.2398909940306255"/>
  </r>
  <r>
    <s v="ORD-10245"/>
    <x v="225"/>
    <s v="Karan Verma"/>
    <s v="Consumer"/>
    <s v="South"/>
    <s v="Telangana"/>
    <x v="1"/>
    <s v="Cookware"/>
    <s v="Cookware Combo"/>
    <n v="4"/>
    <n v="10781.09"/>
    <n v="34499.49"/>
    <n v="20"/>
    <n v="1840.45"/>
    <n v="200.17"/>
    <s v="UPI"/>
    <s v="Medium"/>
    <n v="5.3347165421865662E-2"/>
  </r>
  <r>
    <s v="ORD-10548"/>
    <x v="225"/>
    <s v="Krishna Malhotra"/>
    <s v="Corporate"/>
    <s v="West"/>
    <s v="Gujarat"/>
    <x v="1"/>
    <s v="Furniture"/>
    <s v="Wooden Chair"/>
    <n v="1"/>
    <n v="1089.8699999999999"/>
    <n v="980.88"/>
    <n v="10"/>
    <n v="122.1"/>
    <n v="31.01"/>
    <s v="Credit Card"/>
    <s v="High"/>
    <n v="0.12448005872277954"/>
  </r>
  <r>
    <s v="ORD-10395"/>
    <x v="225"/>
    <s v="Ira Chopra"/>
    <s v="Consumer"/>
    <s v="West"/>
    <s v="Rajasthan"/>
    <x v="3"/>
    <s v="Apparel"/>
    <s v="Sports Jacket"/>
    <n v="2"/>
    <n v="5945.42"/>
    <n v="10701.76"/>
    <n v="10"/>
    <n v="1325.58"/>
    <n v="241.8"/>
    <s v="Cash on Delivery"/>
    <s v="Medium"/>
    <n v="0.12386560715246837"/>
  </r>
  <r>
    <s v="ORD-10997"/>
    <x v="225"/>
    <s v="Navya Rao"/>
    <s v="Consumer"/>
    <s v="South"/>
    <s v="Tamil Nadu"/>
    <x v="3"/>
    <s v="Apparel"/>
    <s v="Sports Jacket"/>
    <n v="1"/>
    <n v="9210.9"/>
    <n v="8750.35"/>
    <n v="5"/>
    <n v="1924.39"/>
    <n v="128.82"/>
    <s v="UPI"/>
    <s v="Medium"/>
    <n v="0.21992148885473153"/>
  </r>
  <r>
    <s v="ORD-10936"/>
    <x v="226"/>
    <s v="Myra Patel"/>
    <s v="Consumer"/>
    <s v="South"/>
    <s v="Kerala"/>
    <x v="0"/>
    <s v="Laptops"/>
    <s v="ProBook 14"/>
    <n v="2"/>
    <n v="31659.15"/>
    <n v="47488.73"/>
    <n v="25"/>
    <n v="-1399.58"/>
    <n v="237.58"/>
    <s v="Credit Card"/>
    <s v="Low"/>
    <n v="-2.9471834685829666E-2"/>
  </r>
  <r>
    <s v="ORD-11000"/>
    <x v="226"/>
    <s v="Aarav Verma"/>
    <s v="Consumer"/>
    <s v="North"/>
    <s v="Delhi"/>
    <x v="0"/>
    <s v="Mobiles"/>
    <s v="Galaxy Note Lite"/>
    <n v="1"/>
    <n v="14495.89"/>
    <n v="10871.92"/>
    <n v="25"/>
    <n v="-466.54"/>
    <n v="72.540000000000006"/>
    <s v="Debit Card"/>
    <s v="High"/>
    <n v="-4.2912383461246956E-2"/>
  </r>
  <r>
    <s v="ORD-10688"/>
    <x v="227"/>
    <s v="Aditya Desai"/>
    <s v="Corporate"/>
    <s v="South"/>
    <s v="Tamil Nadu"/>
    <x v="3"/>
    <s v="Footwear"/>
    <s v="Running Shoes"/>
    <n v="1"/>
    <n v="9063.8700000000008"/>
    <n v="8157.48"/>
    <n v="10"/>
    <n v="1019.36"/>
    <n v="149.1"/>
    <s v="Net Banking"/>
    <s v="Medium"/>
    <n v="0.12496015926487103"/>
  </r>
  <r>
    <s v="ORD-10324"/>
    <x v="227"/>
    <s v="Vivaan Agarwal"/>
    <s v="Consumer"/>
    <s v="West"/>
    <s v="Maharashtra"/>
    <x v="5"/>
    <s v="Kids Wear"/>
    <s v="Denim Overalls"/>
    <n v="2"/>
    <n v="1877.82"/>
    <n v="3380.08"/>
    <n v="10"/>
    <n v="659.31"/>
    <n v="140"/>
    <s v="UPI"/>
    <s v="Medium"/>
    <n v="0.19505751343163474"/>
  </r>
  <r>
    <s v="ORD-10247"/>
    <x v="228"/>
    <s v="Saanvi Desai"/>
    <s v="Consumer"/>
    <s v="East"/>
    <s v="Odisha"/>
    <x v="3"/>
    <s v="Gym Equipment"/>
    <s v="Adjustable Dumbbells"/>
    <n v="1"/>
    <n v="868.94"/>
    <n v="825.49"/>
    <n v="5"/>
    <n v="161.25"/>
    <n v="265.27"/>
    <s v="UPI"/>
    <s v="High"/>
    <n v="0.19533852620867606"/>
  </r>
  <r>
    <s v="ORD-10510"/>
    <x v="228"/>
    <s v="Pooja Gupta"/>
    <s v="Small Business"/>
    <s v="East"/>
    <s v="Bihar"/>
    <x v="2"/>
    <s v="Fiction"/>
    <s v="Beyond the Horizon"/>
    <n v="4"/>
    <n v="234.19"/>
    <n v="843.08"/>
    <n v="10"/>
    <n v="34.26"/>
    <n v="188.53"/>
    <s v="Debit Card"/>
    <s v="High"/>
    <n v="4.063671300469706E-2"/>
  </r>
  <r>
    <s v="ORD-10301"/>
    <x v="229"/>
    <s v="Aarav Desai"/>
    <s v="Small Business"/>
    <s v="East"/>
    <s v="Bihar"/>
    <x v="5"/>
    <s v="Kids Wear"/>
    <s v="Winter Jacket Jr"/>
    <n v="1"/>
    <n v="2452.98"/>
    <n v="2452.98"/>
    <n v="0"/>
    <n v="453.35"/>
    <n v="169.89"/>
    <s v="UPI"/>
    <s v="Medium"/>
    <n v="0.18481601969848918"/>
  </r>
  <r>
    <s v="ORD-10486"/>
    <x v="229"/>
    <s v="Aarav Das"/>
    <s v="Corporate"/>
    <s v="North"/>
    <s v="Uttar Pradesh"/>
    <x v="3"/>
    <s v="Apparel"/>
    <s v="Track Pants"/>
    <n v="1"/>
    <n v="11237.78"/>
    <n v="10114"/>
    <n v="10"/>
    <n v="1683.12"/>
    <n v="45.41"/>
    <s v="UPI"/>
    <s v="Low"/>
    <n v="0.16641487047656711"/>
  </r>
  <r>
    <s v="ORD-10932"/>
    <x v="229"/>
    <s v="Neha Patel"/>
    <s v="Consumer"/>
    <s v="North"/>
    <s v="Punjab"/>
    <x v="4"/>
    <s v="Skincare"/>
    <s v="Aloe Moisturizer"/>
    <n v="2"/>
    <n v="340.54"/>
    <n v="612.97"/>
    <n v="10"/>
    <n v="175.93"/>
    <n v="204.78"/>
    <s v="UPI"/>
    <s v="Low"/>
    <n v="0.28701241496321189"/>
  </r>
  <r>
    <s v="ORD-10963"/>
    <x v="229"/>
    <s v="Pooja Mehta"/>
    <s v="Corporate"/>
    <s v="East"/>
    <s v="Odisha"/>
    <x v="5"/>
    <s v="Footwear"/>
    <s v="Running Shoes"/>
    <n v="5"/>
    <n v="4331.12"/>
    <n v="20572.82"/>
    <n v="5"/>
    <n v="6072.76"/>
    <n v="104.59"/>
    <s v="Credit Card"/>
    <s v="High"/>
    <n v="0.29518364521733043"/>
  </r>
  <r>
    <s v="ORD-10333"/>
    <x v="229"/>
    <s v="Ananya Sharma"/>
    <s v="Consumer"/>
    <s v="South"/>
    <s v="Telangana"/>
    <x v="0"/>
    <s v="Accessories"/>
    <s v="Phone Case Pro"/>
    <n v="1"/>
    <n v="32198.62"/>
    <n v="28978.76"/>
    <n v="10"/>
    <n v="-102.26"/>
    <n v="128.33000000000001"/>
    <s v="Debit Card"/>
    <s v="Medium"/>
    <n v="-3.5287914320695575E-3"/>
  </r>
  <r>
    <s v="ORD-10695"/>
    <x v="230"/>
    <s v="Rohan Khan"/>
    <s v="Small Business"/>
    <s v="East"/>
    <s v="West Bengal"/>
    <x v="4"/>
    <s v="Skincare"/>
    <s v="Face Wash Gel"/>
    <n v="2"/>
    <n v="347.21"/>
    <n v="624.98"/>
    <n v="10"/>
    <n v="120.32"/>
    <n v="187.05"/>
    <s v="Net Banking"/>
    <s v="Low"/>
    <n v="0.19251816058113858"/>
  </r>
  <r>
    <s v="ORD-10729"/>
    <x v="230"/>
    <s v="Anika Patel"/>
    <s v="Corporate"/>
    <s v="West"/>
    <s v="Maharashtra"/>
    <x v="1"/>
    <s v="Appliances"/>
    <s v="Microwave Oven"/>
    <n v="1"/>
    <n v="1172.1500000000001"/>
    <n v="937.72"/>
    <n v="20"/>
    <n v="27.82"/>
    <n v="150.15"/>
    <s v="Credit Card"/>
    <s v="High"/>
    <n v="2.9667704645309899E-2"/>
  </r>
  <r>
    <s v="ORD-10226"/>
    <x v="230"/>
    <s v="Meera Gupta"/>
    <s v="Consumer"/>
    <s v="South"/>
    <s v="Telangana"/>
    <x v="1"/>
    <s v="Cookware"/>
    <s v="Steel Kadai"/>
    <n v="1"/>
    <n v="8490.08"/>
    <n v="6367.56"/>
    <n v="25"/>
    <n v="1020.71"/>
    <n v="125.15"/>
    <s v="Debit Card"/>
    <s v="Low"/>
    <n v="0.16029845026980508"/>
  </r>
  <r>
    <s v="ORD-10260"/>
    <x v="230"/>
    <s v="Arjun Khan"/>
    <s v="Corporate"/>
    <s v="South"/>
    <s v="Tamil Nadu"/>
    <x v="1"/>
    <s v="Cookware"/>
    <s v="Cookware Combo"/>
    <n v="2"/>
    <n v="11211.53"/>
    <n v="16817.3"/>
    <n v="25"/>
    <n v="305.77999999999997"/>
    <n v="77.8"/>
    <s v="Cash on Delivery"/>
    <s v="High"/>
    <n v="1.8182466864478841E-2"/>
  </r>
  <r>
    <s v="ORD-10128"/>
    <x v="230"/>
    <s v="Vivaan Mishra"/>
    <s v="Consumer"/>
    <s v="East"/>
    <s v="Bihar"/>
    <x v="0"/>
    <s v="Mobiles"/>
    <s v="Galaxy Note Lite"/>
    <n v="1"/>
    <n v="26499.43"/>
    <n v="23849.49"/>
    <n v="10"/>
    <n v="1809.63"/>
    <n v="229.07"/>
    <s v="UPI"/>
    <s v="Low"/>
    <n v="7.5877094227172148E-2"/>
  </r>
  <r>
    <s v="ORD-10127"/>
    <x v="230"/>
    <s v="Rohan Mehta"/>
    <s v="Corporate"/>
    <s v="North"/>
    <s v="Haryana"/>
    <x v="5"/>
    <s v="Kids Wear"/>
    <s v="Denim Overalls"/>
    <n v="1"/>
    <n v="2137.39"/>
    <n v="1923.65"/>
    <n v="10"/>
    <n v="281.87"/>
    <n v="194.48"/>
    <s v="UPI"/>
    <s v="Medium"/>
    <n v="0.14652873443713774"/>
  </r>
  <r>
    <s v="ORD-10725"/>
    <x v="231"/>
    <s v="Sai Mishra"/>
    <s v="Consumer"/>
    <s v="North"/>
    <s v="Punjab"/>
    <x v="0"/>
    <s v="Headphones"/>
    <s v="EchoBuds"/>
    <n v="1"/>
    <n v="14179.25"/>
    <n v="13470.29"/>
    <n v="5"/>
    <n v="681.81"/>
    <n v="200.1"/>
    <s v="UPI"/>
    <s v="Low"/>
    <n v="5.061583677856972E-2"/>
  </r>
  <r>
    <s v="ORD-10655"/>
    <x v="232"/>
    <s v="Vihaan Malhotra"/>
    <s v="Small Business"/>
    <s v="South"/>
    <s v="Telangana"/>
    <x v="2"/>
    <s v="Non-Fiction"/>
    <s v="Mind Over Matter"/>
    <n v="1"/>
    <n v="601.08000000000004"/>
    <n v="601.08000000000004"/>
    <n v="0"/>
    <n v="84.73"/>
    <n v="67.92"/>
    <s v="Cash on Delivery"/>
    <s v="Medium"/>
    <n v="0.14096293338657084"/>
  </r>
  <r>
    <s v="ORD-10748"/>
    <x v="233"/>
    <s v="Sai Patel"/>
    <s v="Small Business"/>
    <s v="South"/>
    <s v="Kerala"/>
    <x v="2"/>
    <s v="Fiction"/>
    <s v="Beyond the Horizon"/>
    <n v="2"/>
    <n v="962.35"/>
    <n v="1539.76"/>
    <n v="20"/>
    <n v="104.67"/>
    <n v="284.31"/>
    <s v="Debit Card"/>
    <s v="High"/>
    <n v="6.7978126461266691E-2"/>
  </r>
  <r>
    <s v="ORD-10903"/>
    <x v="233"/>
    <s v="Krishna Reddy"/>
    <s v="Consumer"/>
    <s v="East"/>
    <s v="West Bengal"/>
    <x v="5"/>
    <s v="Footwear"/>
    <s v="Formal Loafers"/>
    <n v="2"/>
    <n v="2668.46"/>
    <n v="4803.2299999999996"/>
    <n v="10"/>
    <n v="582.85"/>
    <n v="73.760000000000005"/>
    <s v="UPI"/>
    <s v="High"/>
    <n v="0.12134542797242691"/>
  </r>
  <r>
    <s v="ORD-10535"/>
    <x v="234"/>
    <s v="Ishaan Agarwal"/>
    <s v="Small Business"/>
    <s v="West"/>
    <s v="Gujarat"/>
    <x v="3"/>
    <s v="Footwear"/>
    <s v="Sandals"/>
    <n v="2"/>
    <n v="5366.86"/>
    <n v="9123.66"/>
    <n v="15"/>
    <n v="100.68"/>
    <n v="230.75"/>
    <s v="Cash on Delivery"/>
    <s v="Medium"/>
    <n v="1.103504514635574E-2"/>
  </r>
  <r>
    <s v="ORD-10208"/>
    <x v="235"/>
    <s v="Ishaan Verma"/>
    <s v="Corporate"/>
    <s v="North"/>
    <s v="Haryana"/>
    <x v="5"/>
    <s v="Women's Wear"/>
    <s v="Ethnic Kurti"/>
    <n v="3"/>
    <n v="874.92"/>
    <n v="2624.76"/>
    <n v="0"/>
    <n v="574.71"/>
    <n v="348.01"/>
    <s v="Debit Card"/>
    <s v="Low"/>
    <n v="0.21895716179765007"/>
  </r>
  <r>
    <s v="ORD-10186"/>
    <x v="235"/>
    <s v="Ishaan Rao"/>
    <s v="Small Business"/>
    <s v="South"/>
    <s v="Kerala"/>
    <x v="0"/>
    <s v="Cameras"/>
    <s v="ClickShot X1"/>
    <n v="1"/>
    <n v="6645.31"/>
    <n v="5316.25"/>
    <n v="20"/>
    <n v="7.83"/>
    <n v="349"/>
    <s v="UPI"/>
    <s v="Low"/>
    <n v="1.4728426992711029E-3"/>
  </r>
  <r>
    <s v="ORD-10915"/>
    <x v="236"/>
    <s v="Neha Rao"/>
    <s v="Corporate"/>
    <s v="West"/>
    <s v="Gujarat"/>
    <x v="5"/>
    <s v="Women's Wear"/>
    <s v="Floral Dress"/>
    <n v="1"/>
    <n v="1999.85"/>
    <n v="1599.88"/>
    <n v="20"/>
    <n v="152.76"/>
    <n v="132.41"/>
    <s v="Debit Card"/>
    <s v="Medium"/>
    <n v="9.5482161162087145E-2"/>
  </r>
  <r>
    <s v="ORD-10503"/>
    <x v="236"/>
    <s v="Aarav Khan"/>
    <s v="Corporate"/>
    <s v="North"/>
    <s v="Punjab"/>
    <x v="5"/>
    <s v="Kids Wear"/>
    <s v="Denim Overalls"/>
    <n v="1"/>
    <n v="665.79"/>
    <n v="599.21"/>
    <n v="10"/>
    <n v="69.319999999999993"/>
    <n v="140.47"/>
    <s v="UPI"/>
    <s v="Low"/>
    <n v="0.11568565277615525"/>
  </r>
  <r>
    <s v="ORD-10017"/>
    <x v="236"/>
    <s v="Myra Das"/>
    <s v="Consumer"/>
    <s v="North"/>
    <s v="Delhi"/>
    <x v="5"/>
    <s v="Women's Wear"/>
    <s v="Ethnic Kurti"/>
    <n v="1"/>
    <n v="1958.5"/>
    <n v="1958.5"/>
    <n v="0"/>
    <n v="493.18"/>
    <n v="282.86"/>
    <s v="Debit Card"/>
    <s v="Critical"/>
    <n v="0.25181516466683684"/>
  </r>
  <r>
    <s v="ORD-10375"/>
    <x v="237"/>
    <s v="Saanvi Khan"/>
    <s v="Corporate"/>
    <s v="East"/>
    <s v="West Bengal"/>
    <x v="2"/>
    <s v="Fiction"/>
    <s v="The Silent Valley"/>
    <n v="4"/>
    <n v="211.07"/>
    <n v="802.07"/>
    <n v="5"/>
    <n v="73.64"/>
    <n v="113.84"/>
    <s v="Credit Card"/>
    <s v="Low"/>
    <n v="9.1812435323600186E-2"/>
  </r>
  <r>
    <s v="ORD-10039"/>
    <x v="238"/>
    <s v="Saanvi Chopra"/>
    <s v="Corporate"/>
    <s v="South"/>
    <s v="Kerala"/>
    <x v="2"/>
    <s v="Comics"/>
    <s v="SuperHero Chronicles"/>
    <n v="3"/>
    <n v="687.7"/>
    <n v="1753.63"/>
    <n v="15"/>
    <n v="162.13"/>
    <n v="115.8"/>
    <s v="Net Banking"/>
    <s v="High"/>
    <n v="9.2453938402057442E-2"/>
  </r>
  <r>
    <s v="ORD-10042"/>
    <x v="238"/>
    <s v="Ayaan Iyer"/>
    <s v="Consumer"/>
    <s v="North"/>
    <s v="Punjab"/>
    <x v="5"/>
    <s v="Men's Wear"/>
    <s v="Slim Fit Jeans"/>
    <n v="1"/>
    <n v="4425.1099999999997"/>
    <n v="3318.83"/>
    <n v="25"/>
    <n v="298.08999999999997"/>
    <n v="195.32"/>
    <s v="UPI"/>
    <s v="Low"/>
    <n v="8.9817797235772837E-2"/>
  </r>
  <r>
    <s v="ORD-10028"/>
    <x v="239"/>
    <s v="Kabir Desai"/>
    <s v="Consumer"/>
    <s v="East"/>
    <s v="West Bengal"/>
    <x v="1"/>
    <s v="Decor"/>
    <s v="Table Lamp"/>
    <n v="1"/>
    <n v="4533.05"/>
    <n v="3626.44"/>
    <n v="20"/>
    <n v="393.22"/>
    <n v="320.19"/>
    <s v="Credit Card"/>
    <s v="Medium"/>
    <n v="0.10843140931602344"/>
  </r>
  <r>
    <s v="ORD-10359"/>
    <x v="239"/>
    <s v="Vivaan Malhotra"/>
    <s v="Consumer"/>
    <s v="North"/>
    <s v="Uttar Pradesh"/>
    <x v="3"/>
    <s v="Footwear"/>
    <s v="Casual Sneakers"/>
    <n v="2"/>
    <n v="14621.51"/>
    <n v="29243.02"/>
    <n v="0"/>
    <n v="4747.17"/>
    <n v="259.89999999999998"/>
    <s v="Cash on Delivery"/>
    <s v="Medium"/>
    <n v="0.1623351486953126"/>
  </r>
  <r>
    <s v="ORD-10067"/>
    <x v="240"/>
    <s v="Rohan Das"/>
    <s v="Small Business"/>
    <s v="East"/>
    <s v="Bihar"/>
    <x v="4"/>
    <s v="Fragrances"/>
    <s v="Floral Mist"/>
    <n v="1"/>
    <n v="1443.46"/>
    <n v="1443.46"/>
    <n v="0"/>
    <n v="502.57"/>
    <n v="342.27"/>
    <s v="UPI"/>
    <s v="Critical"/>
    <n v="0.3481703684203234"/>
  </r>
  <r>
    <s v="ORD-10148"/>
    <x v="240"/>
    <s v="Ayaan Bose"/>
    <s v="Corporate"/>
    <s v="East"/>
    <s v="West Bengal"/>
    <x v="0"/>
    <s v="Headphones"/>
    <s v="EchoBuds"/>
    <n v="4"/>
    <n v="12261.24"/>
    <n v="46592.71"/>
    <n v="5"/>
    <n v="3165.26"/>
    <n v="361.96"/>
    <s v="UPI"/>
    <s v="Low"/>
    <n v="6.7934661881654881E-2"/>
  </r>
  <r>
    <s v="ORD-10137"/>
    <x v="240"/>
    <s v="Riya Das"/>
    <s v="Consumer"/>
    <s v="West"/>
    <s v="Gujarat"/>
    <x v="3"/>
    <s v="Outdoor Gear"/>
    <s v="Camping Tent"/>
    <n v="2"/>
    <n v="2649.72"/>
    <n v="4769.5"/>
    <n v="10"/>
    <n v="710.21"/>
    <n v="216.71"/>
    <s v="Net Banking"/>
    <s v="Low"/>
    <n v="0.14890659398259776"/>
  </r>
  <r>
    <s v="ORD-10513"/>
    <x v="240"/>
    <s v="Diya Nair"/>
    <s v="Consumer"/>
    <s v="East"/>
    <s v="Odisha"/>
    <x v="5"/>
    <s v="Men's Wear"/>
    <s v="Cotton Kurta"/>
    <n v="1"/>
    <n v="896.98"/>
    <n v="717.58"/>
    <n v="20"/>
    <n v="70.569999999999993"/>
    <n v="124.41"/>
    <s v="UPI"/>
    <s v="Low"/>
    <n v="9.8344435463641675E-2"/>
  </r>
  <r>
    <s v="ORD-10294"/>
    <x v="241"/>
    <s v="Kabir Chopra"/>
    <s v="Consumer"/>
    <s v="West"/>
    <s v="Maharashtra"/>
    <x v="1"/>
    <s v="Furniture"/>
    <s v="Study Table"/>
    <n v="1"/>
    <n v="10149.25"/>
    <n v="7611.94"/>
    <n v="25"/>
    <n v="443.12"/>
    <n v="85.74"/>
    <s v="UPI"/>
    <s v="Medium"/>
    <n v="5.8213806204462995E-2"/>
  </r>
  <r>
    <s v="ORD-10942"/>
    <x v="242"/>
    <s v="Simran Singh"/>
    <s v="Consumer"/>
    <s v="South"/>
    <s v="Tamil Nadu"/>
    <x v="0"/>
    <s v="Laptops"/>
    <s v="ProBook 14"/>
    <n v="1"/>
    <n v="10862.22"/>
    <n v="9776"/>
    <n v="10"/>
    <n v="249.6"/>
    <n v="168.49"/>
    <s v="UPI"/>
    <s v="Low"/>
    <n v="2.553191489361702E-2"/>
  </r>
  <r>
    <s v="ORD-10990"/>
    <x v="242"/>
    <s v="Diya Bose"/>
    <s v="Consumer"/>
    <s v="North"/>
    <s v="Punjab"/>
    <x v="1"/>
    <s v="Decor"/>
    <s v="LED Fairy Lights"/>
    <n v="2"/>
    <n v="1106.46"/>
    <n v="2102.27"/>
    <n v="5"/>
    <n v="282.61"/>
    <n v="54.9"/>
    <s v="Credit Card"/>
    <s v="Low"/>
    <n v="0.13443087709951623"/>
  </r>
  <r>
    <s v="ORD-10558"/>
    <x v="242"/>
    <s v="Dhruv Bose"/>
    <s v="Consumer"/>
    <s v="South"/>
    <s v="Tamil Nadu"/>
    <x v="4"/>
    <s v="Haircare"/>
    <s v="Hair Mask Deep Repair"/>
    <n v="2"/>
    <n v="1463"/>
    <n v="2340.8000000000002"/>
    <n v="20"/>
    <n v="293.05"/>
    <n v="247.27"/>
    <s v="Credit Card"/>
    <s v="Low"/>
    <n v="0.12519224196855774"/>
  </r>
  <r>
    <s v="ORD-10614"/>
    <x v="243"/>
    <s v="Krishna Reddy"/>
    <s v="Corporate"/>
    <s v="West"/>
    <s v="Maharashtra"/>
    <x v="2"/>
    <s v="Fiction"/>
    <s v="The Silent Valley"/>
    <n v="1"/>
    <n v="608.85"/>
    <n v="517.52"/>
    <n v="15"/>
    <n v="47.19"/>
    <n v="219.94"/>
    <s v="UPI"/>
    <s v="Medium"/>
    <n v="9.1184881743700721E-2"/>
  </r>
  <r>
    <s v="ORD-10074"/>
    <x v="243"/>
    <s v="Kiara Gupta"/>
    <s v="Consumer"/>
    <s v="West"/>
    <s v="Gujarat"/>
    <x v="3"/>
    <s v="Apparel"/>
    <s v="Sports T-Shirt"/>
    <n v="5"/>
    <n v="6188.09"/>
    <n v="24752.36"/>
    <n v="20"/>
    <n v="2722.63"/>
    <n v="287.07"/>
    <s v="UPI"/>
    <s v="Critical"/>
    <n v="0.10999476413562181"/>
  </r>
  <r>
    <s v="ORD-10111"/>
    <x v="244"/>
    <s v="Ishaan Reddy"/>
    <s v="Consumer"/>
    <s v="South"/>
    <s v="Telangana"/>
    <x v="0"/>
    <s v="Headphones"/>
    <s v="SoundWave Pro"/>
    <n v="1"/>
    <n v="30270.9"/>
    <n v="25730.26"/>
    <n v="15"/>
    <n v="-1611.81"/>
    <n v="90.2"/>
    <s v="UPI"/>
    <s v="Low"/>
    <n v="-6.2642585034119361E-2"/>
  </r>
  <r>
    <s v="ORD-10604"/>
    <x v="245"/>
    <s v="Raj Sharma"/>
    <s v="Consumer"/>
    <s v="North"/>
    <s v="Haryana"/>
    <x v="5"/>
    <s v="Women's Wear"/>
    <s v="Denim Jacket"/>
    <n v="2"/>
    <n v="4106.97"/>
    <n v="7803.24"/>
    <n v="5"/>
    <n v="1578.79"/>
    <n v="97.44"/>
    <s v="Credit Card"/>
    <s v="Medium"/>
    <n v="0.20232493169503948"/>
  </r>
  <r>
    <s v="ORD-10497"/>
    <x v="246"/>
    <s v="Rohan Gupta"/>
    <s v="Small Business"/>
    <s v="East"/>
    <s v="Odisha"/>
    <x v="2"/>
    <s v="Non-Fiction"/>
    <s v="Modern Economics"/>
    <n v="2"/>
    <n v="681.58"/>
    <n v="1295"/>
    <n v="5"/>
    <n v="115.08"/>
    <n v="126.41"/>
    <s v="Credit Card"/>
    <s v="Critical"/>
    <n v="8.8864864864864862E-2"/>
  </r>
  <r>
    <s v="ORD-10952"/>
    <x v="247"/>
    <s v="Karan Khan"/>
    <s v="Small Business"/>
    <s v="North"/>
    <s v="Uttar Pradesh"/>
    <x v="5"/>
    <s v="Men's Wear"/>
    <s v="Casual Blazer"/>
    <n v="1"/>
    <n v="503.12"/>
    <n v="402.5"/>
    <n v="20"/>
    <n v="35"/>
    <n v="292.56"/>
    <s v="Credit Card"/>
    <s v="Medium"/>
    <n v="8.6956521739130432E-2"/>
  </r>
  <r>
    <s v="ORD-10216"/>
    <x v="248"/>
    <s v="Saanvi Iyer"/>
    <s v="Consumer"/>
    <s v="North"/>
    <s v="Punjab"/>
    <x v="0"/>
    <s v="Cameras"/>
    <s v="ActionCam 4K"/>
    <n v="5"/>
    <n v="11068.08"/>
    <n v="55340.4"/>
    <n v="0"/>
    <n v="5871.64"/>
    <n v="289.47000000000003"/>
    <s v="Net Banking"/>
    <s v="High"/>
    <n v="0.10610042572876235"/>
  </r>
  <r>
    <s v="ORD-10258"/>
    <x v="248"/>
    <s v="Kabir Chopra"/>
    <s v="Corporate"/>
    <s v="South"/>
    <s v="Tamil Nadu"/>
    <x v="0"/>
    <s v="Accessories"/>
    <s v="Phone Case Pro"/>
    <n v="2"/>
    <n v="50954.14"/>
    <n v="86622.04"/>
    <n v="15"/>
    <n v="1534.97"/>
    <n v="79.23"/>
    <s v="Cash on Delivery"/>
    <s v="Low"/>
    <n v="1.7720316907798524E-2"/>
  </r>
  <r>
    <s v="ORD-10754"/>
    <x v="248"/>
    <s v="Meera Bose"/>
    <s v="Consumer"/>
    <s v="North"/>
    <s v="Haryana"/>
    <x v="0"/>
    <s v="Accessories"/>
    <s v="FastCharge Cable"/>
    <n v="3"/>
    <n v="30919.68"/>
    <n v="88121.09"/>
    <n v="5"/>
    <n v="8867.0499999999993"/>
    <n v="242.77"/>
    <s v="Cash on Delivery"/>
    <s v="High"/>
    <n v="0.10062347163431591"/>
  </r>
  <r>
    <s v="ORD-10687"/>
    <x v="249"/>
    <s v="Karan Reddy"/>
    <s v="Consumer"/>
    <s v="East"/>
    <s v="West Bengal"/>
    <x v="4"/>
    <s v="Fragrances"/>
    <s v="Citrus Eau de Toilette"/>
    <n v="3"/>
    <n v="822.85"/>
    <n v="2468.5500000000002"/>
    <n v="0"/>
    <n v="901.64"/>
    <n v="254.15"/>
    <s v="UPI"/>
    <s v="High"/>
    <n v="0.36525085576553035"/>
  </r>
  <r>
    <s v="ORD-10751"/>
    <x v="249"/>
    <s v="Dhruv Chopra"/>
    <s v="Consumer"/>
    <s v="East"/>
    <s v="West Bengal"/>
    <x v="0"/>
    <s v="Headphones"/>
    <s v="BassBoost 300"/>
    <n v="2"/>
    <n v="57861.94"/>
    <n v="109937.69"/>
    <n v="5"/>
    <n v="11382.62"/>
    <n v="363.77"/>
    <s v="Credit Card"/>
    <s v="Low"/>
    <n v="0.10353701264780077"/>
  </r>
  <r>
    <s v="ORD-10409"/>
    <x v="250"/>
    <s v="Priya Chopra"/>
    <s v="Consumer"/>
    <s v="East"/>
    <s v="Odisha"/>
    <x v="2"/>
    <s v="Non-Fiction"/>
    <s v="History Untold"/>
    <n v="1"/>
    <n v="1071"/>
    <n v="963.9"/>
    <n v="10"/>
    <n v="29.25"/>
    <n v="208.57"/>
    <s v="Debit Card"/>
    <s v="Medium"/>
    <n v="3.034547152194211E-2"/>
  </r>
  <r>
    <s v="ORD-10812"/>
    <x v="250"/>
    <s v="Pooja Nair"/>
    <s v="Consumer"/>
    <s v="North"/>
    <s v="Delhi"/>
    <x v="1"/>
    <s v="Decor"/>
    <s v="Ceramic Vase"/>
    <n v="1"/>
    <n v="2263.88"/>
    <n v="2263.88"/>
    <n v="0"/>
    <n v="356.14"/>
    <n v="37.99"/>
    <s v="Credit Card"/>
    <s v="Medium"/>
    <n v="0.15731399190769826"/>
  </r>
  <r>
    <s v="ORD-10971"/>
    <x v="250"/>
    <s v="Aditya Joshi"/>
    <s v="Consumer"/>
    <s v="East"/>
    <s v="Bihar"/>
    <x v="0"/>
    <s v="Mobiles"/>
    <s v="OnePlus Edge"/>
    <n v="1"/>
    <n v="14456.58"/>
    <n v="14456.58"/>
    <n v="0"/>
    <n v="770.05"/>
    <n v="136.24"/>
    <s v="Cash on Delivery"/>
    <s v="High"/>
    <n v="5.3266401873748835E-2"/>
  </r>
  <r>
    <s v="ORD-10673"/>
    <x v="250"/>
    <s v="Anika Malhotra"/>
    <s v="Small Business"/>
    <s v="South"/>
    <s v="Tamil Nadu"/>
    <x v="0"/>
    <s v="Headphones"/>
    <s v="SoundWave Pro"/>
    <n v="1"/>
    <n v="36505.58"/>
    <n v="34680.300000000003"/>
    <n v="5"/>
    <n v="4811.08"/>
    <n v="149.44"/>
    <s v="Debit Card"/>
    <s v="Low"/>
    <n v="0.1387265969440864"/>
  </r>
  <r>
    <s v="ORD-10931"/>
    <x v="250"/>
    <s v="Pooja Patel"/>
    <s v="Consumer"/>
    <s v="West"/>
    <s v="Maharashtra"/>
    <x v="2"/>
    <s v="Fiction"/>
    <s v="Whispering Pines"/>
    <n v="1"/>
    <n v="512.91"/>
    <n v="487.26"/>
    <n v="5"/>
    <n v="55.03"/>
    <n v="54.55"/>
    <s v="Credit Card"/>
    <s v="Medium"/>
    <n v="0.11293765135656529"/>
  </r>
  <r>
    <s v="ORD-10144"/>
    <x v="251"/>
    <s v="Rohan Mishra"/>
    <s v="Consumer"/>
    <s v="East"/>
    <s v="Odisha"/>
    <x v="1"/>
    <s v="Cookware"/>
    <s v="Non-Stick Pan Set"/>
    <n v="3"/>
    <n v="6947.72"/>
    <n v="16674.53"/>
    <n v="20"/>
    <n v="997.72"/>
    <n v="181.21"/>
    <s v="Credit Card"/>
    <s v="Critical"/>
    <n v="5.9834969861219479E-2"/>
  </r>
  <r>
    <s v="ORD-10965"/>
    <x v="251"/>
    <s v="Aadhya Nair"/>
    <s v="Small Business"/>
    <s v="North"/>
    <s v="Uttar Pradesh"/>
    <x v="2"/>
    <s v="Comics"/>
    <s v="Manga Vol. 1"/>
    <n v="2"/>
    <n v="231.05"/>
    <n v="415.89"/>
    <n v="10"/>
    <n v="35.53"/>
    <n v="84.45"/>
    <s v="Cash on Delivery"/>
    <s v="Critical"/>
    <n v="8.5431243838514997E-2"/>
  </r>
  <r>
    <s v="ORD-10531"/>
    <x v="251"/>
    <s v="Meera Das"/>
    <s v="Consumer"/>
    <s v="North"/>
    <s v="Haryana"/>
    <x v="2"/>
    <s v="Comics"/>
    <s v="SuperHero Chronicles"/>
    <n v="5"/>
    <n v="242.61"/>
    <n v="1031.0899999999999"/>
    <n v="15"/>
    <n v="6.43"/>
    <n v="99.9"/>
    <s v="Debit Card"/>
    <s v="Low"/>
    <n v="6.2361190584721022E-3"/>
  </r>
  <r>
    <s v="ORD-10924"/>
    <x v="251"/>
    <s v="Vihaan Rao"/>
    <s v="Consumer"/>
    <s v="East"/>
    <s v="Odisha"/>
    <x v="4"/>
    <s v="Skincare"/>
    <s v="Aloe Moisturizer"/>
    <n v="3"/>
    <n v="1611.37"/>
    <n v="4108.99"/>
    <n v="15"/>
    <n v="936.13"/>
    <n v="347.34"/>
    <s v="Net Banking"/>
    <s v="Low"/>
    <n v="0.22782484260122318"/>
  </r>
  <r>
    <s v="ORD-10287"/>
    <x v="252"/>
    <s v="Myra Mishra"/>
    <s v="Corporate"/>
    <s v="East"/>
    <s v="Bihar"/>
    <x v="0"/>
    <s v="Headphones"/>
    <s v="StudioMax"/>
    <n v="2"/>
    <n v="60865.88"/>
    <n v="115645.17"/>
    <n v="5"/>
    <n v="8940.81"/>
    <n v="295.7"/>
    <s v="UPI"/>
    <s v="High"/>
    <n v="7.73124376919503E-2"/>
  </r>
  <r>
    <s v="ORD-10442"/>
    <x v="253"/>
    <s v="Sai Malhotra"/>
    <s v="Corporate"/>
    <s v="North"/>
    <s v="Delhi"/>
    <x v="1"/>
    <s v="Furniture"/>
    <s v="Bookshelf Unit"/>
    <n v="1"/>
    <n v="11675.26"/>
    <n v="8756.44"/>
    <n v="25"/>
    <n v="510.96"/>
    <n v="224.73"/>
    <s v="Credit Card"/>
    <s v="Low"/>
    <n v="5.8352481145305619E-2"/>
  </r>
  <r>
    <s v="ORD-10228"/>
    <x v="254"/>
    <s v="Vivaan Agarwal"/>
    <s v="Corporate"/>
    <s v="South"/>
    <s v="Kerala"/>
    <x v="1"/>
    <s v="Appliances"/>
    <s v="Electric Kettle"/>
    <n v="1"/>
    <n v="10196.77"/>
    <n v="9686.93"/>
    <n v="5"/>
    <n v="1278.95"/>
    <n v="132.11000000000001"/>
    <s v="Debit Card"/>
    <s v="Medium"/>
    <n v="0.13202841354278394"/>
  </r>
  <r>
    <s v="ORD-10116"/>
    <x v="255"/>
    <s v="Pooja Chopra"/>
    <s v="Consumer"/>
    <s v="North"/>
    <s v="Punjab"/>
    <x v="1"/>
    <s v="Decor"/>
    <s v="Wall Art Frame"/>
    <n v="3"/>
    <n v="9802.42"/>
    <n v="27936.9"/>
    <n v="5"/>
    <n v="5639.28"/>
    <n v="375.93"/>
    <s v="Debit Card"/>
    <s v="Medium"/>
    <n v="0.20185775801896413"/>
  </r>
  <r>
    <s v="ORD-10785"/>
    <x v="256"/>
    <s v="Kabir Reddy"/>
    <s v="Small Business"/>
    <s v="South"/>
    <s v="Telangana"/>
    <x v="2"/>
    <s v="Academic"/>
    <s v="Calculus Made Easy"/>
    <n v="2"/>
    <n v="892.01"/>
    <n v="1516.42"/>
    <n v="15"/>
    <n v="9.92"/>
    <n v="198.12"/>
    <s v="Debit Card"/>
    <s v="Medium"/>
    <n v="6.5417232692789595E-3"/>
  </r>
  <r>
    <s v="ORD-10483"/>
    <x v="256"/>
    <s v="Dhruv Mishra"/>
    <s v="Consumer"/>
    <s v="North"/>
    <s v="Punjab"/>
    <x v="4"/>
    <s v="Fragrances"/>
    <s v="Floral Mist"/>
    <n v="2"/>
    <n v="1425.15"/>
    <n v="2850.3"/>
    <n v="0"/>
    <n v="687.42"/>
    <n v="114.9"/>
    <s v="Net Banking"/>
    <s v="Critical"/>
    <n v="0.24117461319861064"/>
  </r>
  <r>
    <s v="ORD-10526"/>
    <x v="257"/>
    <s v="Vivaan Agarwal"/>
    <s v="Small Business"/>
    <s v="East"/>
    <s v="Bihar"/>
    <x v="3"/>
    <s v="Gym Equipment"/>
    <s v="Resistance Bands Set"/>
    <n v="1"/>
    <n v="14669.67"/>
    <n v="12469.22"/>
    <n v="15"/>
    <n v="1460.06"/>
    <n v="200.21"/>
    <s v="UPI"/>
    <s v="Critical"/>
    <n v="0.1170931301236164"/>
  </r>
  <r>
    <s v="ORD-10338"/>
    <x v="257"/>
    <s v="Neha Bose"/>
    <s v="Small Business"/>
    <s v="South"/>
    <s v="Kerala"/>
    <x v="1"/>
    <s v="Decor"/>
    <s v="Table Lamp"/>
    <n v="1"/>
    <n v="6507.39"/>
    <n v="6182.02"/>
    <n v="5"/>
    <n v="880.83"/>
    <n v="65.94"/>
    <s v="UPI"/>
    <s v="Low"/>
    <n v="0.14248255424602313"/>
  </r>
  <r>
    <s v="ORD-10157"/>
    <x v="257"/>
    <s v="Ira Verma"/>
    <s v="Consumer"/>
    <s v="North"/>
    <s v="Punjab"/>
    <x v="5"/>
    <s v="Men's Wear"/>
    <s v="Classic Shirt"/>
    <n v="2"/>
    <n v="4461.8999999999996"/>
    <n v="7139.04"/>
    <n v="20"/>
    <n v="532.42999999999995"/>
    <n v="341.46"/>
    <s v="Credit Card"/>
    <s v="Low"/>
    <n v="7.4580055581702859E-2"/>
  </r>
  <r>
    <s v="ORD-10784"/>
    <x v="257"/>
    <s v="Pooja Agarwal"/>
    <s v="Consumer"/>
    <s v="South"/>
    <s v="Tamil Nadu"/>
    <x v="4"/>
    <s v="Makeup"/>
    <s v="Compact Powder"/>
    <n v="1"/>
    <n v="390.29"/>
    <n v="390.29"/>
    <n v="0"/>
    <n v="114.88"/>
    <n v="185.05"/>
    <s v="Credit Card"/>
    <s v="High"/>
    <n v="0.29434523046965072"/>
  </r>
  <r>
    <s v="ORD-10029"/>
    <x v="258"/>
    <s v="Ira Joshi"/>
    <s v="Consumer"/>
    <s v="West"/>
    <s v="Gujarat"/>
    <x v="3"/>
    <s v="Apparel"/>
    <s v="Sports Jacket"/>
    <n v="4"/>
    <n v="9838.66"/>
    <n v="39354.639999999999"/>
    <n v="0"/>
    <n v="6158.4"/>
    <n v="245.91"/>
    <s v="Credit Card"/>
    <s v="Medium"/>
    <n v="0.1564847245458223"/>
  </r>
  <r>
    <s v="ORD-10146"/>
    <x v="258"/>
    <s v="Reyansh Reddy"/>
    <s v="Consumer"/>
    <s v="West"/>
    <s v="Maharashtra"/>
    <x v="4"/>
    <s v="Fragrances"/>
    <s v="Floral Mist"/>
    <n v="3"/>
    <n v="745.62"/>
    <n v="2013.17"/>
    <n v="10"/>
    <n v="635.1"/>
    <n v="92.57"/>
    <s v="UPI"/>
    <s v="Low"/>
    <n v="0.31547261284441952"/>
  </r>
  <r>
    <s v="ORD-10591"/>
    <x v="259"/>
    <s v="Ishaan Bose"/>
    <s v="Consumer"/>
    <s v="East"/>
    <s v="West Bengal"/>
    <x v="4"/>
    <s v="Skincare"/>
    <s v="Aloe Moisturizer"/>
    <n v="2"/>
    <n v="1393.77"/>
    <n v="2369.41"/>
    <n v="15"/>
    <n v="310.3"/>
    <n v="292.68"/>
    <s v="Credit Card"/>
    <s v="Low"/>
    <n v="0.1309608721158432"/>
  </r>
  <r>
    <s v="ORD-10454"/>
    <x v="260"/>
    <s v="Kiara Iyer"/>
    <s v="Small Business"/>
    <s v="West"/>
    <s v="Rajasthan"/>
    <x v="3"/>
    <s v="Gym Equipment"/>
    <s v="Treadmill Compact"/>
    <n v="1"/>
    <n v="5923.15"/>
    <n v="5034.68"/>
    <n v="15"/>
    <n v="552.46"/>
    <n v="278.2"/>
    <s v="Debit Card"/>
    <s v="Medium"/>
    <n v="0.10973090643298085"/>
  </r>
  <r>
    <s v="ORD-10018"/>
    <x v="260"/>
    <s v="Reyansh Mehta"/>
    <s v="Consumer"/>
    <s v="West"/>
    <s v="Gujarat"/>
    <x v="2"/>
    <s v="Comics"/>
    <s v="Manga Vol. 1"/>
    <n v="1"/>
    <n v="227.75"/>
    <n v="193.59"/>
    <n v="15"/>
    <n v="2.84"/>
    <n v="144.71"/>
    <s v="Credit Card"/>
    <s v="Low"/>
    <n v="1.4670179244795701E-2"/>
  </r>
  <r>
    <s v="ORD-10520"/>
    <x v="261"/>
    <s v="Aadhya Iyer"/>
    <s v="Consumer"/>
    <s v="West"/>
    <s v="Maharashtra"/>
    <x v="0"/>
    <s v="Headphones"/>
    <s v="StudioMax"/>
    <n v="1"/>
    <n v="45120.24"/>
    <n v="31584.17"/>
    <n v="30"/>
    <n v="-677.09"/>
    <n v="149.86000000000001"/>
    <s v="UPI"/>
    <s v="Critical"/>
    <n v="-2.1437637905317761E-2"/>
  </r>
  <r>
    <s v="ORD-10560"/>
    <x v="261"/>
    <s v="Meera Mehta"/>
    <s v="Small Business"/>
    <s v="North"/>
    <s v="Punjab"/>
    <x v="5"/>
    <s v="Footwear"/>
    <s v="Running Shoes"/>
    <n v="1"/>
    <n v="3269.76"/>
    <n v="2615.81"/>
    <n v="20"/>
    <n v="365.29"/>
    <n v="46.07"/>
    <s v="UPI"/>
    <s v="Low"/>
    <n v="0.13964699270971517"/>
  </r>
  <r>
    <s v="ORD-10370"/>
    <x v="262"/>
    <s v="Neha Iyer"/>
    <s v="Consumer"/>
    <s v="East"/>
    <s v="West Bengal"/>
    <x v="2"/>
    <s v="Comics"/>
    <s v="Manga Vol. 1"/>
    <n v="1"/>
    <n v="483.41"/>
    <n v="459.24"/>
    <n v="5"/>
    <n v="48.22"/>
    <n v="334.9"/>
    <s v="UPI"/>
    <s v="Medium"/>
    <n v="0.10499956449786603"/>
  </r>
  <r>
    <s v="ORD-10302"/>
    <x v="262"/>
    <s v="Sai Nair"/>
    <s v="Consumer"/>
    <s v="South"/>
    <s v="Kerala"/>
    <x v="5"/>
    <s v="Footwear"/>
    <s v="Formal Loafers"/>
    <n v="3"/>
    <n v="2170.2800000000002"/>
    <n v="6510.84"/>
    <n v="0"/>
    <n v="1386.15"/>
    <n v="224.74"/>
    <s v="Credit Card"/>
    <s v="High"/>
    <n v="0.21289879646865842"/>
  </r>
  <r>
    <s v="ORD-10354"/>
    <x v="262"/>
    <s v="Vivaan Malhotra"/>
    <s v="Corporate"/>
    <s v="West"/>
    <s v="Maharashtra"/>
    <x v="3"/>
    <s v="Apparel"/>
    <s v="Sports T-Shirt"/>
    <n v="2"/>
    <n v="7042.98"/>
    <n v="11973.07"/>
    <n v="15"/>
    <n v="1816.03"/>
    <n v="105.9"/>
    <s v="Credit Card"/>
    <s v="Low"/>
    <n v="0.15167622005049666"/>
  </r>
  <r>
    <s v="ORD-10946"/>
    <x v="263"/>
    <s v="Reyansh Malhotra"/>
    <s v="Consumer"/>
    <s v="South"/>
    <s v="Tamil Nadu"/>
    <x v="3"/>
    <s v="Outdoor Gear"/>
    <s v="Camping Tent"/>
    <n v="3"/>
    <n v="13170.71"/>
    <n v="35560.92"/>
    <n v="10"/>
    <n v="6576.37"/>
    <n v="370.7"/>
    <s v="UPI"/>
    <s v="Low"/>
    <n v="0.18493250455837476"/>
  </r>
  <r>
    <s v="ORD-10954"/>
    <x v="263"/>
    <s v="Rohan Joshi"/>
    <s v="Consumer"/>
    <s v="North"/>
    <s v="Haryana"/>
    <x v="3"/>
    <s v="Apparel"/>
    <s v="Compression Shorts"/>
    <n v="2"/>
    <n v="9600.8700000000008"/>
    <n v="18241.650000000001"/>
    <n v="5"/>
    <n v="1518.68"/>
    <n v="296.01"/>
    <s v="Debit Card"/>
    <s v="Low"/>
    <n v="8.3253433762844914E-2"/>
  </r>
  <r>
    <s v="ORD-10802"/>
    <x v="263"/>
    <s v="Meera Verma"/>
    <s v="Consumer"/>
    <s v="East"/>
    <s v="Odisha"/>
    <x v="5"/>
    <s v="Kids Wear"/>
    <s v="School Uniform Set"/>
    <n v="1"/>
    <n v="1405.64"/>
    <n v="1405.64"/>
    <n v="0"/>
    <n v="191.98"/>
    <n v="30.21"/>
    <s v="Debit Card"/>
    <s v="High"/>
    <n v="0.13657835576676813"/>
  </r>
  <r>
    <s v="ORD-10852"/>
    <x v="264"/>
    <s v="Ananya Reddy"/>
    <s v="Consumer"/>
    <s v="South"/>
    <s v="Tamil Nadu"/>
    <x v="3"/>
    <s v="Gym Equipment"/>
    <s v="Treadmill Compact"/>
    <n v="2"/>
    <n v="3853.44"/>
    <n v="7706.88"/>
    <n v="0"/>
    <n v="1459.96"/>
    <n v="208.94"/>
    <s v="Debit Card"/>
    <s v="Medium"/>
    <n v="0.18943593256934063"/>
  </r>
  <r>
    <s v="ORD-10699"/>
    <x v="265"/>
    <s v="Arjun Agarwal"/>
    <s v="Consumer"/>
    <s v="North"/>
    <s v="Punjab"/>
    <x v="5"/>
    <s v="Men's Wear"/>
    <s v="Casual Blazer"/>
    <n v="5"/>
    <n v="4180.91"/>
    <n v="15678.41"/>
    <n v="25"/>
    <n v="1130.79"/>
    <n v="341.69"/>
    <s v="Credit Card"/>
    <s v="High"/>
    <n v="7.2124022780371222E-2"/>
  </r>
  <r>
    <s v="ORD-10035"/>
    <x v="265"/>
    <s v="Kabir Joshi"/>
    <s v="Small Business"/>
    <s v="South"/>
    <s v="Karnataka"/>
    <x v="2"/>
    <s v="Non-Fiction"/>
    <s v="Modern Economics"/>
    <n v="2"/>
    <n v="401.54"/>
    <n v="602.30999999999995"/>
    <n v="25"/>
    <n v="-1.05"/>
    <n v="360.41"/>
    <s v="Cash on Delivery"/>
    <s v="Medium"/>
    <n v="-1.7432883398914184E-3"/>
  </r>
  <r>
    <s v="ORD-10118"/>
    <x v="265"/>
    <s v="Kabir Mehta"/>
    <s v="Consumer"/>
    <s v="East"/>
    <s v="Odisha"/>
    <x v="0"/>
    <s v="Mobiles"/>
    <s v="iSmart X2"/>
    <n v="2"/>
    <n v="2072.27"/>
    <n v="3937.31"/>
    <n v="5"/>
    <n v="519.29999999999995"/>
    <n v="69.11"/>
    <s v="UPI"/>
    <s v="Medium"/>
    <n v="0.13189207860188809"/>
  </r>
  <r>
    <s v="ORD-10059"/>
    <x v="266"/>
    <s v="Ananya Reddy"/>
    <s v="Small Business"/>
    <s v="North"/>
    <s v="Uttar Pradesh"/>
    <x v="1"/>
    <s v="Appliances"/>
    <s v="Air Fryer"/>
    <n v="1"/>
    <n v="4141.59"/>
    <n v="3520.35"/>
    <n v="15"/>
    <n v="396"/>
    <n v="124.88"/>
    <s v="Debit Card"/>
    <s v="Critical"/>
    <n v="0.1124888150325962"/>
  </r>
  <r>
    <s v="ORD-10200"/>
    <x v="266"/>
    <s v="Raj Bose"/>
    <s v="Corporate"/>
    <s v="West"/>
    <s v="Gujarat"/>
    <x v="4"/>
    <s v="Skincare"/>
    <s v="Vitamin C Serum"/>
    <n v="2"/>
    <n v="1035.04"/>
    <n v="1656.06"/>
    <n v="20"/>
    <n v="286.66000000000003"/>
    <n v="55.95"/>
    <s v="Net Banking"/>
    <s v="Medium"/>
    <n v="0.17309759308237627"/>
  </r>
  <r>
    <s v="ORD-10004"/>
    <x v="266"/>
    <s v="Kabir Singh"/>
    <s v="Corporate"/>
    <s v="East"/>
    <s v="Bihar"/>
    <x v="5"/>
    <s v="Men's Wear"/>
    <s v="Classic Shirt"/>
    <n v="5"/>
    <n v="1063.6600000000001"/>
    <n v="4254.6400000000003"/>
    <n v="20"/>
    <n v="460.39"/>
    <n v="148.69"/>
    <s v="Cash on Delivery"/>
    <s v="Medium"/>
    <n v="0.10820892014365492"/>
  </r>
  <r>
    <s v="ORD-10800"/>
    <x v="267"/>
    <s v="Myra Mehta"/>
    <s v="Corporate"/>
    <s v="West"/>
    <s v="Rajasthan"/>
    <x v="5"/>
    <s v="Kids Wear"/>
    <s v="School Uniform Set"/>
    <n v="3"/>
    <n v="4054.74"/>
    <n v="12164.22"/>
    <n v="0"/>
    <n v="2070.3200000000002"/>
    <n v="167.99"/>
    <s v="Cash on Delivery"/>
    <s v="Low"/>
    <n v="0.17019751369179448"/>
  </r>
  <r>
    <s v="ORD-10271"/>
    <x v="267"/>
    <s v="Dhruv Das"/>
    <s v="Consumer"/>
    <s v="South"/>
    <s v="Karnataka"/>
    <x v="4"/>
    <s v="Fragrances"/>
    <s v="Musk Perfume"/>
    <n v="1"/>
    <n v="917.49"/>
    <n v="779.87"/>
    <n v="15"/>
    <n v="193.54"/>
    <n v="268.67"/>
    <s v="Cash on Delivery"/>
    <s v="High"/>
    <n v="0.24816956672265889"/>
  </r>
  <r>
    <s v="ORD-10009"/>
    <x v="268"/>
    <s v="Neha Khan"/>
    <s v="Corporate"/>
    <s v="East"/>
    <s v="Bihar"/>
    <x v="0"/>
    <s v="Mobiles"/>
    <s v="OnePlus Edge"/>
    <n v="1"/>
    <n v="61312.47"/>
    <n v="58246.85"/>
    <n v="5"/>
    <n v="-1825.22"/>
    <n v="35.11"/>
    <s v="Credit Card"/>
    <s v="Low"/>
    <n v="-3.1335943488789521E-2"/>
  </r>
  <r>
    <s v="ORD-10124"/>
    <x v="269"/>
    <s v="Diya Desai"/>
    <s v="Corporate"/>
    <s v="South"/>
    <s v="Tamil Nadu"/>
    <x v="5"/>
    <s v="Footwear"/>
    <s v="Running Shoes"/>
    <n v="2"/>
    <n v="671.31"/>
    <n v="939.83"/>
    <n v="30"/>
    <n v="79.55"/>
    <n v="298.38"/>
    <s v="Credit Card"/>
    <s v="High"/>
    <n v="8.4642967345158165E-2"/>
  </r>
  <r>
    <s v="ORD-10705"/>
    <x v="269"/>
    <s v="Kiara Das"/>
    <s v="Small Business"/>
    <s v="South"/>
    <s v="Tamil Nadu"/>
    <x v="1"/>
    <s v="Furniture"/>
    <s v="Bookshelf Unit"/>
    <n v="1"/>
    <n v="4190.21"/>
    <n v="3980.7"/>
    <n v="5"/>
    <n v="614.20000000000005"/>
    <n v="331.16"/>
    <s v="UPI"/>
    <s v="Low"/>
    <n v="0.1542944708217148"/>
  </r>
  <r>
    <s v="ORD-10234"/>
    <x v="269"/>
    <s v="Ananya Iyer"/>
    <s v="Small Business"/>
    <s v="West"/>
    <s v="Rajasthan"/>
    <x v="0"/>
    <s v="Headphones"/>
    <s v="SilentPods"/>
    <n v="3"/>
    <n v="47918.94"/>
    <n v="136568.98000000001"/>
    <n v="5"/>
    <n v="5768.51"/>
    <n v="61.07"/>
    <s v="UPI"/>
    <s v="Medium"/>
    <n v="4.2238801227042919E-2"/>
  </r>
  <r>
    <s v="ORD-10609"/>
    <x v="270"/>
    <s v="Simran Das"/>
    <s v="Consumer"/>
    <s v="South"/>
    <s v="Tamil Nadu"/>
    <x v="5"/>
    <s v="Kids Wear"/>
    <s v="School Uniform Set"/>
    <n v="2"/>
    <n v="1453.76"/>
    <n v="2762.14"/>
    <n v="5"/>
    <n v="499.89"/>
    <n v="219.9"/>
    <s v="Credit Card"/>
    <s v="High"/>
    <n v="0.18097924073363408"/>
  </r>
  <r>
    <s v="ORD-10795"/>
    <x v="270"/>
    <s v="Ira Desai"/>
    <s v="Small Business"/>
    <s v="South"/>
    <s v="Telangana"/>
    <x v="4"/>
    <s v="Makeup"/>
    <s v="Eyeliner Pro"/>
    <n v="3"/>
    <n v="1505.77"/>
    <n v="4291.4399999999996"/>
    <n v="5"/>
    <n v="997.5"/>
    <n v="266.32"/>
    <s v="UPI"/>
    <s v="High"/>
    <n v="0.23243946088026399"/>
  </r>
  <r>
    <s v="ORD-10373"/>
    <x v="270"/>
    <s v="Aarav Chopra"/>
    <s v="Corporate"/>
    <s v="North"/>
    <s v="Punjab"/>
    <x v="4"/>
    <s v="Haircare"/>
    <s v="Conditioner Pro"/>
    <n v="1"/>
    <n v="200.76"/>
    <n v="180.68"/>
    <n v="10"/>
    <n v="40.19"/>
    <n v="146.74"/>
    <s v="Credit Card"/>
    <s v="Low"/>
    <n v="0.22243745849014832"/>
  </r>
  <r>
    <s v="ORD-10817"/>
    <x v="270"/>
    <s v="Meera Mishra"/>
    <s v="Consumer"/>
    <s v="South"/>
    <s v="Kerala"/>
    <x v="0"/>
    <s v="Headphones"/>
    <s v="SoundWave Pro"/>
    <n v="2"/>
    <n v="24543.51"/>
    <n v="39269.620000000003"/>
    <n v="20"/>
    <n v="1417.45"/>
    <n v="182.96"/>
    <s v="UPI"/>
    <s v="High"/>
    <n v="3.6095332727945927E-2"/>
  </r>
  <r>
    <s v="ORD-10947"/>
    <x v="270"/>
    <s v="Kabir Nair"/>
    <s v="Corporate"/>
    <s v="South"/>
    <s v="Tamil Nadu"/>
    <x v="1"/>
    <s v="Furniture"/>
    <s v="Wooden Chair"/>
    <n v="3"/>
    <n v="8775.9699999999993"/>
    <n v="26327.91"/>
    <n v="0"/>
    <n v="4605.57"/>
    <n v="225.21"/>
    <s v="Cash on Delivery"/>
    <s v="High"/>
    <n v="0.17493109023845796"/>
  </r>
  <r>
    <s v="ORD-10571"/>
    <x v="270"/>
    <s v="Sai Desai"/>
    <s v="Corporate"/>
    <s v="East"/>
    <s v="Bihar"/>
    <x v="5"/>
    <s v="Kids Wear"/>
    <s v="Cartoon T-Shirt"/>
    <n v="1"/>
    <n v="1336.66"/>
    <n v="1269.83"/>
    <n v="5"/>
    <n v="186.76"/>
    <n v="62.61"/>
    <s v="Credit Card"/>
    <s v="Low"/>
    <n v="0.14707480528889694"/>
  </r>
  <r>
    <s v="ORD-10280"/>
    <x v="271"/>
    <s v="Simran Gupta"/>
    <s v="Corporate"/>
    <s v="North"/>
    <s v="Uttar Pradesh"/>
    <x v="2"/>
    <s v="Fiction"/>
    <s v="The Silent Valley"/>
    <n v="5"/>
    <n v="910.5"/>
    <n v="4097.25"/>
    <n v="10"/>
    <n v="455.91"/>
    <n v="329.73"/>
    <s v="Cash on Delivery"/>
    <s v="Medium"/>
    <n v="0.11127219476478126"/>
  </r>
  <r>
    <s v="ORD-10749"/>
    <x v="271"/>
    <s v="Karan Gupta"/>
    <s v="Consumer"/>
    <s v="West"/>
    <s v="Maharashtra"/>
    <x v="4"/>
    <s v="Makeup"/>
    <s v="Eyeliner Pro"/>
    <n v="4"/>
    <n v="271.64"/>
    <n v="814.92"/>
    <n v="25"/>
    <n v="92.39"/>
    <n v="253.35"/>
    <s v="Credit Card"/>
    <s v="Medium"/>
    <n v="0.11337309183723557"/>
  </r>
  <r>
    <s v="ORD-10151"/>
    <x v="271"/>
    <s v="Meera Mishra"/>
    <s v="Consumer"/>
    <s v="North"/>
    <s v="Uttar Pradesh"/>
    <x v="4"/>
    <s v="Makeup"/>
    <s v="Matte Lipstick"/>
    <n v="3"/>
    <n v="1296.22"/>
    <n v="2916.49"/>
    <n v="25"/>
    <n v="316.32"/>
    <n v="369.76"/>
    <s v="Credit Card"/>
    <s v="Medium"/>
    <n v="0.10845914095368063"/>
  </r>
  <r>
    <s v="ORD-10867"/>
    <x v="272"/>
    <s v="Sai Khan"/>
    <s v="Consumer"/>
    <s v="South"/>
    <s v="Kerala"/>
    <x v="0"/>
    <s v="Cameras"/>
    <s v="ActionCam 4K"/>
    <n v="1"/>
    <n v="39705.14"/>
    <n v="39705.14"/>
    <n v="0"/>
    <n v="6516.34"/>
    <n v="68.52"/>
    <s v="Credit Card"/>
    <s v="High"/>
    <n v="0.16411829803395733"/>
  </r>
  <r>
    <s v="ORD-10023"/>
    <x v="272"/>
    <s v="Reyansh Khan"/>
    <s v="Consumer"/>
    <s v="South"/>
    <s v="Kerala"/>
    <x v="1"/>
    <s v="Furniture"/>
    <s v="Sofa Set"/>
    <n v="1"/>
    <n v="8643.69"/>
    <n v="6482.77"/>
    <n v="25"/>
    <n v="145.69"/>
    <n v="94.55"/>
    <s v="Credit Card"/>
    <s v="Medium"/>
    <n v="2.2473417998787555E-2"/>
  </r>
  <r>
    <s v="ORD-10600"/>
    <x v="272"/>
    <s v="Meera Singh"/>
    <s v="Consumer"/>
    <s v="North"/>
    <s v="Haryana"/>
    <x v="4"/>
    <s v="Skincare"/>
    <s v="Sunscreen SPF50"/>
    <n v="1"/>
    <n v="750.07"/>
    <n v="750.07"/>
    <n v="0"/>
    <n v="208.48"/>
    <n v="199.84"/>
    <s v="Credit Card"/>
    <s v="Low"/>
    <n v="0.27794739157678611"/>
  </r>
  <r>
    <s v="ORD-10143"/>
    <x v="273"/>
    <s v="Kabir Iyer"/>
    <s v="Consumer"/>
    <s v="North"/>
    <s v="Uttar Pradesh"/>
    <x v="1"/>
    <s v="Appliances"/>
    <s v="Mixer Grinder"/>
    <n v="2"/>
    <n v="9554.39"/>
    <n v="14331.58"/>
    <n v="25"/>
    <n v="-196.32"/>
    <n v="216.87"/>
    <s v="Debit Card"/>
    <s v="Critical"/>
    <n v="-1.3698419853219254E-2"/>
  </r>
  <r>
    <s v="ORD-10467"/>
    <x v="274"/>
    <s v="Riya Joshi"/>
    <s v="Consumer"/>
    <s v="North"/>
    <s v="Haryana"/>
    <x v="0"/>
    <s v="Accessories"/>
    <s v="PowerBank 20K"/>
    <n v="4"/>
    <n v="58702.69"/>
    <n v="223070.22"/>
    <n v="5"/>
    <n v="803.76"/>
    <n v="156.38"/>
    <s v="Credit Card"/>
    <s v="Medium"/>
    <n v="3.6031703380218121E-3"/>
  </r>
  <r>
    <s v="ORD-10367"/>
    <x v="275"/>
    <s v="Karan Rao"/>
    <s v="Consumer"/>
    <s v="West"/>
    <s v="Maharashtra"/>
    <x v="0"/>
    <s v="Headphones"/>
    <s v="SilentPods"/>
    <n v="3"/>
    <n v="26910.14"/>
    <n v="64584.34"/>
    <n v="20"/>
    <n v="440.82"/>
    <n v="170.75"/>
    <s v="Credit Card"/>
    <s v="Medium"/>
    <n v="6.8254936103705642E-3"/>
  </r>
  <r>
    <s v="ORD-10790"/>
    <x v="275"/>
    <s v="Aditya Verma"/>
    <s v="Consumer"/>
    <s v="East"/>
    <s v="Bihar"/>
    <x v="4"/>
    <s v="Makeup"/>
    <s v="Compact Powder"/>
    <n v="3"/>
    <n v="658.27"/>
    <n v="1974.81"/>
    <n v="0"/>
    <n v="445.12"/>
    <n v="74.39"/>
    <s v="UPI"/>
    <s v="Medium"/>
    <n v="0.22539889913460029"/>
  </r>
  <r>
    <s v="ORD-10632"/>
    <x v="275"/>
    <s v="Anika Das"/>
    <s v="Corporate"/>
    <s v="South"/>
    <s v="Tamil Nadu"/>
    <x v="2"/>
    <s v="Academic"/>
    <s v="Calculus Made Easy"/>
    <n v="1"/>
    <n v="721.73"/>
    <n v="721.73"/>
    <n v="0"/>
    <n v="93.63"/>
    <n v="95.43"/>
    <s v="Debit Card"/>
    <s v="Medium"/>
    <n v="0.12972995441508597"/>
  </r>
  <r>
    <s v="ORD-10755"/>
    <x v="276"/>
    <s v="Raj Mehta"/>
    <s v="Consumer"/>
    <s v="North"/>
    <s v="Delhi"/>
    <x v="2"/>
    <s v="Fiction"/>
    <s v="Whispering Pines"/>
    <n v="3"/>
    <n v="581.75"/>
    <n v="1657.99"/>
    <n v="5"/>
    <n v="299.66000000000003"/>
    <n v="241.18"/>
    <s v="UPI"/>
    <s v="Low"/>
    <n v="0.18073691638670922"/>
  </r>
  <r>
    <s v="ORD-10476"/>
    <x v="277"/>
    <s v="Kabir Malhotra"/>
    <s v="Consumer"/>
    <s v="South"/>
    <s v="Kerala"/>
    <x v="1"/>
    <s v="Decor"/>
    <s v="Ceramic Vase"/>
    <n v="2"/>
    <n v="9286.35"/>
    <n v="14858.16"/>
    <n v="20"/>
    <n v="508.4"/>
    <n v="297.3"/>
    <s v="Credit Card"/>
    <s v="Medium"/>
    <n v="3.4216888228421283E-2"/>
  </r>
  <r>
    <s v="ORD-10739"/>
    <x v="277"/>
    <s v="Sai Mishra"/>
    <s v="Small Business"/>
    <s v="North"/>
    <s v="Punjab"/>
    <x v="1"/>
    <s v="Decor"/>
    <s v="Ceramic Vase"/>
    <n v="1"/>
    <n v="3395.48"/>
    <n v="2376.84"/>
    <n v="30"/>
    <n v="-149.94"/>
    <n v="277.77999999999997"/>
    <s v="Credit Card"/>
    <s v="Medium"/>
    <n v="-6.3083758267279244E-2"/>
  </r>
  <r>
    <s v="ORD-10125"/>
    <x v="277"/>
    <s v="Neha Rao"/>
    <s v="Small Business"/>
    <s v="West"/>
    <s v="Rajasthan"/>
    <x v="3"/>
    <s v="Footwear"/>
    <s v="Sandals"/>
    <n v="1"/>
    <n v="2313.3200000000002"/>
    <n v="1619.32"/>
    <n v="30"/>
    <n v="152.94999999999999"/>
    <n v="98.15"/>
    <s v="UPI"/>
    <s v="Medium"/>
    <n v="9.4453227280586916E-2"/>
  </r>
  <r>
    <s v="ORD-10399"/>
    <x v="278"/>
    <s v="Riya Chopra"/>
    <s v="Corporate"/>
    <s v="West"/>
    <s v="Rajasthan"/>
    <x v="0"/>
    <s v="Accessories"/>
    <s v="Screen Guard"/>
    <n v="1"/>
    <n v="15530.48"/>
    <n v="13977.43"/>
    <n v="10"/>
    <n v="-171.09"/>
    <n v="170.61"/>
    <s v="Debit Card"/>
    <s v="High"/>
    <n v="-1.2240447635938796E-2"/>
  </r>
  <r>
    <s v="ORD-10666"/>
    <x v="279"/>
    <s v="Neha Khan"/>
    <s v="Consumer"/>
    <s v="East"/>
    <s v="Bihar"/>
    <x v="0"/>
    <s v="Headphones"/>
    <s v="SilentPods"/>
    <n v="3"/>
    <n v="18927.009999999998"/>
    <n v="53941.98"/>
    <n v="5"/>
    <n v="5559.86"/>
    <n v="148.41999999999999"/>
    <s v="Credit Card"/>
    <s v="Critical"/>
    <n v="0.10307111455678859"/>
  </r>
  <r>
    <s v="ORD-10769"/>
    <x v="279"/>
    <s v="Myra Mishra"/>
    <s v="Consumer"/>
    <s v="North"/>
    <s v="Punjab"/>
    <x v="3"/>
    <s v="Gym Equipment"/>
    <s v="Resistance Bands Set"/>
    <n v="3"/>
    <n v="10391.040000000001"/>
    <n v="28055.81"/>
    <n v="10"/>
    <n v="1131.74"/>
    <n v="279.42"/>
    <s v="Credit Card"/>
    <s v="Low"/>
    <n v="4.0338881679053286E-2"/>
  </r>
  <r>
    <s v="ORD-10135"/>
    <x v="280"/>
    <s v="Priya Das"/>
    <s v="Consumer"/>
    <s v="North"/>
    <s v="Delhi"/>
    <x v="0"/>
    <s v="Laptops"/>
    <s v="GameForce X"/>
    <n v="1"/>
    <n v="36208.04"/>
    <n v="28966.43"/>
    <n v="20"/>
    <n v="-3687.22"/>
    <n v="316.14999999999998"/>
    <s v="Credit Card"/>
    <s v="Critical"/>
    <n v="-0.12729286971159373"/>
  </r>
  <r>
    <s v="ORD-10494"/>
    <x v="281"/>
    <s v="Diya Rao"/>
    <s v="Consumer"/>
    <s v="East"/>
    <s v="Odisha"/>
    <x v="0"/>
    <s v="Cameras"/>
    <s v="ActionCam 4K"/>
    <n v="2"/>
    <n v="39932.32"/>
    <n v="79864.639999999999"/>
    <n v="0"/>
    <n v="7547.46"/>
    <n v="247.02"/>
    <s v="UPI"/>
    <s v="Medium"/>
    <n v="9.4503149328664104E-2"/>
  </r>
  <r>
    <s v="ORD-10177"/>
    <x v="282"/>
    <s v="Aarav Gupta"/>
    <s v="Consumer"/>
    <s v="South"/>
    <s v="Telangana"/>
    <x v="2"/>
    <s v="Comics"/>
    <s v="SuperHero Chronicles"/>
    <n v="1"/>
    <n v="278.95"/>
    <n v="251.06"/>
    <n v="10"/>
    <n v="14.72"/>
    <n v="89.62"/>
    <s v="Debit Card"/>
    <s v="Medium"/>
    <n v="5.8631402851907911E-2"/>
  </r>
  <r>
    <s v="ORD-10566"/>
    <x v="283"/>
    <s v="Aadhya Nair"/>
    <s v="Consumer"/>
    <s v="South"/>
    <s v="Kerala"/>
    <x v="0"/>
    <s v="Laptops"/>
    <s v="GameForce X"/>
    <n v="5"/>
    <n v="19700.09"/>
    <n v="98500.45"/>
    <n v="0"/>
    <n v="20777.39"/>
    <n v="270.25"/>
    <s v="UPI"/>
    <s v="Low"/>
    <n v="0.21093700587154679"/>
  </r>
  <r>
    <s v="ORD-10166"/>
    <x v="284"/>
    <s v="Sai Malhotra"/>
    <s v="Consumer"/>
    <s v="West"/>
    <s v="Rajasthan"/>
    <x v="3"/>
    <s v="Footwear"/>
    <s v="Sandals"/>
    <n v="2"/>
    <n v="11248.81"/>
    <n v="20247.86"/>
    <n v="10"/>
    <n v="3086"/>
    <n v="55.73"/>
    <s v="Cash on Delivery"/>
    <s v="Medium"/>
    <n v="0.15241116839014099"/>
  </r>
  <r>
    <s v="ORD-10716"/>
    <x v="285"/>
    <s v="Reyansh Agarwal"/>
    <s v="Consumer"/>
    <s v="East"/>
    <s v="West Bengal"/>
    <x v="4"/>
    <s v="Skincare"/>
    <s v="Vitamin C Serum"/>
    <n v="4"/>
    <n v="1515.4"/>
    <n v="6061.6"/>
    <n v="0"/>
    <n v="1526.08"/>
    <n v="390.6"/>
    <s v="Credit Card"/>
    <s v="Critical"/>
    <n v="0.25176191104658835"/>
  </r>
  <r>
    <s v="ORD-10259"/>
    <x v="286"/>
    <s v="Ananya Singh"/>
    <s v="Corporate"/>
    <s v="West"/>
    <s v="Rajasthan"/>
    <x v="0"/>
    <s v="Accessories"/>
    <s v="PowerBank 20K"/>
    <n v="2"/>
    <n v="2375.69"/>
    <n v="4276.24"/>
    <n v="10"/>
    <n v="424.71"/>
    <n v="170.49"/>
    <s v="Cash on Delivery"/>
    <s v="Medium"/>
    <n v="9.9318560230482855E-2"/>
  </r>
  <r>
    <s v="ORD-10708"/>
    <x v="286"/>
    <s v="Navya Das"/>
    <s v="Small Business"/>
    <s v="East"/>
    <s v="West Bengal"/>
    <x v="5"/>
    <s v="Men's Wear"/>
    <s v="Casual Blazer"/>
    <n v="4"/>
    <n v="2144.6799999999998"/>
    <n v="8578.7199999999993"/>
    <n v="0"/>
    <n v="1980.75"/>
    <n v="270.37"/>
    <s v="Debit Card"/>
    <s v="High"/>
    <n v="0.23089108864725741"/>
  </r>
  <r>
    <s v="ORD-10400"/>
    <x v="286"/>
    <s v="Rohan Desai"/>
    <s v="Small Business"/>
    <s v="South"/>
    <s v="Kerala"/>
    <x v="0"/>
    <s v="Headphones"/>
    <s v="EchoBuds"/>
    <n v="2"/>
    <n v="60426.66"/>
    <n v="114810.65"/>
    <n v="5"/>
    <n v="-3251.19"/>
    <n v="261.31"/>
    <s v="UPI"/>
    <s v="High"/>
    <n v="-2.8317843335962302E-2"/>
  </r>
  <r>
    <s v="ORD-10890"/>
    <x v="287"/>
    <s v="Aditya Agarwal"/>
    <s v="Consumer"/>
    <s v="South"/>
    <s v="Karnataka"/>
    <x v="3"/>
    <s v="Apparel"/>
    <s v="Track Pants"/>
    <n v="2"/>
    <n v="4590.29"/>
    <n v="7344.46"/>
    <n v="20"/>
    <n v="997.17"/>
    <n v="194.66"/>
    <s v="UPI"/>
    <s v="Medium"/>
    <n v="0.13577172453795106"/>
  </r>
  <r>
    <s v="ORD-10849"/>
    <x v="287"/>
    <s v="Raj Desai"/>
    <s v="Consumer"/>
    <s v="West"/>
    <s v="Gujarat"/>
    <x v="5"/>
    <s v="Footwear"/>
    <s v="Formal Loafers"/>
    <n v="1"/>
    <n v="1573.8"/>
    <n v="1573.8"/>
    <n v="0"/>
    <n v="361.22"/>
    <n v="200.1"/>
    <s v="Cash on Delivery"/>
    <s v="High"/>
    <n v="0.22952090481636805"/>
  </r>
  <r>
    <s v="ORD-10101"/>
    <x v="287"/>
    <s v="Diya Mehta"/>
    <s v="Consumer"/>
    <s v="South"/>
    <s v="Telangana"/>
    <x v="2"/>
    <s v="Non-Fiction"/>
    <s v="History Untold"/>
    <n v="3"/>
    <n v="655.75"/>
    <n v="1672.16"/>
    <n v="15"/>
    <n v="223.92"/>
    <n v="139.59"/>
    <s v="Credit Card"/>
    <s v="Medium"/>
    <n v="0.13391063056166871"/>
  </r>
  <r>
    <s v="ORD-10233"/>
    <x v="288"/>
    <s v="Ananya Nair"/>
    <s v="Small Business"/>
    <s v="West"/>
    <s v="Maharashtra"/>
    <x v="1"/>
    <s v="Furniture"/>
    <s v="Study Table"/>
    <n v="3"/>
    <n v="11218.04"/>
    <n v="31971.41"/>
    <n v="5"/>
    <n v="4756.8999999999996"/>
    <n v="245.84"/>
    <s v="Credit Card"/>
    <s v="Medium"/>
    <n v="0.14878605604194498"/>
  </r>
  <r>
    <s v="ORD-10534"/>
    <x v="288"/>
    <s v="Aditya Agarwal"/>
    <s v="Consumer"/>
    <s v="East"/>
    <s v="Odisha"/>
    <x v="5"/>
    <s v="Women's Wear"/>
    <s v="Silk Saree"/>
    <n v="2"/>
    <n v="3277.86"/>
    <n v="6227.93"/>
    <n v="5"/>
    <n v="972.65"/>
    <n v="101.69"/>
    <s v="Credit Card"/>
    <s v="Medium"/>
    <n v="0.15617548687926805"/>
  </r>
  <r>
    <s v="ORD-10713"/>
    <x v="288"/>
    <s v="Dhruv Singh"/>
    <s v="Consumer"/>
    <s v="West"/>
    <s v="Rajasthan"/>
    <x v="2"/>
    <s v="Academic"/>
    <s v="Calculus Made Easy"/>
    <n v="1"/>
    <n v="1085.4000000000001"/>
    <n v="759.78"/>
    <n v="30"/>
    <n v="-49.75"/>
    <n v="63.71"/>
    <s v="UPI"/>
    <s v="Critical"/>
    <n v="-6.547948090236648E-2"/>
  </r>
  <r>
    <s v="ORD-10326"/>
    <x v="289"/>
    <s v="Meera Kapoor"/>
    <s v="Corporate"/>
    <s v="East"/>
    <s v="West Bengal"/>
    <x v="4"/>
    <s v="Haircare"/>
    <s v="Hair Mask Deep Repair"/>
    <n v="1"/>
    <n v="746.35"/>
    <n v="709.03"/>
    <n v="5"/>
    <n v="118.98"/>
    <n v="149.44"/>
    <s v="Credit Card"/>
    <s v="Low"/>
    <n v="0.16780672185944179"/>
  </r>
  <r>
    <s v="ORD-10335"/>
    <x v="290"/>
    <s v="Raj Khan"/>
    <s v="Small Business"/>
    <s v="South"/>
    <s v="Tamil Nadu"/>
    <x v="4"/>
    <s v="Haircare"/>
    <s v="Argan Oil Shampoo"/>
    <n v="2"/>
    <n v="1850.56"/>
    <n v="2960.9"/>
    <n v="20"/>
    <n v="520.55999999999995"/>
    <n v="308.42"/>
    <s v="Credit Card"/>
    <s v="High"/>
    <n v="0.1758114086933027"/>
  </r>
  <r>
    <s v="ORD-10509"/>
    <x v="290"/>
    <s v="Ishaan Gupta"/>
    <s v="Small Business"/>
    <s v="West"/>
    <s v="Gujarat"/>
    <x v="0"/>
    <s v="Cameras"/>
    <s v="ActionCam 4K"/>
    <n v="3"/>
    <n v="24745.58"/>
    <n v="70524.899999999994"/>
    <n v="5"/>
    <n v="4192.25"/>
    <n v="300.38"/>
    <s v="Cash on Delivery"/>
    <s v="Low"/>
    <n v="5.9443544053235105E-2"/>
  </r>
  <r>
    <s v="ORD-10385"/>
    <x v="291"/>
    <s v="Anika Desai"/>
    <s v="Consumer"/>
    <s v="North"/>
    <s v="Uttar Pradesh"/>
    <x v="2"/>
    <s v="Fiction"/>
    <s v="Mystery of Ashgrove"/>
    <n v="3"/>
    <n v="562.01"/>
    <n v="1517.43"/>
    <n v="10"/>
    <n v="158.68"/>
    <n v="361.71"/>
    <s v="UPI"/>
    <s v="Medium"/>
    <n v="0.10457154531016258"/>
  </r>
  <r>
    <s v="ORD-10046"/>
    <x v="291"/>
    <s v="Karan Bose"/>
    <s v="Consumer"/>
    <s v="East"/>
    <s v="Odisha"/>
    <x v="5"/>
    <s v="Men's Wear"/>
    <s v="Casual Blazer"/>
    <n v="2"/>
    <n v="3109.75"/>
    <n v="5597.55"/>
    <n v="10"/>
    <n v="992.57"/>
    <n v="230.82"/>
    <s v="Debit Card"/>
    <s v="Low"/>
    <n v="0.17732222132897429"/>
  </r>
  <r>
    <s v="ORD-10378"/>
    <x v="291"/>
    <s v="Ayaan Iyer"/>
    <s v="Consumer"/>
    <s v="North"/>
    <s v="Haryana"/>
    <x v="2"/>
    <s v="Fiction"/>
    <s v="Beyond the Horizon"/>
    <n v="1"/>
    <n v="597.39"/>
    <n v="597.39"/>
    <n v="0"/>
    <n v="116.86"/>
    <n v="71.83"/>
    <s v="UPI"/>
    <s v="Medium"/>
    <n v="0.19561760324076399"/>
  </r>
  <r>
    <s v="ORD-10949"/>
    <x v="292"/>
    <s v="Myra Nair"/>
    <s v="Corporate"/>
    <s v="North"/>
    <s v="Delhi"/>
    <x v="2"/>
    <s v="Non-Fiction"/>
    <s v="The Growth Mindset"/>
    <n v="3"/>
    <n v="1181.6500000000001"/>
    <n v="2658.71"/>
    <n v="25"/>
    <n v="-89.72"/>
    <n v="200.75"/>
    <s v="Credit Card"/>
    <s v="High"/>
    <n v="-3.3745688698654609E-2"/>
  </r>
  <r>
    <s v="ORD-10900"/>
    <x v="293"/>
    <s v="Priya Agarwal"/>
    <s v="Small Business"/>
    <s v="West"/>
    <s v="Maharashtra"/>
    <x v="5"/>
    <s v="Footwear"/>
    <s v="Running Shoes"/>
    <n v="3"/>
    <n v="830.82"/>
    <n v="1869.35"/>
    <n v="25"/>
    <n v="-66.819999999999993"/>
    <n v="68.91"/>
    <s v="Credit Card"/>
    <s v="High"/>
    <n v="-3.5745045069141682E-2"/>
  </r>
  <r>
    <s v="ORD-10440"/>
    <x v="294"/>
    <s v="Simran Mishra"/>
    <s v="Consumer"/>
    <s v="North"/>
    <s v="Haryana"/>
    <x v="0"/>
    <s v="Cameras"/>
    <s v="PixelPro DSLR"/>
    <n v="3"/>
    <n v="54018"/>
    <n v="162054"/>
    <n v="0"/>
    <n v="20385.900000000001"/>
    <n v="312.07"/>
    <s v="UPI"/>
    <s v="Medium"/>
    <n v="0.12579695657003223"/>
  </r>
  <r>
    <s v="ORD-10314"/>
    <x v="295"/>
    <s v="Meera Nair"/>
    <s v="Consumer"/>
    <s v="North"/>
    <s v="Punjab"/>
    <x v="0"/>
    <s v="Laptops"/>
    <s v="GameForce X"/>
    <n v="1"/>
    <n v="32388.41"/>
    <n v="22671.89"/>
    <n v="30"/>
    <n v="-1420.97"/>
    <n v="243.4"/>
    <s v="UPI"/>
    <s v="High"/>
    <n v="-6.2675409945972746E-2"/>
  </r>
  <r>
    <s v="ORD-10523"/>
    <x v="295"/>
    <s v="Myra Reddy"/>
    <s v="Small Business"/>
    <s v="East"/>
    <s v="Bihar"/>
    <x v="4"/>
    <s v="Fragrances"/>
    <s v="Woody Cologne"/>
    <n v="3"/>
    <n v="1087.51"/>
    <n v="3262.53"/>
    <n v="0"/>
    <n v="984.7"/>
    <n v="92.4"/>
    <s v="Credit Card"/>
    <s v="High"/>
    <n v="0.30182097942394398"/>
  </r>
  <r>
    <s v="ORD-10966"/>
    <x v="295"/>
    <s v="Aditya Iyer"/>
    <s v="Consumer"/>
    <s v="East"/>
    <s v="Odisha"/>
    <x v="5"/>
    <s v="Kids Wear"/>
    <s v="Winter Jacket Jr"/>
    <n v="3"/>
    <n v="497.29"/>
    <n v="1268.0899999999999"/>
    <n v="15"/>
    <n v="159.72"/>
    <n v="356.98"/>
    <s v="Net Banking"/>
    <s v="Medium"/>
    <n v="0.12595320521414097"/>
  </r>
  <r>
    <s v="ORD-10611"/>
    <x v="296"/>
    <s v="Ira Nair"/>
    <s v="Consumer"/>
    <s v="West"/>
    <s v="Gujarat"/>
    <x v="3"/>
    <s v="Apparel"/>
    <s v="Sports Jacket"/>
    <n v="1"/>
    <n v="13500.93"/>
    <n v="12150.84"/>
    <n v="10"/>
    <n v="1191.58"/>
    <n v="348.39"/>
    <s v="Debit Card"/>
    <s v="Medium"/>
    <n v="9.8065648136260536E-2"/>
  </r>
  <r>
    <s v="ORD-10573"/>
    <x v="296"/>
    <s v="Ira Das"/>
    <s v="Consumer"/>
    <s v="East"/>
    <s v="West Bengal"/>
    <x v="3"/>
    <s v="Outdoor Gear"/>
    <s v="Camping Tent"/>
    <n v="1"/>
    <n v="8727"/>
    <n v="8727"/>
    <n v="0"/>
    <n v="925.25"/>
    <n v="329.62"/>
    <s v="UPI"/>
    <s v="Medium"/>
    <n v="0.10602154233986479"/>
  </r>
  <r>
    <s v="ORD-10930"/>
    <x v="297"/>
    <s v="Ishaan Nair"/>
    <s v="Consumer"/>
    <s v="East"/>
    <s v="West Bengal"/>
    <x v="3"/>
    <s v="Outdoor Gear"/>
    <s v="Hiking Backpack"/>
    <n v="1"/>
    <n v="2114.5500000000002"/>
    <n v="1585.91"/>
    <n v="25"/>
    <n v="-35.770000000000003"/>
    <n v="217.05"/>
    <s v="Credit Card"/>
    <s v="Medium"/>
    <n v="-2.2554873857911231E-2"/>
  </r>
  <r>
    <s v="ORD-10235"/>
    <x v="297"/>
    <s v="Ishaan Mehta"/>
    <s v="Consumer"/>
    <s v="East"/>
    <s v="West Bengal"/>
    <x v="3"/>
    <s v="Outdoor Gear"/>
    <s v="Trekking Pole"/>
    <n v="2"/>
    <n v="5545.21"/>
    <n v="8317.82"/>
    <n v="25"/>
    <n v="-2.54"/>
    <n v="119.75"/>
    <s v="Cash on Delivery"/>
    <s v="Medium"/>
    <n v="-3.053684739511074E-4"/>
  </r>
  <r>
    <s v="ORD-10992"/>
    <x v="297"/>
    <s v="Raj Chopra"/>
    <s v="Consumer"/>
    <s v="North"/>
    <s v="Uttar Pradesh"/>
    <x v="4"/>
    <s v="Skincare"/>
    <s v="Aloe Moisturizer"/>
    <n v="1"/>
    <n v="1337.4"/>
    <n v="1337.4"/>
    <n v="0"/>
    <n v="337.59"/>
    <n v="68.94"/>
    <s v="Credit Card"/>
    <s v="Medium"/>
    <n v="0.25242261103633912"/>
  </r>
  <r>
    <s v="ORD-10601"/>
    <x v="298"/>
    <s v="Dhruv Agarwal"/>
    <s v="Small Business"/>
    <s v="East"/>
    <s v="Bihar"/>
    <x v="3"/>
    <s v="Apparel"/>
    <s v="Track Pants"/>
    <n v="5"/>
    <n v="9793.26"/>
    <n v="41621.360000000001"/>
    <n v="15"/>
    <n v="7638.19"/>
    <n v="155.59"/>
    <s v="UPI"/>
    <s v="High"/>
    <n v="0.18351610807527671"/>
  </r>
  <r>
    <s v="ORD-10391"/>
    <x v="299"/>
    <s v="Ira Agarwal"/>
    <s v="Consumer"/>
    <s v="West"/>
    <s v="Gujarat"/>
    <x v="2"/>
    <s v="Comics"/>
    <s v="SuperHero Chronicles"/>
    <n v="4"/>
    <n v="224.82"/>
    <n v="854.32"/>
    <n v="5"/>
    <n v="68.239999999999995"/>
    <n v="169.89"/>
    <s v="UPI"/>
    <s v="High"/>
    <n v="7.9876392920685449E-2"/>
  </r>
  <r>
    <s v="ORD-10001"/>
    <x v="300"/>
    <s v="Kabir Desai"/>
    <s v="Consumer"/>
    <s v="East"/>
    <s v="West Bengal"/>
    <x v="5"/>
    <s v="Women's Wear"/>
    <s v="Floral Dress"/>
    <n v="1"/>
    <n v="4293"/>
    <n v="4293"/>
    <n v="0"/>
    <n v="1083.49"/>
    <n v="79.930000000000007"/>
    <s v="Credit Card"/>
    <s v="Medium"/>
    <n v="0.25238527836012115"/>
  </r>
  <r>
    <s v="ORD-10415"/>
    <x v="301"/>
    <s v="Pooja Mehta"/>
    <s v="Small Business"/>
    <s v="North"/>
    <s v="Delhi"/>
    <x v="3"/>
    <s v="Apparel"/>
    <s v="Sports T-Shirt"/>
    <n v="1"/>
    <n v="5740.33"/>
    <n v="4879.28"/>
    <n v="15"/>
    <n v="320.2"/>
    <n v="127.79"/>
    <s v="Debit Card"/>
    <s v="Low"/>
    <n v="6.5624436392254598E-2"/>
  </r>
  <r>
    <s v="ORD-10747"/>
    <x v="301"/>
    <s v="Rohan Mehta"/>
    <s v="Consumer"/>
    <s v="West"/>
    <s v="Maharashtra"/>
    <x v="0"/>
    <s v="Headphones"/>
    <s v="StudioMax"/>
    <n v="3"/>
    <n v="53193.15"/>
    <n v="151600.48000000001"/>
    <n v="5"/>
    <n v="16013.77"/>
    <n v="120.07"/>
    <s v="Cash on Delivery"/>
    <s v="Critical"/>
    <n v="0.10563139377922813"/>
  </r>
  <r>
    <s v="ORD-10484"/>
    <x v="301"/>
    <s v="Kiara Reddy"/>
    <s v="Consumer"/>
    <s v="South"/>
    <s v="Telangana"/>
    <x v="0"/>
    <s v="Headphones"/>
    <s v="BassBoost 300"/>
    <n v="2"/>
    <n v="35696.559999999998"/>
    <n v="67823.460000000006"/>
    <n v="5"/>
    <n v="11839.55"/>
    <n v="75.89"/>
    <s v="Debit Card"/>
    <s v="High"/>
    <n v="0.17456422895558554"/>
  </r>
  <r>
    <s v="ORD-10841"/>
    <x v="302"/>
    <s v="Arjun Khan"/>
    <s v="Small Business"/>
    <s v="East"/>
    <s v="Bihar"/>
    <x v="0"/>
    <s v="Cameras"/>
    <s v="SnapLite Mini"/>
    <n v="1"/>
    <n v="28222.36"/>
    <n v="25400.12"/>
    <n v="10"/>
    <n v="129.69999999999999"/>
    <n v="76.180000000000007"/>
    <s v="UPI"/>
    <s v="High"/>
    <n v="5.1062750884641487E-3"/>
  </r>
  <r>
    <s v="ORD-10980"/>
    <x v="303"/>
    <s v="Saanvi Rao"/>
    <s v="Consumer"/>
    <s v="South"/>
    <s v="Telangana"/>
    <x v="5"/>
    <s v="Kids Wear"/>
    <s v="School Uniform Set"/>
    <n v="2"/>
    <n v="4286.95"/>
    <n v="7716.51"/>
    <n v="10"/>
    <n v="1478.91"/>
    <n v="326.47000000000003"/>
    <s v="Debit Card"/>
    <s v="Medium"/>
    <n v="0.19165529494551295"/>
  </r>
  <r>
    <s v="ORD-10343"/>
    <x v="303"/>
    <s v="Arjun Desai"/>
    <s v="Consumer"/>
    <s v="West"/>
    <s v="Gujarat"/>
    <x v="4"/>
    <s v="Makeup"/>
    <s v="Compact Powder"/>
    <n v="2"/>
    <n v="1549.2"/>
    <n v="2788.56"/>
    <n v="10"/>
    <n v="686.59"/>
    <n v="321.10000000000002"/>
    <s v="UPI"/>
    <s v="Medium"/>
    <n v="0.24621668531428409"/>
  </r>
  <r>
    <s v="ORD-10774"/>
    <x v="303"/>
    <s v="Vihaan Sharma"/>
    <s v="Consumer"/>
    <s v="North"/>
    <s v="Uttar Pradesh"/>
    <x v="2"/>
    <s v="Academic"/>
    <s v="Calculus Made Easy"/>
    <n v="2"/>
    <n v="1077.06"/>
    <n v="1938.71"/>
    <n v="10"/>
    <n v="160.04"/>
    <n v="255.89"/>
    <s v="Credit Card"/>
    <s v="Critical"/>
    <n v="8.2549736680576261E-2"/>
  </r>
  <r>
    <s v="ORD-10239"/>
    <x v="304"/>
    <s v="Ananya Khan"/>
    <s v="Small Business"/>
    <s v="West"/>
    <s v="Maharashtra"/>
    <x v="0"/>
    <s v="Headphones"/>
    <s v="BassBoost 300"/>
    <n v="1"/>
    <n v="57611.89"/>
    <n v="57611.89"/>
    <n v="0"/>
    <n v="8156.53"/>
    <n v="346.54"/>
    <s v="Debit Card"/>
    <s v="High"/>
    <n v="0.14157719873449734"/>
  </r>
  <r>
    <s v="ORD-10521"/>
    <x v="304"/>
    <s v="Anika Chopra"/>
    <s v="Consumer"/>
    <s v="East"/>
    <s v="Odisha"/>
    <x v="1"/>
    <s v="Decor"/>
    <s v="Ceramic Vase"/>
    <n v="1"/>
    <n v="2321.29"/>
    <n v="1973.1"/>
    <n v="15"/>
    <n v="137.69999999999999"/>
    <n v="273.81"/>
    <s v="UPI"/>
    <s v="Critical"/>
    <n v="6.9788657442603014E-2"/>
  </r>
  <r>
    <s v="ORD-10644"/>
    <x v="305"/>
    <s v="Pooja Joshi"/>
    <s v="Small Business"/>
    <s v="West"/>
    <s v="Gujarat"/>
    <x v="4"/>
    <s v="Haircare"/>
    <s v="Hair Growth Serum"/>
    <n v="3"/>
    <n v="818.75"/>
    <n v="2087.81"/>
    <n v="15"/>
    <n v="420.55"/>
    <n v="225.63"/>
    <s v="Credit Card"/>
    <s v="Medium"/>
    <n v="0.20143116471326414"/>
  </r>
  <r>
    <s v="ORD-10702"/>
    <x v="306"/>
    <s v="Kabir Reddy"/>
    <s v="Consumer"/>
    <s v="East"/>
    <s v="Bihar"/>
    <x v="1"/>
    <s v="Furniture"/>
    <s v="Bookshelf Unit"/>
    <n v="5"/>
    <n v="5542.36"/>
    <n v="27711.8"/>
    <n v="0"/>
    <n v="4139.8100000000004"/>
    <n v="267.08"/>
    <s v="Cash on Delivery"/>
    <s v="Low"/>
    <n v="0.14938798634516706"/>
  </r>
  <r>
    <s v="ORD-10090"/>
    <x v="307"/>
    <s v="Sai Malhotra"/>
    <s v="Consumer"/>
    <s v="South"/>
    <s v="Telangana"/>
    <x v="2"/>
    <s v="Comics"/>
    <s v="Graphic Tales"/>
    <n v="1"/>
    <n v="1100.6500000000001"/>
    <n v="825.49"/>
    <n v="25"/>
    <n v="-34.78"/>
    <n v="59.21"/>
    <s v="UPI"/>
    <s v="High"/>
    <n v="-4.2132551575427932E-2"/>
  </r>
  <r>
    <s v="ORD-10824"/>
    <x v="308"/>
    <s v="Aditya Malhotra"/>
    <s v="Small Business"/>
    <s v="East"/>
    <s v="Bihar"/>
    <x v="4"/>
    <s v="Skincare"/>
    <s v="Vitamin C Serum"/>
    <n v="4"/>
    <n v="2465.15"/>
    <n v="8874.5400000000009"/>
    <n v="10"/>
    <n v="1384.71"/>
    <n v="375.48"/>
    <s v="UPI"/>
    <s v="Medium"/>
    <n v="0.15603174925122879"/>
  </r>
  <r>
    <s v="ORD-10851"/>
    <x v="309"/>
    <s v="Anika Das"/>
    <s v="Consumer"/>
    <s v="East"/>
    <s v="Bihar"/>
    <x v="3"/>
    <s v="Outdoor Gear"/>
    <s v="Hiking Backpack"/>
    <n v="1"/>
    <n v="9421.85"/>
    <n v="9421.85"/>
    <n v="0"/>
    <n v="2138.16"/>
    <n v="300.36"/>
    <s v="Credit Card"/>
    <s v="Critical"/>
    <n v="0.22693632354580043"/>
  </r>
  <r>
    <s v="ORD-10164"/>
    <x v="309"/>
    <s v="Priya Das"/>
    <s v="Corporate"/>
    <s v="East"/>
    <s v="Bihar"/>
    <x v="2"/>
    <s v="Comics"/>
    <s v="SuperHero Chronicles"/>
    <n v="1"/>
    <n v="325.07"/>
    <n v="325.07"/>
    <n v="0"/>
    <n v="72.040000000000006"/>
    <n v="311.16000000000003"/>
    <s v="Debit Card"/>
    <s v="Low"/>
    <n v="0.22161380625711388"/>
  </r>
  <r>
    <s v="ORD-10679"/>
    <x v="310"/>
    <s v="Myra Desai"/>
    <s v="Consumer"/>
    <s v="West"/>
    <s v="Rajasthan"/>
    <x v="1"/>
    <s v="Cookware"/>
    <s v="Cookware Combo"/>
    <n v="2"/>
    <n v="578.58000000000004"/>
    <n v="1157.1600000000001"/>
    <n v="0"/>
    <n v="119.7"/>
    <n v="189.08"/>
    <s v="Net Banking"/>
    <s v="High"/>
    <n v="0.1034429119568599"/>
  </r>
  <r>
    <s v="ORD-10718"/>
    <x v="310"/>
    <s v="Ananya Rao"/>
    <s v="Small Business"/>
    <s v="West"/>
    <s v="Rajasthan"/>
    <x v="1"/>
    <s v="Furniture"/>
    <s v="Wooden Chair"/>
    <n v="2"/>
    <n v="2762.54"/>
    <n v="4972.57"/>
    <n v="10"/>
    <n v="17.239999999999998"/>
    <n v="149.82"/>
    <s v="Net Banking"/>
    <s v="Low"/>
    <n v="3.4670200721156263E-3"/>
  </r>
  <r>
    <s v="ORD-10411"/>
    <x v="310"/>
    <s v="Ananya Patel"/>
    <s v="Small Business"/>
    <s v="South"/>
    <s v="Tamil Nadu"/>
    <x v="2"/>
    <s v="Comics"/>
    <s v="SuperHero Chronicles"/>
    <n v="2"/>
    <n v="441.8"/>
    <n v="751.06"/>
    <n v="15"/>
    <n v="54.26"/>
    <n v="255.42"/>
    <s v="Debit Card"/>
    <s v="High"/>
    <n v="7.2244561020424466E-2"/>
  </r>
  <r>
    <s v="ORD-10617"/>
    <x v="311"/>
    <s v="Vivaan Agarwal"/>
    <s v="Consumer"/>
    <s v="North"/>
    <s v="Uttar Pradesh"/>
    <x v="3"/>
    <s v="Apparel"/>
    <s v="Sports Jacket"/>
    <n v="3"/>
    <n v="14517.32"/>
    <n v="37019.17"/>
    <n v="15"/>
    <n v="6015.59"/>
    <n v="307.39"/>
    <s v="Cash on Delivery"/>
    <s v="Medium"/>
    <n v="0.16249932129758718"/>
  </r>
  <r>
    <s v="ORD-10561"/>
    <x v="311"/>
    <s v="Karan Chopra"/>
    <s v="Corporate"/>
    <s v="North"/>
    <s v="Uttar Pradesh"/>
    <x v="2"/>
    <s v="Academic"/>
    <s v="Physics Fundamentals"/>
    <n v="2"/>
    <n v="895.62"/>
    <n v="1522.55"/>
    <n v="15"/>
    <n v="7.49"/>
    <n v="321.29000000000002"/>
    <s v="UPI"/>
    <s v="High"/>
    <n v="4.9193786739351745E-3"/>
  </r>
  <r>
    <s v="ORD-10622"/>
    <x v="312"/>
    <s v="Saanvi Joshi"/>
    <s v="Corporate"/>
    <s v="West"/>
    <s v="Maharashtra"/>
    <x v="1"/>
    <s v="Cookware"/>
    <s v="Cookware Combo"/>
    <n v="1"/>
    <n v="10777.86"/>
    <n v="9700.07"/>
    <n v="10"/>
    <n v="1532.98"/>
    <n v="30.14"/>
    <s v="Cash on Delivery"/>
    <s v="Low"/>
    <n v="0.15803803477706863"/>
  </r>
  <r>
    <s v="ORD-10653"/>
    <x v="313"/>
    <s v="Vihaan Iyer"/>
    <s v="Consumer"/>
    <s v="East"/>
    <s v="Odisha"/>
    <x v="3"/>
    <s v="Outdoor Gear"/>
    <s v="Trekking Pole"/>
    <n v="3"/>
    <n v="5980.8"/>
    <n v="14353.92"/>
    <n v="20"/>
    <n v="1105.04"/>
    <n v="135.19"/>
    <s v="Credit Card"/>
    <s v="Critical"/>
    <n v="7.6985241662207951E-2"/>
  </r>
  <r>
    <s v="ORD-10577"/>
    <x v="313"/>
    <s v="Navya Patel"/>
    <s v="Corporate"/>
    <s v="East"/>
    <s v="Bihar"/>
    <x v="4"/>
    <s v="Fragrances"/>
    <s v="Musk Perfume"/>
    <n v="2"/>
    <n v="1815.84"/>
    <n v="3086.93"/>
    <n v="15"/>
    <n v="491.18"/>
    <n v="295.18"/>
    <s v="UPI"/>
    <s v="Low"/>
    <n v="0.15911601494041006"/>
  </r>
  <r>
    <s v="ORD-10091"/>
    <x v="314"/>
    <s v="Myra Agarwal"/>
    <s v="Consumer"/>
    <s v="North"/>
    <s v="Delhi"/>
    <x v="1"/>
    <s v="Appliances"/>
    <s v="Microwave Oven"/>
    <n v="1"/>
    <n v="11498.89"/>
    <n v="9774.06"/>
    <n v="15"/>
    <n v="781.82"/>
    <n v="187.77"/>
    <s v="Credit Card"/>
    <s v="Medium"/>
    <n v="7.9989277741286641E-2"/>
  </r>
  <r>
    <s v="ORD-10581"/>
    <x v="314"/>
    <s v="Ananya Mehta"/>
    <s v="Consumer"/>
    <s v="West"/>
    <s v="Maharashtra"/>
    <x v="5"/>
    <s v="Women's Wear"/>
    <s v="Silk Saree"/>
    <n v="2"/>
    <n v="3523.78"/>
    <n v="7047.56"/>
    <n v="0"/>
    <n v="1985.69"/>
    <n v="317.11"/>
    <s v="Debit Card"/>
    <s v="Low"/>
    <n v="0.2817556714664366"/>
  </r>
  <r>
    <s v="ORD-10565"/>
    <x v="315"/>
    <s v="Sai Rao"/>
    <s v="Consumer"/>
    <s v="North"/>
    <s v="Uttar Pradesh"/>
    <x v="0"/>
    <s v="Headphones"/>
    <s v="EchoBuds"/>
    <n v="2"/>
    <n v="36587.14"/>
    <n v="69515.570000000007"/>
    <n v="5"/>
    <n v="6344.35"/>
    <n v="193.22"/>
    <s v="Credit Card"/>
    <s v="Critical"/>
    <n v="9.1265165487386488E-2"/>
  </r>
  <r>
    <s v="ORD-10348"/>
    <x v="316"/>
    <s v="Sai Reddy"/>
    <s v="Consumer"/>
    <s v="North"/>
    <s v="Punjab"/>
    <x v="0"/>
    <s v="Accessories"/>
    <s v="FastCharge Cable"/>
    <n v="1"/>
    <n v="64442.13"/>
    <n v="61220.02"/>
    <n v="5"/>
    <n v="9302.74"/>
    <n v="71.09"/>
    <s v="Credit Card"/>
    <s v="Low"/>
    <n v="0.15195584712321231"/>
  </r>
  <r>
    <s v="ORD-10269"/>
    <x v="316"/>
    <s v="Dhruv Sharma"/>
    <s v="Consumer"/>
    <s v="East"/>
    <s v="Odisha"/>
    <x v="3"/>
    <s v="Outdoor Gear"/>
    <s v="Hiking Backpack"/>
    <n v="2"/>
    <n v="4353.25"/>
    <n v="7400.52"/>
    <n v="15"/>
    <n v="1054.6500000000001"/>
    <n v="179.31"/>
    <s v="Credit Card"/>
    <s v="Medium"/>
    <n v="0.14251025603606232"/>
  </r>
  <r>
    <s v="ORD-10360"/>
    <x v="317"/>
    <s v="Anika Verma"/>
    <s v="Corporate"/>
    <s v="West"/>
    <s v="Gujarat"/>
    <x v="3"/>
    <s v="Gym Equipment"/>
    <s v="Resistance Bands Set"/>
    <n v="3"/>
    <n v="11806.71"/>
    <n v="35420.129999999997"/>
    <n v="0"/>
    <n v="8481.91"/>
    <n v="286.8"/>
    <s v="Credit Card"/>
    <s v="Medium"/>
    <n v="0.23946580659077199"/>
  </r>
  <r>
    <s v="ORD-10264"/>
    <x v="317"/>
    <s v="Aadhya Rao"/>
    <s v="Consumer"/>
    <s v="South"/>
    <s v="Telangana"/>
    <x v="0"/>
    <s v="Laptops"/>
    <s v="WorkStation Pro"/>
    <n v="5"/>
    <n v="2768.65"/>
    <n v="13151.09"/>
    <n v="5"/>
    <n v="2177.0300000000002"/>
    <n v="97.08"/>
    <s v="Credit Card"/>
    <s v="Low"/>
    <n v="0.16553989060982779"/>
  </r>
  <r>
    <s v="ORD-10005"/>
    <x v="317"/>
    <s v="Kabir Khan"/>
    <s v="Corporate"/>
    <s v="East"/>
    <s v="West Bengal"/>
    <x v="1"/>
    <s v="Decor"/>
    <s v="LED Fairy Lights"/>
    <n v="2"/>
    <n v="7495.18"/>
    <n v="14990.36"/>
    <n v="0"/>
    <n v="870.11"/>
    <n v="59.93"/>
    <s v="UPI"/>
    <s v="Medium"/>
    <n v="5.8044636686510533E-2"/>
  </r>
  <r>
    <s v="ORD-10757"/>
    <x v="318"/>
    <s v="Meera Verma"/>
    <s v="Consumer"/>
    <s v="South"/>
    <s v="Karnataka"/>
    <x v="5"/>
    <s v="Kids Wear"/>
    <s v="Cartoon T-Shirt"/>
    <n v="3"/>
    <n v="4149.7299999999996"/>
    <n v="12449.19"/>
    <n v="0"/>
    <n v="2096.61"/>
    <n v="102.45"/>
    <s v="Cash on Delivery"/>
    <s v="Low"/>
    <n v="0.16841336665277018"/>
  </r>
  <r>
    <s v="ORD-10176"/>
    <x v="318"/>
    <s v="Ananya Malhotra"/>
    <s v="Consumer"/>
    <s v="South"/>
    <s v="Telangana"/>
    <x v="3"/>
    <s v="Outdoor Gear"/>
    <s v="Trekking Pole"/>
    <n v="1"/>
    <n v="14038.48"/>
    <n v="13336.56"/>
    <n v="5"/>
    <n v="3135.32"/>
    <n v="326.18"/>
    <s v="Debit Card"/>
    <s v="Low"/>
    <n v="0.23509210770993422"/>
  </r>
  <r>
    <s v="ORD-10908"/>
    <x v="318"/>
    <s v="Krishna Agarwal"/>
    <s v="Corporate"/>
    <s v="South"/>
    <s v="Kerala"/>
    <x v="5"/>
    <s v="Women's Wear"/>
    <s v="Silk Saree"/>
    <n v="3"/>
    <n v="2157.94"/>
    <n v="5826.44"/>
    <n v="10"/>
    <n v="600.79999999999995"/>
    <n v="73.59"/>
    <s v="Debit Card"/>
    <s v="Medium"/>
    <n v="0.10311613952945538"/>
  </r>
  <r>
    <s v="ORD-10406"/>
    <x v="319"/>
    <s v="Sai Gupta"/>
    <s v="Consumer"/>
    <s v="East"/>
    <s v="Odisha"/>
    <x v="5"/>
    <s v="Kids Wear"/>
    <s v="Denim Overalls"/>
    <n v="4"/>
    <n v="2424.58"/>
    <n v="8728.49"/>
    <n v="10"/>
    <n v="1515.86"/>
    <n v="344.02"/>
    <s v="Credit Card"/>
    <s v="Low"/>
    <n v="0.17366806858918324"/>
  </r>
  <r>
    <s v="ORD-10405"/>
    <x v="320"/>
    <s v="Arjun Nair"/>
    <s v="Consumer"/>
    <s v="East"/>
    <s v="Odisha"/>
    <x v="3"/>
    <s v="Gym Equipment"/>
    <s v="Resistance Bands Set"/>
    <n v="1"/>
    <n v="1931.38"/>
    <n v="1738.24"/>
    <n v="10"/>
    <n v="191.02"/>
    <n v="338.84"/>
    <s v="UPI"/>
    <s v="Low"/>
    <n v="0.10989276509572903"/>
  </r>
  <r>
    <s v="ORD-10002"/>
    <x v="321"/>
    <s v="Priya Sharma"/>
    <s v="Corporate"/>
    <s v="South"/>
    <s v="Telangana"/>
    <x v="5"/>
    <s v="Footwear"/>
    <s v="Casual Sneakers"/>
    <n v="1"/>
    <n v="719.89"/>
    <n v="683.9"/>
    <n v="5"/>
    <n v="182.02"/>
    <n v="176.96"/>
    <s v="Credit Card"/>
    <s v="Low"/>
    <n v="0.26615002193303117"/>
  </r>
  <r>
    <s v="ORD-10185"/>
    <x v="322"/>
    <s v="Krishna Singh"/>
    <s v="Consumer"/>
    <s v="East"/>
    <s v="Odisha"/>
    <x v="0"/>
    <s v="Mobiles"/>
    <s v="Galaxy Note Lite"/>
    <n v="2"/>
    <n v="34068.080000000002"/>
    <n v="61322.54"/>
    <n v="10"/>
    <n v="2339.34"/>
    <n v="223.34"/>
    <s v="UPI"/>
    <s v="Medium"/>
    <n v="3.8148126284397225E-2"/>
  </r>
  <r>
    <s v="ORD-10093"/>
    <x v="322"/>
    <s v="Arjun Kapoor"/>
    <s v="Consumer"/>
    <s v="North"/>
    <s v="Delhi"/>
    <x v="2"/>
    <s v="Comics"/>
    <s v="Manga Vol. 1"/>
    <n v="1"/>
    <n v="939.99"/>
    <n v="845.99"/>
    <n v="10"/>
    <n v="102.54"/>
    <n v="59.19"/>
    <s v="UPI"/>
    <s v="Medium"/>
    <n v="0.12120710646697952"/>
  </r>
  <r>
    <s v="ORD-10051"/>
    <x v="323"/>
    <s v="Krishna Verma"/>
    <s v="Small Business"/>
    <s v="South"/>
    <s v="Kerala"/>
    <x v="0"/>
    <s v="Accessories"/>
    <s v="PowerBank 20K"/>
    <n v="2"/>
    <n v="18119.91"/>
    <n v="30803.85"/>
    <n v="15"/>
    <n v="1661.36"/>
    <n v="246.96"/>
    <s v="Credit Card"/>
    <s v="High"/>
    <n v="5.3933518050503428E-2"/>
  </r>
  <r>
    <s v="ORD-10062"/>
    <x v="324"/>
    <s v="Meera Mehta"/>
    <s v="Consumer"/>
    <s v="North"/>
    <s v="Uttar Pradesh"/>
    <x v="0"/>
    <s v="Laptops"/>
    <s v="UltraSlim 15"/>
    <n v="1"/>
    <n v="2961.95"/>
    <n v="2369.56"/>
    <n v="20"/>
    <n v="29.78"/>
    <n v="215.24"/>
    <s v="Cash on Delivery"/>
    <s v="Low"/>
    <n v="1.2567734094093419E-2"/>
  </r>
  <r>
    <s v="ORD-10811"/>
    <x v="324"/>
    <s v="Ayaan Desai"/>
    <s v="Consumer"/>
    <s v="North"/>
    <s v="Haryana"/>
    <x v="3"/>
    <s v="Apparel"/>
    <s v="Sports T-Shirt"/>
    <n v="2"/>
    <n v="9525.6200000000008"/>
    <n v="19051.240000000002"/>
    <n v="0"/>
    <n v="4498.9399999999996"/>
    <n v="342.08"/>
    <s v="Credit Card"/>
    <s v="Low"/>
    <n v="0.23614945798803644"/>
  </r>
  <r>
    <s v="ORD-10041"/>
    <x v="325"/>
    <s v="Myra Sharma"/>
    <s v="Corporate"/>
    <s v="West"/>
    <s v="Gujarat"/>
    <x v="2"/>
    <s v="Academic"/>
    <s v="Data Science Basics"/>
    <n v="1"/>
    <n v="369.53"/>
    <n v="277.14999999999998"/>
    <n v="25"/>
    <n v="25.95"/>
    <n v="103.14"/>
    <s v="Credit Card"/>
    <s v="Low"/>
    <n v="9.3631607432798122E-2"/>
  </r>
  <r>
    <s v="ORD-10069"/>
    <x v="326"/>
    <s v="Meera Mishra"/>
    <s v="Consumer"/>
    <s v="North"/>
    <s v="Uttar Pradesh"/>
    <x v="4"/>
    <s v="Haircare"/>
    <s v="Hair Mask Deep Repair"/>
    <n v="2"/>
    <n v="2414.09"/>
    <n v="4586.7700000000004"/>
    <n v="5"/>
    <n v="1262.51"/>
    <n v="175.86"/>
    <s v="Credit Card"/>
    <s v="Low"/>
    <n v="0.27525033956357087"/>
  </r>
  <r>
    <s v="ORD-10652"/>
    <x v="326"/>
    <s v="Ishaan Nair"/>
    <s v="Small Business"/>
    <s v="South"/>
    <s v="Karnataka"/>
    <x v="5"/>
    <s v="Footwear"/>
    <s v="Sandals"/>
    <n v="2"/>
    <n v="984.75"/>
    <n v="1871.02"/>
    <n v="5"/>
    <n v="154.97999999999999"/>
    <n v="296.58999999999997"/>
    <s v="UPI"/>
    <s v="Critical"/>
    <n v="8.2831824352492214E-2"/>
  </r>
  <r>
    <s v="ORD-10119"/>
    <x v="327"/>
    <s v="Aditya Kapoor"/>
    <s v="Consumer"/>
    <s v="East"/>
    <s v="Bihar"/>
    <x v="2"/>
    <s v="Academic"/>
    <s v="Data Science Basics"/>
    <n v="3"/>
    <n v="1003.55"/>
    <n v="2559.0500000000002"/>
    <n v="15"/>
    <n v="347.55"/>
    <n v="362.33"/>
    <s v="Cash on Delivery"/>
    <s v="Low"/>
    <n v="0.13581211777808169"/>
  </r>
  <r>
    <s v="ORD-10425"/>
    <x v="327"/>
    <s v="Riya Malhotra"/>
    <s v="Consumer"/>
    <s v="West"/>
    <s v="Rajasthan"/>
    <x v="3"/>
    <s v="Outdoor Gear"/>
    <s v="Hiking Backpack"/>
    <n v="1"/>
    <n v="11127.46"/>
    <n v="8901.9699999999993"/>
    <n v="20"/>
    <n v="256.29000000000002"/>
    <n v="233.58"/>
    <s v="Credit Card"/>
    <s v="Medium"/>
    <n v="2.879025653872121E-2"/>
  </r>
  <r>
    <s v="ORD-10356"/>
    <x v="328"/>
    <s v="Anika Iyer"/>
    <s v="Consumer"/>
    <s v="West"/>
    <s v="Gujarat"/>
    <x v="4"/>
    <s v="Haircare"/>
    <s v="Argan Oil Shampoo"/>
    <n v="3"/>
    <n v="1787.01"/>
    <n v="4824.93"/>
    <n v="10"/>
    <n v="909.76"/>
    <n v="124.3"/>
    <s v="UPI"/>
    <s v="High"/>
    <n v="0.18855403083568051"/>
  </r>
  <r>
    <s v="ORD-10189"/>
    <x v="328"/>
    <s v="Aarav Patel"/>
    <s v="Consumer"/>
    <s v="South"/>
    <s v="Telangana"/>
    <x v="4"/>
    <s v="Fragrances"/>
    <s v="Woody Cologne"/>
    <n v="3"/>
    <n v="1285.75"/>
    <n v="3085.8"/>
    <n v="20"/>
    <n v="383.74"/>
    <n v="308.17"/>
    <s v="Credit Card"/>
    <s v="Low"/>
    <n v="0.12435673083155097"/>
  </r>
  <r>
    <s v="ORD-10489"/>
    <x v="328"/>
    <s v="Vihaan Verma"/>
    <s v="Small Business"/>
    <s v="West"/>
    <s v="Gujarat"/>
    <x v="5"/>
    <s v="Women's Wear"/>
    <s v="Floral Dress"/>
    <n v="2"/>
    <n v="3820.24"/>
    <n v="7640.48"/>
    <n v="0"/>
    <n v="1467.69"/>
    <n v="130.69"/>
    <s v="Credit Card"/>
    <s v="Medium"/>
    <n v="0.19209395221242645"/>
  </r>
  <r>
    <s v="ORD-10012"/>
    <x v="328"/>
    <s v="Reyansh Desai"/>
    <s v="Corporate"/>
    <s v="West"/>
    <s v="Rajasthan"/>
    <x v="5"/>
    <s v="Kids Wear"/>
    <s v="School Uniform Set"/>
    <n v="2"/>
    <n v="4372.26"/>
    <n v="7432.84"/>
    <n v="15"/>
    <n v="1372.1"/>
    <n v="293.04000000000002"/>
    <s v="Debit Card"/>
    <s v="Medium"/>
    <n v="0.18459969540579374"/>
  </r>
  <r>
    <s v="ORD-10300"/>
    <x v="329"/>
    <s v="Ishaan Bose"/>
    <s v="Consumer"/>
    <s v="North"/>
    <s v="Haryana"/>
    <x v="3"/>
    <s v="Apparel"/>
    <s v="Sports T-Shirt"/>
    <n v="3"/>
    <n v="2982.36"/>
    <n v="8947.08"/>
    <n v="0"/>
    <n v="2406.81"/>
    <n v="136.01"/>
    <s v="Credit Card"/>
    <s v="Low"/>
    <n v="0.26900508322268268"/>
  </r>
  <r>
    <s v="ORD-10219"/>
    <x v="329"/>
    <s v="Ayaan Desai"/>
    <s v="Consumer"/>
    <s v="South"/>
    <s v="Tamil Nadu"/>
    <x v="0"/>
    <s v="Cameras"/>
    <s v="ClickShot X1"/>
    <n v="3"/>
    <n v="1535.19"/>
    <n v="3684.46"/>
    <n v="20"/>
    <n v="-130.38999999999999"/>
    <n v="318.38"/>
    <s v="Cash on Delivery"/>
    <s v="Low"/>
    <n v="-3.5389175075859147E-2"/>
  </r>
  <r>
    <s v="ORD-10737"/>
    <x v="330"/>
    <s v="Vihaan Patel"/>
    <s v="Small Business"/>
    <s v="West"/>
    <s v="Maharashtra"/>
    <x v="5"/>
    <s v="Footwear"/>
    <s v="Sandals"/>
    <n v="4"/>
    <n v="2475.63"/>
    <n v="9407.39"/>
    <n v="5"/>
    <n v="1980.14"/>
    <n v="273.55"/>
    <s v="Net Banking"/>
    <s v="Medium"/>
    <n v="0.21048771231978267"/>
  </r>
  <r>
    <s v="ORD-10816"/>
    <x v="331"/>
    <s v="Karan Mehta"/>
    <s v="Consumer"/>
    <s v="East"/>
    <s v="Bihar"/>
    <x v="2"/>
    <s v="Fiction"/>
    <s v="Whispering Pines"/>
    <n v="1"/>
    <n v="398.78"/>
    <n v="338.96"/>
    <n v="15"/>
    <n v="9.43"/>
    <n v="246.77"/>
    <s v="Debit Card"/>
    <s v="Medium"/>
    <n v="2.7820391786641491E-2"/>
  </r>
  <r>
    <s v="ORD-10969"/>
    <x v="331"/>
    <s v="Karan Sharma"/>
    <s v="Corporate"/>
    <s v="East"/>
    <s v="West Bengal"/>
    <x v="3"/>
    <s v="Apparel"/>
    <s v="Compression Shorts"/>
    <n v="2"/>
    <n v="675.5"/>
    <n v="1148.3499999999999"/>
    <n v="15"/>
    <n v="129.32"/>
    <n v="353.21"/>
    <s v="Cash on Delivery"/>
    <s v="Critical"/>
    <n v="0.11261375016327775"/>
  </r>
  <r>
    <s v="ORD-10424"/>
    <x v="331"/>
    <s v="Aditya Iyer"/>
    <s v="Corporate"/>
    <s v="South"/>
    <s v="Telangana"/>
    <x v="5"/>
    <s v="Men's Wear"/>
    <s v="Casual Blazer"/>
    <n v="3"/>
    <n v="672.12"/>
    <n v="1613.09"/>
    <n v="20"/>
    <n v="136.86000000000001"/>
    <n v="130.6"/>
    <s v="Net Banking"/>
    <s v="Medium"/>
    <n v="8.484337513715913E-2"/>
  </r>
  <r>
    <s v="ORD-10266"/>
    <x v="332"/>
    <s v="Ishaan Bose"/>
    <s v="Corporate"/>
    <s v="East"/>
    <s v="West Bengal"/>
    <x v="0"/>
    <s v="Mobiles"/>
    <s v="iSmart X2"/>
    <n v="2"/>
    <n v="18657.38"/>
    <n v="35449.019999999997"/>
    <n v="5"/>
    <n v="3777.48"/>
    <n v="364.08"/>
    <s v="Cash on Delivery"/>
    <s v="Critical"/>
    <n v="0.10656091480102978"/>
  </r>
  <r>
    <s v="ORD-10874"/>
    <x v="333"/>
    <s v="Priya Malhotra"/>
    <s v="Consumer"/>
    <s v="East"/>
    <s v="West Bengal"/>
    <x v="0"/>
    <s v="Headphones"/>
    <s v="SoundWave Pro"/>
    <n v="1"/>
    <n v="3028.02"/>
    <n v="3028.02"/>
    <n v="0"/>
    <n v="286.72000000000003"/>
    <n v="216.64"/>
    <s v="Credit Card"/>
    <s v="High"/>
    <n v="9.4688938646376189E-2"/>
  </r>
  <r>
    <s v="ORD-10379"/>
    <x v="333"/>
    <s v="Navya Iyer"/>
    <s v="Consumer"/>
    <s v="South"/>
    <s v="Telangana"/>
    <x v="1"/>
    <s v="Decor"/>
    <s v="Table Lamp"/>
    <n v="1"/>
    <n v="4666.01"/>
    <n v="4199.41"/>
    <n v="10"/>
    <n v="757.53"/>
    <n v="264.76"/>
    <s v="Net Banking"/>
    <s v="High"/>
    <n v="0.18038962616177034"/>
  </r>
  <r>
    <s v="ORD-10473"/>
    <x v="333"/>
    <s v="Aarav Reddy"/>
    <s v="Corporate"/>
    <s v="East"/>
    <s v="Odisha"/>
    <x v="5"/>
    <s v="Footwear"/>
    <s v="Formal Loafers"/>
    <n v="2"/>
    <n v="3182.57"/>
    <n v="4455.6000000000004"/>
    <n v="30"/>
    <n v="88.65"/>
    <n v="312.85000000000002"/>
    <s v="UPI"/>
    <s v="Medium"/>
    <n v="1.9896310261244277E-2"/>
  </r>
  <r>
    <s v="ORD-10261"/>
    <x v="334"/>
    <s v="Krishna Mishra"/>
    <s v="Consumer"/>
    <s v="South"/>
    <s v="Kerala"/>
    <x v="2"/>
    <s v="Academic"/>
    <s v="Calculus Made Easy"/>
    <n v="3"/>
    <n v="221.23"/>
    <n v="597.32000000000005"/>
    <n v="10"/>
    <n v="85.82"/>
    <n v="81.55"/>
    <s v="Cash on Delivery"/>
    <s v="Medium"/>
    <n v="0.14367508203308108"/>
  </r>
  <r>
    <s v="ORD-10222"/>
    <x v="335"/>
    <s v="Ananya Bose"/>
    <s v="Consumer"/>
    <s v="East"/>
    <s v="Odisha"/>
    <x v="1"/>
    <s v="Appliances"/>
    <s v="Air Fryer"/>
    <n v="1"/>
    <n v="8430.41"/>
    <n v="8430.41"/>
    <n v="0"/>
    <n v="2059.61"/>
    <n v="301.74"/>
    <s v="Net Banking"/>
    <s v="Medium"/>
    <n v="0.24430721637500433"/>
  </r>
  <r>
    <s v="ORD-10529"/>
    <x v="335"/>
    <s v="Kiara Kapoor"/>
    <s v="Consumer"/>
    <s v="North"/>
    <s v="Haryana"/>
    <x v="4"/>
    <s v="Haircare"/>
    <s v="Hair Mask Deep Repair"/>
    <n v="2"/>
    <n v="2121.6"/>
    <n v="4031.04"/>
    <n v="5"/>
    <n v="724.83"/>
    <n v="196.68"/>
    <s v="Net Banking"/>
    <s v="High"/>
    <n v="0.17981215765658493"/>
  </r>
  <r>
    <s v="ORD-10008"/>
    <x v="335"/>
    <s v="Aditya Verma"/>
    <s v="Small Business"/>
    <s v="West"/>
    <s v="Gujarat"/>
    <x v="5"/>
    <s v="Women's Wear"/>
    <s v="Ethnic Kurti"/>
    <n v="1"/>
    <n v="2851.69"/>
    <n v="2851.69"/>
    <n v="0"/>
    <n v="622.42999999999995"/>
    <n v="84.57"/>
    <s v="UPI"/>
    <s v="Medium"/>
    <n v="0.2182670626891422"/>
  </r>
  <r>
    <s v="ORD-10970"/>
    <x v="336"/>
    <s v="Ayaan Mishra"/>
    <s v="Corporate"/>
    <s v="West"/>
    <s v="Gujarat"/>
    <x v="4"/>
    <s v="Makeup"/>
    <s v="Eyeliner Pro"/>
    <n v="2"/>
    <n v="1104.24"/>
    <n v="2098.06"/>
    <n v="5"/>
    <n v="576"/>
    <n v="120.82"/>
    <s v="Net Banking"/>
    <s v="Critical"/>
    <n v="0.27453933633928485"/>
  </r>
  <r>
    <s v="ORD-10585"/>
    <x v="337"/>
    <s v="Rohan Sharma"/>
    <s v="Consumer"/>
    <s v="West"/>
    <s v="Gujarat"/>
    <x v="4"/>
    <s v="Skincare"/>
    <s v="Sunscreen SPF50"/>
    <n v="1"/>
    <n v="1276.75"/>
    <n v="1276.75"/>
    <n v="0"/>
    <n v="305.89999999999998"/>
    <n v="43.76"/>
    <s v="Credit Card"/>
    <s v="Medium"/>
    <n v="0.23959271588016445"/>
  </r>
  <r>
    <s v="ORD-10071"/>
    <x v="337"/>
    <s v="Simran Kapoor"/>
    <s v="Consumer"/>
    <s v="East"/>
    <s v="Bihar"/>
    <x v="1"/>
    <s v="Decor"/>
    <s v="Wall Art Frame"/>
    <n v="2"/>
    <n v="11241.52"/>
    <n v="19110.580000000002"/>
    <n v="15"/>
    <n v="1978.96"/>
    <n v="255.28"/>
    <s v="UPI"/>
    <s v="Low"/>
    <n v="0.1035531103713231"/>
  </r>
  <r>
    <s v="ORD-10663"/>
    <x v="338"/>
    <s v="Riya Malhotra"/>
    <s v="Consumer"/>
    <s v="South"/>
    <s v="Kerala"/>
    <x v="5"/>
    <s v="Women's Wear"/>
    <s v="Silk Saree"/>
    <n v="2"/>
    <n v="3178.86"/>
    <n v="6039.83"/>
    <n v="5"/>
    <n v="1017.04"/>
    <n v="164.65"/>
    <s v="UPI"/>
    <s v="Low"/>
    <n v="0.16838884538140975"/>
  </r>
  <r>
    <s v="ORD-10598"/>
    <x v="338"/>
    <s v="Neha Gupta"/>
    <s v="Consumer"/>
    <s v="East"/>
    <s v="Odisha"/>
    <x v="4"/>
    <s v="Skincare"/>
    <s v="Aloe Moisturizer"/>
    <n v="2"/>
    <n v="2355.9699999999998"/>
    <n v="4711.9399999999996"/>
    <n v="0"/>
    <n v="1225.69"/>
    <n v="238.05"/>
    <s v="Credit Card"/>
    <s v="Medium"/>
    <n v="0.26012428002054361"/>
  </r>
  <r>
    <s v="ORD-10229"/>
    <x v="339"/>
    <s v="Rohan Joshi"/>
    <s v="Consumer"/>
    <s v="East"/>
    <s v="Odisha"/>
    <x v="5"/>
    <s v="Footwear"/>
    <s v="Formal Loafers"/>
    <n v="5"/>
    <n v="3007.1"/>
    <n v="13531.95"/>
    <n v="10"/>
    <n v="1303.08"/>
    <n v="269.42"/>
    <s v="Credit Card"/>
    <s v="Medium"/>
    <n v="9.6296542626894119E-2"/>
  </r>
  <r>
    <s v="ORD-10788"/>
    <x v="339"/>
    <s v="Rohan Mishra"/>
    <s v="Consumer"/>
    <s v="North"/>
    <s v="Punjab"/>
    <x v="3"/>
    <s v="Outdoor Gear"/>
    <s v="Water Bottle Steel"/>
    <n v="2"/>
    <n v="12397.88"/>
    <n v="21076.400000000001"/>
    <n v="15"/>
    <n v="3410"/>
    <n v="63.23"/>
    <s v="Credit Card"/>
    <s v="High"/>
    <n v="0.16179233645214552"/>
  </r>
  <r>
    <s v="ORD-10364"/>
    <x v="339"/>
    <s v="Ira Sharma"/>
    <s v="Consumer"/>
    <s v="West"/>
    <s v="Maharashtra"/>
    <x v="3"/>
    <s v="Gym Equipment"/>
    <s v="Resistance Bands Set"/>
    <n v="5"/>
    <n v="7691.89"/>
    <n v="36536.480000000003"/>
    <n v="5"/>
    <n v="8772.5400000000009"/>
    <n v="217.1"/>
    <s v="Debit Card"/>
    <s v="Low"/>
    <n v="0.24010358961782854"/>
  </r>
  <r>
    <s v="ORD-10964"/>
    <x v="340"/>
    <s v="Simran Singh"/>
    <s v="Consumer"/>
    <s v="South"/>
    <s v="Kerala"/>
    <x v="0"/>
    <s v="Cameras"/>
    <s v="PixelPro DSLR"/>
    <n v="1"/>
    <n v="38791.89"/>
    <n v="34912.699999999997"/>
    <n v="10"/>
    <n v="2437.6"/>
    <n v="175.37"/>
    <s v="Credit Card"/>
    <s v="Low"/>
    <n v="6.9819864977501034E-2"/>
  </r>
  <r>
    <s v="ORD-10376"/>
    <x v="341"/>
    <s v="Myra Agarwal"/>
    <s v="Consumer"/>
    <s v="West"/>
    <s v="Rajasthan"/>
    <x v="3"/>
    <s v="Gym Equipment"/>
    <s v="Resistance Bands Set"/>
    <n v="1"/>
    <n v="1830.32"/>
    <n v="1647.29"/>
    <n v="10"/>
    <n v="196.77"/>
    <n v="251.49"/>
    <s v="UPI"/>
    <s v="Critical"/>
    <n v="0.11945073423623043"/>
  </r>
  <r>
    <s v="ORD-10871"/>
    <x v="341"/>
    <s v="Myra Chopra"/>
    <s v="Consumer"/>
    <s v="North"/>
    <s v="Haryana"/>
    <x v="0"/>
    <s v="Laptops"/>
    <s v="UltraSlim 15"/>
    <n v="4"/>
    <n v="26280.03"/>
    <n v="105120.12"/>
    <n v="0"/>
    <n v="16024.02"/>
    <n v="127.17"/>
    <s v="Debit Card"/>
    <s v="Low"/>
    <n v="0.15243532827017323"/>
  </r>
  <r>
    <s v="ORD-10490"/>
    <x v="341"/>
    <s v="Kabir Joshi"/>
    <s v="Corporate"/>
    <s v="East"/>
    <s v="Bihar"/>
    <x v="4"/>
    <s v="Skincare"/>
    <s v="Vitamin C Serum"/>
    <n v="3"/>
    <n v="2168.1"/>
    <n v="6504.3"/>
    <n v="0"/>
    <n v="1270.9000000000001"/>
    <n v="226.86"/>
    <s v="UPI"/>
    <s v="Medium"/>
    <n v="0.19539381639838263"/>
  </r>
  <r>
    <s v="ORD-10618"/>
    <x v="342"/>
    <s v="Ananya Patel"/>
    <s v="Corporate"/>
    <s v="North"/>
    <s v="Delhi"/>
    <x v="2"/>
    <s v="Fiction"/>
    <s v="The Silent Valley"/>
    <n v="1"/>
    <n v="393.64"/>
    <n v="295.23"/>
    <n v="25"/>
    <n v="-4.6900000000000004"/>
    <n v="176.64"/>
    <s v="Credit Card"/>
    <s v="High"/>
    <n v="-1.5885919452630154E-2"/>
  </r>
  <r>
    <s v="ORD-10808"/>
    <x v="343"/>
    <s v="Navya Verma"/>
    <s v="Corporate"/>
    <s v="South"/>
    <s v="Tamil Nadu"/>
    <x v="2"/>
    <s v="Non-Fiction"/>
    <s v="Modern Economics"/>
    <n v="1"/>
    <n v="567.76"/>
    <n v="482.6"/>
    <n v="15"/>
    <n v="31.84"/>
    <n v="294.82"/>
    <s v="Cash on Delivery"/>
    <s v="High"/>
    <n v="6.5975963530874426E-2"/>
  </r>
  <r>
    <s v="ORD-10393"/>
    <x v="344"/>
    <s v="Kiara Mishra"/>
    <s v="Consumer"/>
    <s v="South"/>
    <s v="Tamil Nadu"/>
    <x v="3"/>
    <s v="Apparel"/>
    <s v="Track Pants"/>
    <n v="1"/>
    <n v="3063.12"/>
    <n v="2603.65"/>
    <n v="15"/>
    <n v="440.76"/>
    <n v="114.81"/>
    <s v="Debit Card"/>
    <s v="High"/>
    <n v="0.16928542622856374"/>
  </r>
  <r>
    <s v="ORD-10217"/>
    <x v="345"/>
    <s v="Simran Gupta"/>
    <s v="Corporate"/>
    <s v="South"/>
    <s v="Telangana"/>
    <x v="3"/>
    <s v="Apparel"/>
    <s v="Compression Shorts"/>
    <n v="1"/>
    <n v="5395.22"/>
    <n v="4585.9399999999996"/>
    <n v="15"/>
    <n v="264.63"/>
    <n v="255.58"/>
    <s v="Credit Card"/>
    <s v="Low"/>
    <n v="5.7704636345002336E-2"/>
  </r>
  <r>
    <s v="ORD-10579"/>
    <x v="346"/>
    <s v="Aadhya Rao"/>
    <s v="Consumer"/>
    <s v="West"/>
    <s v="Rajasthan"/>
    <x v="3"/>
    <s v="Gym Equipment"/>
    <s v="Resistance Bands Set"/>
    <n v="2"/>
    <n v="14367.12"/>
    <n v="25860.82"/>
    <n v="10"/>
    <n v="-42.05"/>
    <n v="191.46"/>
    <s v="Debit Card"/>
    <s v="High"/>
    <n v="-1.6260118588660374E-3"/>
  </r>
  <r>
    <s v="ORD-10836"/>
    <x v="347"/>
    <s v="Karan Rao"/>
    <s v="Consumer"/>
    <s v="South"/>
    <s v="Karnataka"/>
    <x v="1"/>
    <s v="Decor"/>
    <s v="LED Fairy Lights"/>
    <n v="3"/>
    <n v="3345.68"/>
    <n v="9535.19"/>
    <n v="5"/>
    <n v="2036.89"/>
    <n v="309.60000000000002"/>
    <s v="Debit Card"/>
    <s v="Medium"/>
    <n v="0.21361818694750709"/>
  </r>
  <r>
    <s v="ORD-10689"/>
    <x v="347"/>
    <s v="Karan Malhotra"/>
    <s v="Consumer"/>
    <s v="South"/>
    <s v="Tamil Nadu"/>
    <x v="2"/>
    <s v="Academic"/>
    <s v="Calculus Made Easy"/>
    <n v="2"/>
    <n v="1030.42"/>
    <n v="1545.63"/>
    <n v="25"/>
    <n v="38.619999999999997"/>
    <n v="343.47"/>
    <s v="Credit Card"/>
    <s v="Medium"/>
    <n v="2.4986575053538036E-2"/>
  </r>
  <r>
    <s v="ORD-10163"/>
    <x v="347"/>
    <s v="Dhruv Agarwal"/>
    <s v="Corporate"/>
    <s v="South"/>
    <s v="Karnataka"/>
    <x v="3"/>
    <s v="Footwear"/>
    <s v="Formal Loafers"/>
    <n v="1"/>
    <n v="8141.71"/>
    <n v="8141.71"/>
    <n v="0"/>
    <n v="696.5"/>
    <n v="136.5"/>
    <s v="Debit Card"/>
    <s v="Low"/>
    <n v="8.554713936015898E-2"/>
  </r>
  <r>
    <s v="ORD-10105"/>
    <x v="348"/>
    <s v="Karan Agarwal"/>
    <s v="Consumer"/>
    <s v="East"/>
    <s v="West Bengal"/>
    <x v="4"/>
    <s v="Skincare"/>
    <s v="Sunscreen SPF50"/>
    <n v="1"/>
    <n v="1062.2"/>
    <n v="1062.2"/>
    <n v="0"/>
    <n v="334.07"/>
    <n v="101.55"/>
    <s v="Net Banking"/>
    <s v="High"/>
    <n v="0.31450762568254564"/>
  </r>
  <r>
    <s v="ORD-10060"/>
    <x v="349"/>
    <s v="Aadhya Verma"/>
    <s v="Consumer"/>
    <s v="East"/>
    <s v="West Bengal"/>
    <x v="2"/>
    <s v="Fiction"/>
    <s v="Whispering Pines"/>
    <n v="1"/>
    <n v="155.44"/>
    <n v="132.12"/>
    <n v="15"/>
    <n v="19.68"/>
    <n v="230.93"/>
    <s v="UPI"/>
    <s v="High"/>
    <n v="0.14895549500454131"/>
  </r>
  <r>
    <s v="ORD-10010"/>
    <x v="350"/>
    <s v="Diya Nair"/>
    <s v="Consumer"/>
    <s v="East"/>
    <s v="Bihar"/>
    <x v="4"/>
    <s v="Haircare"/>
    <s v="Hair Growth Serum"/>
    <n v="3"/>
    <n v="2116.35"/>
    <n v="5714.15"/>
    <n v="10"/>
    <n v="1576.94"/>
    <n v="115.48"/>
    <s v="Credit Card"/>
    <s v="Low"/>
    <n v="0.27597105431253993"/>
  </r>
  <r>
    <s v="ORD-10346"/>
    <x v="350"/>
    <s v="Simran Kapoor"/>
    <s v="Consumer"/>
    <s v="West"/>
    <s v="Gujarat"/>
    <x v="5"/>
    <s v="Women's Wear"/>
    <s v="Ethnic Kurti"/>
    <n v="1"/>
    <n v="545.51"/>
    <n v="490.96"/>
    <n v="10"/>
    <n v="49.34"/>
    <n v="75.37"/>
    <s v="UPI"/>
    <s v="High"/>
    <n v="0.10049698549780024"/>
  </r>
  <r>
    <s v="ORD-10047"/>
    <x v="351"/>
    <s v="Karan Agarwal"/>
    <s v="Corporate"/>
    <s v="South"/>
    <s v="Kerala"/>
    <x v="1"/>
    <s v="Decor"/>
    <s v="Ceramic Vase"/>
    <n v="1"/>
    <n v="11305.55"/>
    <n v="11305.55"/>
    <n v="0"/>
    <n v="1954.17"/>
    <n v="173.5"/>
    <s v="Cash on Delivery"/>
    <s v="Low"/>
    <n v="0.17285050262923965"/>
  </r>
  <r>
    <s v="ORD-10913"/>
    <x v="352"/>
    <s v="Riya Agarwal"/>
    <s v="Corporate"/>
    <s v="North"/>
    <s v="Uttar Pradesh"/>
    <x v="0"/>
    <s v="Cameras"/>
    <s v="PixelPro DSLR"/>
    <n v="5"/>
    <n v="36218.080000000002"/>
    <n v="172035.88"/>
    <n v="5"/>
    <n v="24241.919999999998"/>
    <n v="214.39"/>
    <s v="Debit Card"/>
    <s v="Low"/>
    <n v="0.14091200045013863"/>
  </r>
  <r>
    <s v="ORD-10109"/>
    <x v="353"/>
    <s v="Ayaan Kapoor"/>
    <s v="Small Business"/>
    <s v="North"/>
    <s v="Uttar Pradesh"/>
    <x v="0"/>
    <s v="Cameras"/>
    <s v="ActionCam 4K"/>
    <n v="1"/>
    <n v="41238.21"/>
    <n v="41238.21"/>
    <n v="0"/>
    <n v="5922.47"/>
    <n v="44.54"/>
    <s v="Cash on Delivery"/>
    <s v="High"/>
    <n v="0.14361607838943544"/>
  </r>
  <r>
    <s v="ORD-10743"/>
    <x v="354"/>
    <s v="Kiara Agarwal"/>
    <s v="Consumer"/>
    <s v="South"/>
    <s v="Karnataka"/>
    <x v="3"/>
    <s v="Gym Equipment"/>
    <s v="Adjustable Dumbbells"/>
    <n v="1"/>
    <n v="2307.98"/>
    <n v="2192.58"/>
    <n v="5"/>
    <n v="173.41"/>
    <n v="336.72"/>
    <s v="Credit Card"/>
    <s v="Low"/>
    <n v="7.9089474500360302E-2"/>
  </r>
  <r>
    <s v="ORD-10358"/>
    <x v="355"/>
    <s v="Anika Gupta"/>
    <s v="Consumer"/>
    <s v="West"/>
    <s v="Rajasthan"/>
    <x v="1"/>
    <s v="Cookware"/>
    <s v="Non-Stick Pan Set"/>
    <n v="4"/>
    <n v="11155.26"/>
    <n v="44621.04"/>
    <n v="0"/>
    <n v="10789.58"/>
    <n v="150.09"/>
    <s v="Credit Card"/>
    <s v="Low"/>
    <n v="0.2418047629548751"/>
  </r>
  <r>
    <s v="ORD-10076"/>
    <x v="356"/>
    <s v="Meera Mehta"/>
    <s v="Corporate"/>
    <s v="East"/>
    <s v="Bihar"/>
    <x v="5"/>
    <s v="Men's Wear"/>
    <s v="Cotton Kurta"/>
    <n v="1"/>
    <n v="2886.57"/>
    <n v="2886.57"/>
    <n v="0"/>
    <n v="744.15"/>
    <n v="332.05"/>
    <s v="Credit Card"/>
    <s v="Critical"/>
    <n v="0.25779731653831361"/>
  </r>
  <r>
    <s v="ORD-10098"/>
    <x v="357"/>
    <s v="Aditya Das"/>
    <s v="Consumer"/>
    <s v="East"/>
    <s v="Bihar"/>
    <x v="1"/>
    <s v="Furniture"/>
    <s v="Bookshelf Unit"/>
    <n v="1"/>
    <n v="6354.58"/>
    <n v="6036.85"/>
    <n v="5"/>
    <n v="967.05"/>
    <n v="104.63"/>
    <s v="Credit Card"/>
    <s v="Medium"/>
    <n v="0.16019115929665304"/>
  </r>
  <r>
    <s v="ORD-10901"/>
    <x v="358"/>
    <s v="Aditya Rao"/>
    <s v="Small Business"/>
    <s v="North"/>
    <s v="Uttar Pradesh"/>
    <x v="4"/>
    <s v="Fragrances"/>
    <s v="Woody Cologne"/>
    <n v="4"/>
    <n v="387.68"/>
    <n v="1395.65"/>
    <n v="10"/>
    <n v="232.32"/>
    <n v="250.41"/>
    <s v="UPI"/>
    <s v="Medium"/>
    <n v="0.16646007236771396"/>
  </r>
  <r>
    <s v="ORD-10167"/>
    <x v="358"/>
    <s v="Aadhya Iyer"/>
    <s v="Small Business"/>
    <s v="North"/>
    <s v="Delhi"/>
    <x v="3"/>
    <s v="Gym Equipment"/>
    <s v="Adjustable Dumbbells"/>
    <n v="1"/>
    <n v="7586.83"/>
    <n v="6448.81"/>
    <n v="15"/>
    <n v="578.37"/>
    <n v="201.67"/>
    <s v="Credit Card"/>
    <s v="Medium"/>
    <n v="8.9686314219212526E-2"/>
  </r>
  <r>
    <s v="ORD-10272"/>
    <x v="359"/>
    <s v="Rohan Singh"/>
    <s v="Consumer"/>
    <s v="North"/>
    <s v="Delhi"/>
    <x v="3"/>
    <s v="Gym Equipment"/>
    <s v="Resistance Bands Set"/>
    <n v="5"/>
    <n v="8594.2900000000009"/>
    <n v="40822.879999999997"/>
    <n v="5"/>
    <n v="5042.99"/>
    <n v="240.89"/>
    <s v="Credit Card"/>
    <s v="High"/>
    <n v="0.1235334204740087"/>
  </r>
  <r>
    <s v="ORD-10586"/>
    <x v="360"/>
    <s v="Aadhya Das"/>
    <s v="Corporate"/>
    <s v="South"/>
    <s v="Tamil Nadu"/>
    <x v="3"/>
    <s v="Apparel"/>
    <s v="Compression Shorts"/>
    <n v="1"/>
    <n v="1201.05"/>
    <n v="1201.05"/>
    <n v="0"/>
    <n v="249.48"/>
    <n v="65.680000000000007"/>
    <s v="Net Banking"/>
    <s v="Low"/>
    <n v="0.2077182465342825"/>
  </r>
  <r>
    <s v="ORD-10741"/>
    <x v="361"/>
    <s v="Aarav Rao"/>
    <s v="Consumer"/>
    <s v="South"/>
    <s v="Kerala"/>
    <x v="5"/>
    <s v="Men's Wear"/>
    <s v="Classic Shirt"/>
    <n v="3"/>
    <n v="1149.47"/>
    <n v="3448.41"/>
    <n v="0"/>
    <n v="570.78"/>
    <n v="128.77000000000001"/>
    <s v="UPI"/>
    <s v="Medium"/>
    <n v="0.16551976128128615"/>
  </r>
  <r>
    <s v="ORD-10595"/>
    <x v="361"/>
    <s v="Pooja Iyer"/>
    <s v="Small Business"/>
    <s v="South"/>
    <s v="Kerala"/>
    <x v="5"/>
    <s v="Men's Wear"/>
    <s v="Casual Blazer"/>
    <n v="5"/>
    <n v="2685.99"/>
    <n v="10743.96"/>
    <n v="20"/>
    <n v="1391.89"/>
    <n v="371.36"/>
    <s v="Credit Card"/>
    <s v="Low"/>
    <n v="0.12955092908015295"/>
  </r>
  <r>
    <s v="ORD-10402"/>
    <x v="362"/>
    <s v="Anika Sharma"/>
    <s v="Corporate"/>
    <s v="East"/>
    <s v="West Bengal"/>
    <x v="5"/>
    <s v="Men's Wear"/>
    <s v="Cotton Kurta"/>
    <n v="4"/>
    <n v="2971.5"/>
    <n v="11886"/>
    <n v="0"/>
    <n v="2400.86"/>
    <n v="145.74"/>
    <s v="Debit Card"/>
    <s v="Medium"/>
    <n v="0.20199057714958776"/>
  </r>
  <r>
    <s v="ORD-10349"/>
    <x v="363"/>
    <s v="Diya Bose"/>
    <s v="Corporate"/>
    <s v="South"/>
    <s v="Kerala"/>
    <x v="2"/>
    <s v="Academic"/>
    <s v="Physics Fundamentals"/>
    <n v="1"/>
    <n v="783.38"/>
    <n v="783.38"/>
    <n v="0"/>
    <n v="144.19"/>
    <n v="277.24"/>
    <s v="Net Banking"/>
    <s v="Low"/>
    <n v="0.18406137506701728"/>
  </r>
  <r>
    <s v="ORD-10986"/>
    <x v="364"/>
    <s v="Vivaan Bose"/>
    <s v="Consumer"/>
    <s v="West"/>
    <s v="Gujarat"/>
    <x v="4"/>
    <s v="Skincare"/>
    <s v="Face Wash Gel"/>
    <n v="2"/>
    <n v="1890.56"/>
    <n v="3781.12"/>
    <n v="0"/>
    <n v="1290.58"/>
    <n v="240.23"/>
    <s v="Credit Card"/>
    <s v="Low"/>
    <n v="0.34132214793500337"/>
  </r>
  <r>
    <s v="ORD-10255"/>
    <x v="365"/>
    <s v="Pooja Sharma"/>
    <s v="Consumer"/>
    <s v="South"/>
    <s v="Kerala"/>
    <x v="3"/>
    <s v="Footwear"/>
    <s v="Running Shoes"/>
    <n v="1"/>
    <n v="425.38"/>
    <n v="425.38"/>
    <n v="0"/>
    <n v="73.55"/>
    <n v="320.77999999999997"/>
    <s v="Net Banking"/>
    <s v="Low"/>
    <n v="0.1729042268089708"/>
  </r>
  <r>
    <s v="ORD-10590"/>
    <x v="366"/>
    <s v="Myra Chopra"/>
    <s v="Small Business"/>
    <s v="South"/>
    <s v="Tamil Nadu"/>
    <x v="2"/>
    <s v="Non-Fiction"/>
    <s v="The Growth Mindset"/>
    <n v="1"/>
    <n v="911.1"/>
    <n v="865.54"/>
    <n v="5"/>
    <n v="-0.43"/>
    <n v="310.85000000000002"/>
    <s v="Net Banking"/>
    <s v="Low"/>
    <n v="-4.9679968574531505E-4"/>
  </r>
  <r>
    <s v="ORD-10368"/>
    <x v="367"/>
    <s v="Navya Mishra"/>
    <s v="Consumer"/>
    <s v="West"/>
    <s v="Maharashtra"/>
    <x v="1"/>
    <s v="Cookware"/>
    <s v="Steel Kadai"/>
    <n v="2"/>
    <n v="7071.89"/>
    <n v="14143.78"/>
    <n v="0"/>
    <n v="1910.49"/>
    <n v="198.39"/>
    <s v="Credit Card"/>
    <s v="High"/>
    <n v="0.13507633744303149"/>
  </r>
  <r>
    <s v="ORD-10759"/>
    <x v="367"/>
    <s v="Neha Das"/>
    <s v="Consumer"/>
    <s v="West"/>
    <s v="Rajasthan"/>
    <x v="2"/>
    <s v="Academic"/>
    <s v="Calculus Made Easy"/>
    <n v="1"/>
    <n v="222.79"/>
    <n v="211.65"/>
    <n v="5"/>
    <n v="39.64"/>
    <n v="246.36"/>
    <s v="Credit Card"/>
    <s v="Medium"/>
    <n v="0.18729033782187574"/>
  </r>
  <r>
    <s v="ORD-10223"/>
    <x v="367"/>
    <s v="Vihaan Desai"/>
    <s v="Consumer"/>
    <s v="South"/>
    <s v="Telangana"/>
    <x v="2"/>
    <s v="Academic"/>
    <s v="Physics Fundamentals"/>
    <n v="3"/>
    <n v="1098.53"/>
    <n v="2966.03"/>
    <n v="10"/>
    <n v="467.87"/>
    <n v="76.510000000000005"/>
    <s v="UPI"/>
    <s v="High"/>
    <n v="0.15774284144125311"/>
  </r>
  <r>
    <s v="ORD-10224"/>
    <x v="368"/>
    <s v="Simran Chopra"/>
    <s v="Consumer"/>
    <s v="East"/>
    <s v="Bihar"/>
    <x v="3"/>
    <s v="Gym Equipment"/>
    <s v="Yoga Mat Pro"/>
    <n v="2"/>
    <n v="927.6"/>
    <n v="1298.6400000000001"/>
    <n v="30"/>
    <n v="92.76"/>
    <n v="270.77999999999997"/>
    <s v="Debit Card"/>
    <s v="Low"/>
    <n v="7.1428571428571425E-2"/>
  </r>
  <r>
    <s v="ORD-10842"/>
    <x v="369"/>
    <s v="Simran Agarwal"/>
    <s v="Small Business"/>
    <s v="South"/>
    <s v="Karnataka"/>
    <x v="3"/>
    <s v="Footwear"/>
    <s v="Formal Loafers"/>
    <n v="3"/>
    <n v="1123.01"/>
    <n v="3200.58"/>
    <n v="5"/>
    <n v="665.28"/>
    <n v="281.44"/>
    <s v="UPI"/>
    <s v="Low"/>
    <n v="0.20786232495360216"/>
  </r>
  <r>
    <s v="ORD-10021"/>
    <x v="370"/>
    <s v="Navya Patel"/>
    <s v="Consumer"/>
    <s v="West"/>
    <s v="Rajasthan"/>
    <x v="4"/>
    <s v="Skincare"/>
    <s v="Vitamin C Serum"/>
    <n v="1"/>
    <n v="1286.0899999999999"/>
    <n v="1221.79"/>
    <n v="5"/>
    <n v="327.54000000000002"/>
    <n v="273.45"/>
    <s v="Credit Card"/>
    <s v="Low"/>
    <n v="0.26808207629789083"/>
  </r>
  <r>
    <s v="ORD-10199"/>
    <x v="371"/>
    <s v="Kiara Gupta"/>
    <s v="Corporate"/>
    <s v="South"/>
    <s v="Kerala"/>
    <x v="3"/>
    <s v="Footwear"/>
    <s v="Sandals"/>
    <n v="4"/>
    <n v="9768.86"/>
    <n v="39075.440000000002"/>
    <n v="0"/>
    <n v="8845.48"/>
    <n v="274.92"/>
    <s v="UPI"/>
    <s v="Low"/>
    <n v="0.22636930000020472"/>
  </r>
  <r>
    <s v="ORD-10555"/>
    <x v="372"/>
    <s v="Diya Mehta"/>
    <s v="Consumer"/>
    <s v="North"/>
    <s v="Uttar Pradesh"/>
    <x v="1"/>
    <s v="Furniture"/>
    <s v="Study Table"/>
    <n v="3"/>
    <n v="8989.52"/>
    <n v="22923.279999999999"/>
    <n v="15"/>
    <n v="2546.0700000000002"/>
    <n v="306.06"/>
    <s v="UPI"/>
    <s v="High"/>
    <n v="0.1110691838166266"/>
  </r>
  <r>
    <s v="ORD-10989"/>
    <x v="373"/>
    <s v="Ira Verma"/>
    <s v="Corporate"/>
    <s v="East"/>
    <s v="Odisha"/>
    <x v="3"/>
    <s v="Outdoor Gear"/>
    <s v="Trekking Pole"/>
    <n v="2"/>
    <n v="1687.67"/>
    <n v="2362.7399999999998"/>
    <n v="30"/>
    <n v="-32.94"/>
    <n v="86.15"/>
    <s v="Net Banking"/>
    <s v="High"/>
    <n v="-1.3941440869498972E-2"/>
  </r>
  <r>
    <s v="ORD-10753"/>
    <x v="373"/>
    <s v="Myra Verma"/>
    <s v="Small Business"/>
    <s v="East"/>
    <s v="West Bengal"/>
    <x v="5"/>
    <s v="Men's Wear"/>
    <s v="Cotton Kurta"/>
    <n v="1"/>
    <n v="698.66"/>
    <n v="698.66"/>
    <n v="0"/>
    <n v="180.14"/>
    <n v="304.57"/>
    <s v="Credit Card"/>
    <s v="Low"/>
    <n v="0.25783642973692494"/>
  </r>
  <r>
    <s v="ORD-10796"/>
    <x v="374"/>
    <s v="Vivaan Agarwal"/>
    <s v="Consumer"/>
    <s v="East"/>
    <s v="West Bengal"/>
    <x v="0"/>
    <s v="Cameras"/>
    <s v="PixelPro DSLR"/>
    <n v="1"/>
    <n v="60682.19"/>
    <n v="48545.75"/>
    <n v="20"/>
    <n v="5545.56"/>
    <n v="267.31"/>
    <s v="Debit Card"/>
    <s v="High"/>
    <n v="0.11423368677999619"/>
  </r>
  <r>
    <s v="ORD-10642"/>
    <x v="374"/>
    <s v="Kabir Patel"/>
    <s v="Consumer"/>
    <s v="South"/>
    <s v="Kerala"/>
    <x v="2"/>
    <s v="Comics"/>
    <s v="Comic Universe"/>
    <n v="2"/>
    <n v="381.51"/>
    <n v="572.26"/>
    <n v="25"/>
    <n v="-32.49"/>
    <n v="288.99"/>
    <s v="Debit Card"/>
    <s v="Medium"/>
    <n v="-5.6774892531366868E-2"/>
  </r>
  <r>
    <s v="ORD-10504"/>
    <x v="374"/>
    <s v="Karan Rao"/>
    <s v="Small Business"/>
    <s v="North"/>
    <s v="Haryana"/>
    <x v="4"/>
    <s v="Makeup"/>
    <s v="Matte Lipstick"/>
    <n v="2"/>
    <n v="1335.16"/>
    <n v="2136.2600000000002"/>
    <n v="20"/>
    <n v="370.5"/>
    <n v="269.72000000000003"/>
    <s v="Debit Card"/>
    <s v="High"/>
    <n v="0.17343394530628292"/>
  </r>
  <r>
    <s v="ORD-10943"/>
    <x v="374"/>
    <s v="Vihaan Khan"/>
    <s v="Corporate"/>
    <s v="South"/>
    <s v="Telangana"/>
    <x v="4"/>
    <s v="Makeup"/>
    <s v="Compact Powder"/>
    <n v="2"/>
    <n v="2361.0100000000002"/>
    <n v="4485.92"/>
    <n v="5"/>
    <n v="1234.8800000000001"/>
    <n v="310.10000000000002"/>
    <s v="Cash on Delivery"/>
    <s v="Low"/>
    <n v="0.27527909548097157"/>
  </r>
  <r>
    <s v="ORD-10633"/>
    <x v="375"/>
    <s v="Krishna Agarwal"/>
    <s v="Consumer"/>
    <s v="West"/>
    <s v="Maharashtra"/>
    <x v="1"/>
    <s v="Cookware"/>
    <s v="Pressure Cooker"/>
    <n v="2"/>
    <n v="3830.06"/>
    <n v="7277.11"/>
    <n v="5"/>
    <n v="935.07"/>
    <n v="248.53"/>
    <s v="UPI"/>
    <s v="Critical"/>
    <n v="0.12849469088690429"/>
  </r>
  <r>
    <s v="ORD-10457"/>
    <x v="376"/>
    <s v="Raj Mishra"/>
    <s v="Small Business"/>
    <s v="East"/>
    <s v="West Bengal"/>
    <x v="4"/>
    <s v="Skincare"/>
    <s v="Face Wash Gel"/>
    <n v="2"/>
    <n v="1229.49"/>
    <n v="2090.13"/>
    <n v="15"/>
    <n v="268.70999999999998"/>
    <n v="241.31"/>
    <s v="Net Banking"/>
    <s v="Low"/>
    <n v="0.12856138134948542"/>
  </r>
  <r>
    <s v="ORD-10967"/>
    <x v="377"/>
    <s v="Raj Malhotra"/>
    <s v="Corporate"/>
    <s v="West"/>
    <s v="Rajasthan"/>
    <x v="1"/>
    <s v="Cookware"/>
    <s v="Pressure Cooker"/>
    <n v="2"/>
    <n v="6834.89"/>
    <n v="12302.8"/>
    <n v="10"/>
    <n v="2185.96"/>
    <n v="176.45"/>
    <s v="Cash on Delivery"/>
    <s v="Medium"/>
    <n v="0.1776798777514062"/>
  </r>
  <r>
    <s v="ORD-10730"/>
    <x v="378"/>
    <s v="Myra Das"/>
    <s v="Consumer"/>
    <s v="East"/>
    <s v="West Bengal"/>
    <x v="5"/>
    <s v="Kids Wear"/>
    <s v="School Uniform Set"/>
    <n v="3"/>
    <n v="4454.71"/>
    <n v="9354.89"/>
    <n v="30"/>
    <n v="473.02"/>
    <n v="134.1"/>
    <s v="Debit Card"/>
    <s v="High"/>
    <n v="5.0563929666730449E-2"/>
  </r>
  <r>
    <s v="ORD-10254"/>
    <x v="378"/>
    <s v="Aarav Kapoor"/>
    <s v="Consumer"/>
    <s v="East"/>
    <s v="Bihar"/>
    <x v="3"/>
    <s v="Gym Equipment"/>
    <s v="Resistance Bands Set"/>
    <n v="3"/>
    <n v="13122.51"/>
    <n v="33462.400000000001"/>
    <n v="15"/>
    <n v="4766.2299999999996"/>
    <n v="69.36"/>
    <s v="Credit Card"/>
    <s v="Low"/>
    <n v="0.1424353901692646"/>
  </r>
  <r>
    <s v="ORD-10114"/>
    <x v="379"/>
    <s v="Ananya Nair"/>
    <s v="Small Business"/>
    <s v="East"/>
    <s v="West Bengal"/>
    <x v="0"/>
    <s v="Headphones"/>
    <s v="StudioMax"/>
    <n v="2"/>
    <n v="6061.58"/>
    <n v="8486.2099999999991"/>
    <n v="30"/>
    <n v="-1312.22"/>
    <n v="345.97"/>
    <s v="UPI"/>
    <s v="Low"/>
    <n v="-0.1546296874576519"/>
  </r>
  <r>
    <s v="ORD-10456"/>
    <x v="380"/>
    <s v="Diya Bose"/>
    <s v="Corporate"/>
    <s v="North"/>
    <s v="Haryana"/>
    <x v="0"/>
    <s v="Mobiles"/>
    <s v="Nova 5G"/>
    <n v="1"/>
    <n v="13694.64"/>
    <n v="13694.64"/>
    <n v="0"/>
    <n v="885.15"/>
    <n v="317.02999999999997"/>
    <s v="UPI"/>
    <s v="Low"/>
    <n v="6.4634776817791492E-2"/>
  </r>
  <r>
    <s v="ORD-10895"/>
    <x v="380"/>
    <s v="Aadhya Agarwal"/>
    <s v="Consumer"/>
    <s v="West"/>
    <s v="Rajasthan"/>
    <x v="2"/>
    <s v="Academic"/>
    <s v="Statistics Handbook"/>
    <n v="3"/>
    <n v="370.83"/>
    <n v="1001.24"/>
    <n v="10"/>
    <n v="51.43"/>
    <n v="336.98"/>
    <s v="UPI"/>
    <s v="Medium"/>
    <n v="5.1366305780831768E-2"/>
  </r>
  <r>
    <s v="ORD-10613"/>
    <x v="381"/>
    <s v="Krishna Patel"/>
    <s v="Consumer"/>
    <s v="North"/>
    <s v="Haryana"/>
    <x v="2"/>
    <s v="Comics"/>
    <s v="Manga Vol. 1"/>
    <n v="2"/>
    <n v="577.01"/>
    <n v="1154.02"/>
    <n v="0"/>
    <n v="174.89"/>
    <n v="115.12"/>
    <s v="UPI"/>
    <s v="High"/>
    <n v="0.15154850002599607"/>
  </r>
  <r>
    <s v="ORD-10569"/>
    <x v="382"/>
    <s v="Aditya Joshi"/>
    <s v="Consumer"/>
    <s v="South"/>
    <s v="Kerala"/>
    <x v="4"/>
    <s v="Fragrances"/>
    <s v="Woody Cologne"/>
    <n v="5"/>
    <n v="930.45"/>
    <n v="4419.6400000000003"/>
    <n v="5"/>
    <n v="1104.96"/>
    <n v="104.99"/>
    <s v="Cash on Delivery"/>
    <s v="High"/>
    <n v="0.25001131313862668"/>
  </r>
  <r>
    <s v="ORD-10187"/>
    <x v="382"/>
    <s v="Kiara Bose"/>
    <s v="Consumer"/>
    <s v="South"/>
    <s v="Telangana"/>
    <x v="1"/>
    <s v="Appliances"/>
    <s v="Mixer Grinder"/>
    <n v="1"/>
    <n v="3875.31"/>
    <n v="3100.25"/>
    <n v="20"/>
    <n v="51.02"/>
    <n v="166.57"/>
    <s v="Credit Card"/>
    <s v="High"/>
    <n v="1.6456737359890332E-2"/>
  </r>
  <r>
    <s v="ORD-10734"/>
    <x v="382"/>
    <s v="Diya Malhotra"/>
    <s v="Small Business"/>
    <s v="West"/>
    <s v="Rajasthan"/>
    <x v="2"/>
    <s v="Comics"/>
    <s v="Comic Universe"/>
    <n v="1"/>
    <n v="541.9"/>
    <n v="379.33"/>
    <n v="30"/>
    <n v="0.97"/>
    <n v="232.24"/>
    <s v="Debit Card"/>
    <s v="Critical"/>
    <n v="2.5571402209158254E-3"/>
  </r>
  <r>
    <s v="ORD-10647"/>
    <x v="383"/>
    <s v="Meera Kapoor"/>
    <s v="Corporate"/>
    <s v="South"/>
    <s v="Karnataka"/>
    <x v="3"/>
    <s v="Apparel"/>
    <s v="Sports Jacket"/>
    <n v="3"/>
    <n v="5759.96"/>
    <n v="12095.92"/>
    <n v="30"/>
    <n v="896.27"/>
    <n v="207.75"/>
    <s v="Debit Card"/>
    <s v="Low"/>
    <n v="7.4096885561412446E-2"/>
  </r>
  <r>
    <s v="ORD-10024"/>
    <x v="384"/>
    <s v="Raj Bose"/>
    <s v="Corporate"/>
    <s v="East"/>
    <s v="West Bengal"/>
    <x v="3"/>
    <s v="Apparel"/>
    <s v="Track Pants"/>
    <n v="1"/>
    <n v="8601.99"/>
    <n v="8601.99"/>
    <n v="0"/>
    <n v="1305.1099999999999"/>
    <n v="252.57"/>
    <s v="Credit Card"/>
    <s v="High"/>
    <n v="0.15172186900938037"/>
  </r>
  <r>
    <s v="ORD-10057"/>
    <x v="385"/>
    <s v="Aditya Agarwal"/>
    <s v="Consumer"/>
    <s v="West"/>
    <s v="Gujarat"/>
    <x v="4"/>
    <s v="Fragrances"/>
    <s v="Woody Cologne"/>
    <n v="1"/>
    <n v="1800.87"/>
    <n v="1710.83"/>
    <n v="5"/>
    <n v="352.1"/>
    <n v="226.8"/>
    <s v="Credit Card"/>
    <s v="Low"/>
    <n v="0.20580653834688428"/>
  </r>
  <r>
    <s v="ORD-10240"/>
    <x v="386"/>
    <s v="Ira Rao"/>
    <s v="Consumer"/>
    <s v="West"/>
    <s v="Rajasthan"/>
    <x v="0"/>
    <s v="Cameras"/>
    <s v="PixelPro DSLR"/>
    <n v="1"/>
    <n v="26820.82"/>
    <n v="26820.82"/>
    <n v="0"/>
    <n v="2960.5"/>
    <n v="298.10000000000002"/>
    <s v="Credit Card"/>
    <s v="Medium"/>
    <n v="0.11038066695947402"/>
  </r>
  <r>
    <s v="ORD-10766"/>
    <x v="386"/>
    <s v="Saanvi Kapoor"/>
    <s v="Consumer"/>
    <s v="North"/>
    <s v="Delhi"/>
    <x v="1"/>
    <s v="Furniture"/>
    <s v="Bookshelf Unit"/>
    <n v="3"/>
    <n v="8486.7800000000007"/>
    <n v="20368.27"/>
    <n v="20"/>
    <n v="1886.5"/>
    <n v="267.56"/>
    <s v="Credit Card"/>
    <s v="Low"/>
    <n v="9.2619549917592414E-2"/>
  </r>
  <r>
    <s v="ORD-10498"/>
    <x v="387"/>
    <s v="Krishna Gupta"/>
    <s v="Corporate"/>
    <s v="South"/>
    <s v="Karnataka"/>
    <x v="3"/>
    <s v="Gym Equipment"/>
    <s v="Resistance Bands Set"/>
    <n v="2"/>
    <n v="7272.03"/>
    <n v="13816.86"/>
    <n v="5"/>
    <n v="2483.31"/>
    <n v="59.61"/>
    <s v="Debit Card"/>
    <s v="Low"/>
    <n v="0.17973041631745562"/>
  </r>
  <r>
    <s v="ORD-10608"/>
    <x v="387"/>
    <s v="Ananya Rao"/>
    <s v="Consumer"/>
    <s v="North"/>
    <s v="Haryana"/>
    <x v="4"/>
    <s v="Skincare"/>
    <s v="Aloe Moisturizer"/>
    <n v="5"/>
    <n v="2382.86"/>
    <n v="11914.3"/>
    <n v="0"/>
    <n v="2907.49"/>
    <n v="397.94"/>
    <s v="Debit Card"/>
    <s v="High"/>
    <n v="0.24403364024743376"/>
  </r>
  <r>
    <s v="ORD-10740"/>
    <x v="388"/>
    <s v="Anika Nair"/>
    <s v="Consumer"/>
    <s v="West"/>
    <s v="Rajasthan"/>
    <x v="5"/>
    <s v="Footwear"/>
    <s v="Casual Sneakers"/>
    <n v="1"/>
    <n v="957.2"/>
    <n v="765.76"/>
    <n v="20"/>
    <n v="152.76"/>
    <n v="181.65"/>
    <s v="UPI"/>
    <s v="Medium"/>
    <n v="0.19948809026326786"/>
  </r>
  <r>
    <s v="ORD-10026"/>
    <x v="388"/>
    <s v="Aarav Nair"/>
    <s v="Corporate"/>
    <s v="South"/>
    <s v="Tamil Nadu"/>
    <x v="5"/>
    <s v="Women's Wear"/>
    <s v="Ethnic Kurti"/>
    <n v="1"/>
    <n v="2960.3"/>
    <n v="2220.23"/>
    <n v="25"/>
    <n v="99.72"/>
    <n v="308.87"/>
    <s v="Net Banking"/>
    <s v="High"/>
    <n v="4.4914265639145495E-2"/>
  </r>
  <r>
    <s v="ORD-10381"/>
    <x v="388"/>
    <s v="Raj Khan"/>
    <s v="Consumer"/>
    <s v="East"/>
    <s v="Odisha"/>
    <x v="2"/>
    <s v="Academic"/>
    <s v="Physics Fundamentals"/>
    <n v="1"/>
    <n v="655.41"/>
    <n v="655.41"/>
    <n v="0"/>
    <n v="80.41"/>
    <n v="201.3"/>
    <s v="Credit Card"/>
    <s v="Critical"/>
    <n v="0.12268656260966418"/>
  </r>
  <r>
    <s v="ORD-10321"/>
    <x v="389"/>
    <s v="Ishaan Mishra"/>
    <s v="Consumer"/>
    <s v="West"/>
    <s v="Maharashtra"/>
    <x v="1"/>
    <s v="Appliances"/>
    <s v="Air Fryer"/>
    <n v="2"/>
    <n v="11735.22"/>
    <n v="19949.87"/>
    <n v="15"/>
    <n v="2798.11"/>
    <n v="295.36"/>
    <s v="Cash on Delivery"/>
    <s v="Medium"/>
    <n v="0.14025705430661956"/>
  </r>
  <r>
    <s v="ORD-10549"/>
    <x v="389"/>
    <s v="Aarav Bose"/>
    <s v="Consumer"/>
    <s v="West"/>
    <s v="Gujarat"/>
    <x v="2"/>
    <s v="Comics"/>
    <s v="Graphic Tales"/>
    <n v="1"/>
    <n v="1077.6400000000001"/>
    <n v="862.11"/>
    <n v="20"/>
    <n v="51.45"/>
    <n v="230.51"/>
    <s v="Cash on Delivery"/>
    <s v="Low"/>
    <n v="5.9679159272018653E-2"/>
  </r>
  <r>
    <s v="ORD-10853"/>
    <x v="389"/>
    <s v="Riya Mehta"/>
    <s v="Consumer"/>
    <s v="North"/>
    <s v="Punjab"/>
    <x v="1"/>
    <s v="Decor"/>
    <s v="Table Lamp"/>
    <n v="3"/>
    <n v="11286.39"/>
    <n v="25394.38"/>
    <n v="25"/>
    <n v="17.100000000000001"/>
    <n v="173.49"/>
    <s v="UPI"/>
    <s v="Medium"/>
    <n v="6.7337733782041537E-4"/>
  </r>
  <r>
    <s v="ORD-10162"/>
    <x v="389"/>
    <s v="Reyansh Mishra"/>
    <s v="Corporate"/>
    <s v="East"/>
    <s v="Odisha"/>
    <x v="3"/>
    <s v="Gym Equipment"/>
    <s v="Adjustable Dumbbells"/>
    <n v="2"/>
    <n v="7714.85"/>
    <n v="13886.73"/>
    <n v="10"/>
    <n v="2149.35"/>
    <n v="119.31"/>
    <s v="Cash on Delivery"/>
    <s v="Low"/>
    <n v="0.15477725857707322"/>
  </r>
  <r>
    <s v="ORD-10524"/>
    <x v="390"/>
    <s v="Anika Mishra"/>
    <s v="Consumer"/>
    <s v="South"/>
    <s v="Kerala"/>
    <x v="4"/>
    <s v="Haircare"/>
    <s v="Argan Oil Shampoo"/>
    <n v="4"/>
    <n v="1593.29"/>
    <n v="6373.16"/>
    <n v="0"/>
    <n v="2207.13"/>
    <n v="191.67"/>
    <s v="UPI"/>
    <s v="Low"/>
    <n v="0.34631642701579751"/>
  </r>
  <r>
    <s v="ORD-10446"/>
    <x v="391"/>
    <s v="Myra Nair"/>
    <s v="Consumer"/>
    <s v="North"/>
    <s v="Punjab"/>
    <x v="0"/>
    <s v="Laptops"/>
    <s v="UltraSlim 15"/>
    <n v="4"/>
    <n v="28546.63"/>
    <n v="114186.52"/>
    <n v="0"/>
    <n v="9323.17"/>
    <n v="120.11"/>
    <s v="Debit Card"/>
    <s v="Low"/>
    <n v="8.1648604406194356E-2"/>
  </r>
  <r>
    <s v="ORD-10629"/>
    <x v="392"/>
    <s v="Navya Iyer"/>
    <s v="Corporate"/>
    <s v="West"/>
    <s v="Gujarat"/>
    <x v="0"/>
    <s v="Headphones"/>
    <s v="StudioMax"/>
    <n v="1"/>
    <n v="38307.5"/>
    <n v="36392.120000000003"/>
    <n v="5"/>
    <n v="6143.79"/>
    <n v="195.34"/>
    <s v="Debit Card"/>
    <s v="Low"/>
    <n v="0.16882198673778828"/>
  </r>
  <r>
    <s v="ORD-10953"/>
    <x v="392"/>
    <s v="Aditya Agarwal"/>
    <s v="Small Business"/>
    <s v="South"/>
    <s v="Telangana"/>
    <x v="1"/>
    <s v="Furniture"/>
    <s v="Wooden Chair"/>
    <n v="3"/>
    <n v="2713.17"/>
    <n v="8139.51"/>
    <n v="0"/>
    <n v="1475.75"/>
    <n v="81.790000000000006"/>
    <s v="Net Banking"/>
    <s v="Medium"/>
    <n v="0.18130698285277613"/>
  </r>
  <r>
    <s v="ORD-10436"/>
    <x v="393"/>
    <s v="Kabir Patel"/>
    <s v="Consumer"/>
    <s v="South"/>
    <s v="Tamil Nadu"/>
    <x v="4"/>
    <s v="Skincare"/>
    <s v="Face Wash Gel"/>
    <n v="1"/>
    <n v="350.34"/>
    <n v="350.34"/>
    <n v="0"/>
    <n v="64.17"/>
    <n v="186.02"/>
    <s v="UPI"/>
    <s v="Medium"/>
    <n v="0.18316492550094196"/>
  </r>
  <r>
    <s v="ORD-10887"/>
    <x v="393"/>
    <s v="Raj Khan"/>
    <s v="Corporate"/>
    <s v="East"/>
    <s v="Odisha"/>
    <x v="2"/>
    <s v="Fiction"/>
    <s v="Mystery of Ashgrove"/>
    <n v="3"/>
    <n v="1068.8699999999999"/>
    <n v="3206.61"/>
    <n v="0"/>
    <n v="410.67"/>
    <n v="234.59"/>
    <s v="Cash on Delivery"/>
    <s v="Critical"/>
    <n v="0.12806983075584497"/>
  </r>
  <r>
    <s v="ORD-10542"/>
    <x v="393"/>
    <s v="Simran Malhotra"/>
    <s v="Corporate"/>
    <s v="East"/>
    <s v="Bihar"/>
    <x v="3"/>
    <s v="Footwear"/>
    <s v="Sandals"/>
    <n v="3"/>
    <n v="2529.86"/>
    <n v="6071.66"/>
    <n v="20"/>
    <n v="508.71"/>
    <n v="208.06"/>
    <s v="UPI"/>
    <s v="Low"/>
    <n v="8.3784335750025529E-2"/>
  </r>
  <r>
    <s v="ORD-10859"/>
    <x v="394"/>
    <s v="Ira Desai"/>
    <s v="Small Business"/>
    <s v="West"/>
    <s v="Rajasthan"/>
    <x v="1"/>
    <s v="Appliances"/>
    <s v="Electric Kettle"/>
    <n v="4"/>
    <n v="11237.93"/>
    <n v="44951.72"/>
    <n v="0"/>
    <n v="8597.61"/>
    <n v="276.54000000000002"/>
    <s v="Debit Card"/>
    <s v="Critical"/>
    <n v="0.19126320416660364"/>
  </r>
  <r>
    <s v="ORD-10410"/>
    <x v="395"/>
    <s v="Saanvi Reddy"/>
    <s v="Consumer"/>
    <s v="East"/>
    <s v="Bihar"/>
    <x v="4"/>
    <s v="Haircare"/>
    <s v="Argan Oil Shampoo"/>
    <n v="2"/>
    <n v="767.36"/>
    <n v="1304.51"/>
    <n v="15"/>
    <n v="232.67"/>
    <n v="277.47000000000003"/>
    <s v="UPI"/>
    <s v="Medium"/>
    <n v="0.17835815746908801"/>
  </r>
  <r>
    <s v="ORD-10237"/>
    <x v="396"/>
    <s v="Reyansh Singh"/>
    <s v="Corporate"/>
    <s v="North"/>
    <s v="Haryana"/>
    <x v="2"/>
    <s v="Fiction"/>
    <s v="Beyond the Horizon"/>
    <n v="1"/>
    <n v="264.94"/>
    <n v="225.2"/>
    <n v="15"/>
    <n v="2.78"/>
    <n v="336.05"/>
    <s v="UPI"/>
    <s v="Low"/>
    <n v="1.2344582593250443E-2"/>
  </r>
  <r>
    <s v="ORD-10772"/>
    <x v="397"/>
    <s v="Reyansh Gupta"/>
    <s v="Consumer"/>
    <s v="West"/>
    <s v="Maharashtra"/>
    <x v="5"/>
    <s v="Footwear"/>
    <s v="Casual Sneakers"/>
    <n v="4"/>
    <n v="2789.93"/>
    <n v="10043.75"/>
    <n v="10"/>
    <n v="1877.58"/>
    <n v="188.58"/>
    <s v="Cash on Delivery"/>
    <s v="High"/>
    <n v="0.18694013690105787"/>
  </r>
  <r>
    <s v="ORD-10096"/>
    <x v="398"/>
    <s v="Anika Reddy"/>
    <s v="Consumer"/>
    <s v="East"/>
    <s v="West Bengal"/>
    <x v="1"/>
    <s v="Furniture"/>
    <s v="Wooden Chair"/>
    <n v="1"/>
    <n v="8381.15"/>
    <n v="7123.98"/>
    <n v="15"/>
    <n v="927.48"/>
    <n v="297.83"/>
    <s v="Debit Card"/>
    <s v="Critical"/>
    <n v="0.13019126948700024"/>
  </r>
  <r>
    <s v="ORD-10281"/>
    <x v="398"/>
    <s v="Dhruv Malhotra"/>
    <s v="Corporate"/>
    <s v="North"/>
    <s v="Punjab"/>
    <x v="2"/>
    <s v="Academic"/>
    <s v="Physics Fundamentals"/>
    <n v="1"/>
    <n v="1186"/>
    <n v="1008.1"/>
    <n v="15"/>
    <n v="60.3"/>
    <n v="227.81"/>
    <s v="Credit Card"/>
    <s v="Low"/>
    <n v="5.9815494494593786E-2"/>
  </r>
  <r>
    <s v="ORD-10319"/>
    <x v="398"/>
    <s v="Reyansh Sharma"/>
    <s v="Corporate"/>
    <s v="South"/>
    <s v="Karnataka"/>
    <x v="1"/>
    <s v="Appliances"/>
    <s v="Air Fryer"/>
    <n v="3"/>
    <n v="1712.07"/>
    <n v="4622.59"/>
    <n v="10"/>
    <n v="697.56"/>
    <n v="324.58999999999997"/>
    <s v="Credit Card"/>
    <s v="Low"/>
    <n v="0.1509024161779435"/>
  </r>
  <r>
    <s v="ORD-10256"/>
    <x v="399"/>
    <s v="Kiara Mehta"/>
    <s v="Corporate"/>
    <s v="West"/>
    <s v="Gujarat"/>
    <x v="2"/>
    <s v="Academic"/>
    <s v="Statistics Handbook"/>
    <n v="3"/>
    <n v="682.84"/>
    <n v="1946.09"/>
    <n v="5"/>
    <n v="295.7"/>
    <n v="62.04"/>
    <s v="Credit Card"/>
    <s v="Medium"/>
    <n v="0.15194569624220874"/>
  </r>
  <r>
    <s v="ORD-10982"/>
    <x v="399"/>
    <s v="Simran Rao"/>
    <s v="Corporate"/>
    <s v="East"/>
    <s v="Odisha"/>
    <x v="5"/>
    <s v="Kids Wear"/>
    <s v="Cartoon T-Shirt"/>
    <n v="2"/>
    <n v="2793.88"/>
    <n v="5587.76"/>
    <n v="0"/>
    <n v="901.34"/>
    <n v="229.19"/>
    <s v="Debit Card"/>
    <s v="Medium"/>
    <n v="0.16130614056437642"/>
  </r>
  <r>
    <s v="ORD-10847"/>
    <x v="400"/>
    <s v="Rohan Singh"/>
    <s v="Consumer"/>
    <s v="South"/>
    <s v="Telangana"/>
    <x v="4"/>
    <s v="Fragrances"/>
    <s v="Floral Mist"/>
    <n v="2"/>
    <n v="2299.65"/>
    <n v="4139.37"/>
    <n v="10"/>
    <n v="643.72"/>
    <n v="89.67"/>
    <s v="Cash on Delivery"/>
    <s v="Critical"/>
    <n v="0.15551158751210933"/>
  </r>
  <r>
    <s v="ORD-10665"/>
    <x v="401"/>
    <s v="Saanvi Sharma"/>
    <s v="Small Business"/>
    <s v="South"/>
    <s v="Telangana"/>
    <x v="5"/>
    <s v="Kids Wear"/>
    <s v="School Uniform Set"/>
    <n v="1"/>
    <n v="788"/>
    <n v="748.6"/>
    <n v="5"/>
    <n v="167.37"/>
    <n v="222.35"/>
    <s v="UPI"/>
    <s v="Medium"/>
    <n v="0.22357734437616886"/>
  </r>
  <r>
    <s v="ORD-10659"/>
    <x v="402"/>
    <s v="Anika Mishra"/>
    <s v="Consumer"/>
    <s v="North"/>
    <s v="Uttar Pradesh"/>
    <x v="4"/>
    <s v="Fragrances"/>
    <s v="Citrus Eau de Toilette"/>
    <n v="3"/>
    <n v="1644.38"/>
    <n v="4193.17"/>
    <n v="15"/>
    <n v="657.74"/>
    <n v="119.81"/>
    <s v="Net Banking"/>
    <s v="Low"/>
    <n v="0.15685984589224858"/>
  </r>
  <r>
    <s v="ORD-10619"/>
    <x v="403"/>
    <s v="Meera Desai"/>
    <s v="Consumer"/>
    <s v="North"/>
    <s v="Haryana"/>
    <x v="1"/>
    <s v="Furniture"/>
    <s v="Study Table"/>
    <n v="1"/>
    <n v="6954.99"/>
    <n v="6954.99"/>
    <n v="0"/>
    <n v="1249.69"/>
    <n v="33.869999999999997"/>
    <s v="Credit Card"/>
    <s v="Low"/>
    <n v="0.17968250134076399"/>
  </r>
  <r>
    <s v="ORD-10380"/>
    <x v="404"/>
    <s v="Aditya Desai"/>
    <s v="Consumer"/>
    <s v="South"/>
    <s v="Telangana"/>
    <x v="5"/>
    <s v="Women's Wear"/>
    <s v="Denim Jacket"/>
    <n v="2"/>
    <n v="4348.05"/>
    <n v="8696.1"/>
    <n v="0"/>
    <n v="1775.46"/>
    <n v="124.55"/>
    <s v="Net Banking"/>
    <s v="Low"/>
    <n v="0.20416738537965295"/>
  </r>
  <r>
    <s v="ORD-10083"/>
    <x v="405"/>
    <s v="Myra Kapoor"/>
    <s v="Consumer"/>
    <s v="East"/>
    <s v="Odisha"/>
    <x v="3"/>
    <s v="Gym Equipment"/>
    <s v="Adjustable Dumbbells"/>
    <n v="1"/>
    <n v="5340.15"/>
    <n v="4539.13"/>
    <n v="15"/>
    <n v="492.85"/>
    <n v="251.72"/>
    <s v="Debit Card"/>
    <s v="High"/>
    <n v="0.10857807553429842"/>
  </r>
  <r>
    <s v="ORD-10427"/>
    <x v="405"/>
    <s v="Krishna Khan"/>
    <s v="Small Business"/>
    <s v="East"/>
    <s v="Odisha"/>
    <x v="4"/>
    <s v="Makeup"/>
    <s v="Eyeliner Pro"/>
    <n v="1"/>
    <n v="1551.87"/>
    <n v="1396.68"/>
    <n v="10"/>
    <n v="273.13"/>
    <n v="137.04"/>
    <s v="UPI"/>
    <s v="Medium"/>
    <n v="0.19555660566486238"/>
  </r>
  <r>
    <s v="ORD-10195"/>
    <x v="406"/>
    <s v="Neha Bose"/>
    <s v="Consumer"/>
    <s v="North"/>
    <s v="Haryana"/>
    <x v="4"/>
    <s v="Makeup"/>
    <s v="Matte Lipstick"/>
    <n v="5"/>
    <n v="747.82"/>
    <n v="3739.1"/>
    <n v="0"/>
    <n v="1002.02"/>
    <n v="321.13"/>
    <s v="Net Banking"/>
    <s v="High"/>
    <n v="0.26798427429060467"/>
  </r>
  <r>
    <s v="ORD-10809"/>
    <x v="407"/>
    <s v="Raj Agarwal"/>
    <s v="Consumer"/>
    <s v="East"/>
    <s v="Bihar"/>
    <x v="5"/>
    <s v="Men's Wear"/>
    <s v="Casual Blazer"/>
    <n v="1"/>
    <n v="1158.68"/>
    <n v="984.88"/>
    <n v="15"/>
    <n v="134.99"/>
    <n v="226.84"/>
    <s v="UPI"/>
    <s v="Low"/>
    <n v="0.13706238323450573"/>
  </r>
  <r>
    <s v="ORD-10150"/>
    <x v="407"/>
    <s v="Kiara Agarwal"/>
    <s v="Consumer"/>
    <s v="South"/>
    <s v="Tamil Nadu"/>
    <x v="5"/>
    <s v="Footwear"/>
    <s v="Formal Loafers"/>
    <n v="2"/>
    <n v="1017.73"/>
    <n v="1526.6"/>
    <n v="25"/>
    <n v="117.95"/>
    <n v="258.97000000000003"/>
    <s v="Net Banking"/>
    <s v="High"/>
    <n v="7.7263199266343521E-2"/>
  </r>
  <r>
    <s v="ORD-10081"/>
    <x v="408"/>
    <s v="Vihaan Sharma"/>
    <s v="Consumer"/>
    <s v="South"/>
    <s v="Tamil Nadu"/>
    <x v="4"/>
    <s v="Makeup"/>
    <s v="Foundation Stick"/>
    <n v="1"/>
    <n v="1067.7"/>
    <n v="907.54"/>
    <n v="15"/>
    <n v="177.44"/>
    <n v="137.69999999999999"/>
    <s v="UPI"/>
    <s v="Low"/>
    <n v="0.19551755294532472"/>
  </r>
  <r>
    <s v="ORD-10055"/>
    <x v="408"/>
    <s v="Aditya Singh"/>
    <s v="Small Business"/>
    <s v="South"/>
    <s v="Kerala"/>
    <x v="3"/>
    <s v="Apparel"/>
    <s v="Sports Jacket"/>
    <n v="3"/>
    <n v="14467.03"/>
    <n v="39060.980000000003"/>
    <n v="10"/>
    <n v="4584.8599999999997"/>
    <n v="183.23"/>
    <s v="UPI"/>
    <s v="Critical"/>
    <n v="0.11737698337317699"/>
  </r>
  <r>
    <s v="ORD-10377"/>
    <x v="409"/>
    <s v="Raj Nair"/>
    <s v="Consumer"/>
    <s v="South"/>
    <s v="Kerala"/>
    <x v="1"/>
    <s v="Appliances"/>
    <s v="Microwave Oven"/>
    <n v="2"/>
    <n v="6309.3"/>
    <n v="11987.67"/>
    <n v="5"/>
    <n v="878.52"/>
    <n v="244.65"/>
    <s v="Debit Card"/>
    <s v="Critical"/>
    <n v="7.3285300646414184E-2"/>
  </r>
  <r>
    <s v="ORD-10861"/>
    <x v="410"/>
    <s v="Pooja Das"/>
    <s v="Small Business"/>
    <s v="East"/>
    <s v="Odisha"/>
    <x v="3"/>
    <s v="Gym Equipment"/>
    <s v="Adjustable Dumbbells"/>
    <n v="2"/>
    <n v="12428.51"/>
    <n v="22371.32"/>
    <n v="10"/>
    <n v="3393.76"/>
    <n v="217.89"/>
    <s v="UPI"/>
    <s v="High"/>
    <n v="0.15170137479594412"/>
  </r>
  <r>
    <s v="ORD-10678"/>
    <x v="410"/>
    <s v="Reyansh Mehta"/>
    <s v="Consumer"/>
    <s v="West"/>
    <s v="Maharashtra"/>
    <x v="1"/>
    <s v="Furniture"/>
    <s v="Wooden Chair"/>
    <n v="1"/>
    <n v="4733.24"/>
    <n v="4023.25"/>
    <n v="15"/>
    <n v="417.77"/>
    <n v="46.16"/>
    <s v="Cash on Delivery"/>
    <s v="Low"/>
    <n v="0.10383893618343379"/>
  </r>
  <r>
    <s v="ORD-10478"/>
    <x v="411"/>
    <s v="Diya Mehta"/>
    <s v="Corporate"/>
    <s v="North"/>
    <s v="Delhi"/>
    <x v="5"/>
    <s v="Men's Wear"/>
    <s v="Cotton Kurta"/>
    <n v="1"/>
    <n v="1902.77"/>
    <n v="1807.63"/>
    <n v="5"/>
    <n v="402.23"/>
    <n v="71.23"/>
    <s v="Cash on Delivery"/>
    <s v="Medium"/>
    <n v="0.22251788253127022"/>
  </r>
  <r>
    <s v="ORD-10854"/>
    <x v="411"/>
    <s v="Sai Khan"/>
    <s v="Corporate"/>
    <s v="South"/>
    <s v="Karnataka"/>
    <x v="3"/>
    <s v="Outdoor Gear"/>
    <s v="Water Bottle Steel"/>
    <n v="1"/>
    <n v="10331.82"/>
    <n v="9298.64"/>
    <n v="10"/>
    <n v="1406.05"/>
    <n v="330.86"/>
    <s v="UPI"/>
    <s v="Medium"/>
    <n v="0.15121028451472474"/>
  </r>
  <r>
    <s v="ORD-10460"/>
    <x v="412"/>
    <s v="Anika Sharma"/>
    <s v="Consumer"/>
    <s v="North"/>
    <s v="Punjab"/>
    <x v="2"/>
    <s v="Non-Fiction"/>
    <s v="The Growth Mindset"/>
    <n v="5"/>
    <n v="612.34"/>
    <n v="2755.53"/>
    <n v="10"/>
    <n v="138.53"/>
    <n v="286.89999999999998"/>
    <s v="Credit Card"/>
    <s v="Low"/>
    <n v="5.0273450116674466E-2"/>
  </r>
  <r>
    <s v="ORD-10145"/>
    <x v="412"/>
    <s v="Meera Mehta"/>
    <s v="Small Business"/>
    <s v="South"/>
    <s v="Karnataka"/>
    <x v="2"/>
    <s v="Comics"/>
    <s v="Manga Vol. 1"/>
    <n v="1"/>
    <n v="531.24"/>
    <n v="478.12"/>
    <n v="10"/>
    <n v="65.17"/>
    <n v="143.94999999999999"/>
    <s v="Credit Card"/>
    <s v="Critical"/>
    <n v="0.13630469338241447"/>
  </r>
  <r>
    <s v="ORD-10711"/>
    <x v="413"/>
    <s v="Neha Nair"/>
    <s v="Consumer"/>
    <s v="North"/>
    <s v="Delhi"/>
    <x v="4"/>
    <s v="Fragrances"/>
    <s v="Musk Perfume"/>
    <n v="1"/>
    <n v="2184.84"/>
    <n v="1966.36"/>
    <n v="10"/>
    <n v="576.30999999999995"/>
    <n v="124.97"/>
    <s v="Cash on Delivery"/>
    <s v="Medium"/>
    <n v="0.2930846843914644"/>
  </r>
  <r>
    <s v="ORD-10681"/>
    <x v="414"/>
    <s v="Myra Gupta"/>
    <s v="Corporate"/>
    <s v="North"/>
    <s v="Uttar Pradesh"/>
    <x v="2"/>
    <s v="Academic"/>
    <s v="Calculus Made Easy"/>
    <n v="1"/>
    <n v="926.38"/>
    <n v="926.38"/>
    <n v="0"/>
    <n v="168.89"/>
    <n v="189.37"/>
    <s v="UPI"/>
    <s v="Low"/>
    <n v="0.18231179429607719"/>
  </r>
  <r>
    <s v="ORD-10434"/>
    <x v="414"/>
    <s v="Myra Rao"/>
    <s v="Consumer"/>
    <s v="East"/>
    <s v="Odisha"/>
    <x v="4"/>
    <s v="Skincare"/>
    <s v="Face Wash Gel"/>
    <n v="2"/>
    <n v="849.03"/>
    <n v="1358.45"/>
    <n v="20"/>
    <n v="149.47999999999999"/>
    <n v="128.75"/>
    <s v="Credit Card"/>
    <s v="Low"/>
    <n v="0.11003717472118958"/>
  </r>
  <r>
    <s v="ORD-10572"/>
    <x v="415"/>
    <s v="Rohan Khan"/>
    <s v="Small Business"/>
    <s v="West"/>
    <s v="Maharashtra"/>
    <x v="4"/>
    <s v="Makeup"/>
    <s v="Eyeliner Pro"/>
    <n v="2"/>
    <n v="821.9"/>
    <n v="1561.61"/>
    <n v="5"/>
    <n v="478.29"/>
    <n v="314.67"/>
    <s v="UPI"/>
    <s v="Low"/>
    <n v="0.30628005712053591"/>
  </r>
  <r>
    <s v="ORD-10428"/>
    <x v="415"/>
    <s v="Navya Sharma"/>
    <s v="Corporate"/>
    <s v="South"/>
    <s v="Kerala"/>
    <x v="3"/>
    <s v="Outdoor Gear"/>
    <s v="Water Bottle Steel"/>
    <n v="3"/>
    <n v="704.41"/>
    <n v="2113.23"/>
    <n v="0"/>
    <n v="304.35000000000002"/>
    <n v="326.14"/>
    <s v="Credit Card"/>
    <s v="Low"/>
    <n v="0.14402123763149302"/>
  </r>
  <r>
    <s v="ORD-10027"/>
    <x v="416"/>
    <s v="Reyansh Bose"/>
    <s v="Consumer"/>
    <s v="North"/>
    <s v="Uttar Pradesh"/>
    <x v="0"/>
    <s v="Cameras"/>
    <s v="PixelPro DSLR"/>
    <n v="3"/>
    <n v="13103.17"/>
    <n v="31447.61"/>
    <n v="20"/>
    <n v="-476.31"/>
    <n v="318.38"/>
    <s v="Credit Card"/>
    <s v="Medium"/>
    <n v="-1.5146143061428197E-2"/>
  </r>
  <r>
    <s v="ORD-10309"/>
    <x v="416"/>
    <s v="Diya Singh"/>
    <s v="Consumer"/>
    <s v="South"/>
    <s v="Telangana"/>
    <x v="5"/>
    <s v="Men's Wear"/>
    <s v="Casual Blazer"/>
    <n v="1"/>
    <n v="2567.6"/>
    <n v="1925.7"/>
    <n v="25"/>
    <n v="103.83"/>
    <n v="46.54"/>
    <s v="Debit Card"/>
    <s v="Medium"/>
    <n v="5.3918055771927091E-2"/>
  </r>
  <r>
    <s v="ORD-10862"/>
    <x v="416"/>
    <s v="Aditya Rao"/>
    <s v="Small Business"/>
    <s v="North"/>
    <s v="Punjab"/>
    <x v="3"/>
    <s v="Outdoor Gear"/>
    <s v="Hiking Backpack"/>
    <n v="1"/>
    <n v="5902.94"/>
    <n v="5607.79"/>
    <n v="5"/>
    <n v="883.64"/>
    <n v="322.82"/>
    <s v="UPI"/>
    <s v="Low"/>
    <n v="0.15757366092524863"/>
  </r>
  <r>
    <s v="ORD-10746"/>
    <x v="417"/>
    <s v="Pooja Malhotra"/>
    <s v="Consumer"/>
    <s v="North"/>
    <s v="Delhi"/>
    <x v="4"/>
    <s v="Haircare"/>
    <s v="Hair Growth Serum"/>
    <n v="1"/>
    <n v="703.05"/>
    <n v="667.9"/>
    <n v="5"/>
    <n v="115.84"/>
    <n v="220.5"/>
    <s v="Credit Card"/>
    <s v="High"/>
    <n v="0.17343913759544843"/>
  </r>
  <r>
    <s v="ORD-10214"/>
    <x v="418"/>
    <s v="Priya Rao"/>
    <s v="Consumer"/>
    <s v="East"/>
    <s v="Bihar"/>
    <x v="0"/>
    <s v="Mobiles"/>
    <s v="iSmart X2"/>
    <n v="1"/>
    <n v="62070.75"/>
    <n v="52760.14"/>
    <n v="15"/>
    <n v="-4098.34"/>
    <n v="73.2"/>
    <s v="UPI"/>
    <s v="Low"/>
    <n v="-7.7678717304389258E-2"/>
  </r>
  <r>
    <s v="ORD-10710"/>
    <x v="419"/>
    <s v="Kabir Mishra"/>
    <s v="Consumer"/>
    <s v="North"/>
    <s v="Uttar Pradesh"/>
    <x v="1"/>
    <s v="Cookware"/>
    <s v="Non-Stick Pan Set"/>
    <n v="3"/>
    <n v="1763.6"/>
    <n v="4232.6400000000003"/>
    <n v="20"/>
    <n v="118.75"/>
    <n v="112.89"/>
    <s v="Credit Card"/>
    <s v="Medium"/>
    <n v="2.8055776064111287E-2"/>
  </r>
  <r>
    <s v="ORD-10834"/>
    <x v="420"/>
    <s v="Simran Singh"/>
    <s v="Small Business"/>
    <s v="East"/>
    <s v="Odisha"/>
    <x v="4"/>
    <s v="Haircare"/>
    <s v="Conditioner Pro"/>
    <n v="2"/>
    <n v="304.07"/>
    <n v="547.33000000000004"/>
    <n v="10"/>
    <n v="157.96"/>
    <n v="114.73"/>
    <s v="UPI"/>
    <s v="Medium"/>
    <n v="0.28860102680284289"/>
  </r>
  <r>
    <s v="ORD-10084"/>
    <x v="421"/>
    <s v="Saanvi Agarwal"/>
    <s v="Consumer"/>
    <s v="South"/>
    <s v="Karnataka"/>
    <x v="5"/>
    <s v="Kids Wear"/>
    <s v="Winter Jacket Jr"/>
    <n v="2"/>
    <n v="2941.56"/>
    <n v="5294.81"/>
    <n v="10"/>
    <n v="392.76"/>
    <n v="325.79000000000002"/>
    <s v="Credit Card"/>
    <s v="High"/>
    <n v="7.4178299126880842E-2"/>
  </r>
  <r>
    <s v="ORD-10525"/>
    <x v="422"/>
    <s v="Diya Mishra"/>
    <s v="Small Business"/>
    <s v="East"/>
    <s v="Bihar"/>
    <x v="3"/>
    <s v="Gym Equipment"/>
    <s v="Treadmill Compact"/>
    <n v="1"/>
    <n v="8850.25"/>
    <n v="8407.74"/>
    <n v="5"/>
    <n v="1034.92"/>
    <n v="83.56"/>
    <s v="Credit Card"/>
    <s v="Medium"/>
    <n v="0.12309134202532429"/>
  </r>
  <r>
    <s v="ORD-10637"/>
    <x v="422"/>
    <s v="Reyansh Verma"/>
    <s v="Corporate"/>
    <s v="South"/>
    <s v="Karnataka"/>
    <x v="2"/>
    <s v="Non-Fiction"/>
    <s v="The Growth Mindset"/>
    <n v="3"/>
    <n v="596.49"/>
    <n v="1789.47"/>
    <n v="0"/>
    <n v="330.18"/>
    <n v="77.48"/>
    <s v="Cash on Delivery"/>
    <s v="High"/>
    <n v="0.18451273282033229"/>
  </r>
  <r>
    <s v="ORD-10723"/>
    <x v="423"/>
    <s v="Riya Das"/>
    <s v="Consumer"/>
    <s v="West"/>
    <s v="Gujarat"/>
    <x v="2"/>
    <s v="Non-Fiction"/>
    <s v="Mind Over Matter"/>
    <n v="3"/>
    <n v="383"/>
    <n v="1091.55"/>
    <n v="5"/>
    <n v="165.66"/>
    <n v="294.02"/>
    <s v="Cash on Delivery"/>
    <s v="High"/>
    <n v="0.15176583757042739"/>
  </r>
  <r>
    <s v="ORD-10329"/>
    <x v="423"/>
    <s v="Navya Nair"/>
    <s v="Consumer"/>
    <s v="West"/>
    <s v="Rajasthan"/>
    <x v="3"/>
    <s v="Apparel"/>
    <s v="Sports T-Shirt"/>
    <n v="1"/>
    <n v="12271.68"/>
    <n v="9817.34"/>
    <n v="20"/>
    <n v="-15.06"/>
    <n v="182.54"/>
    <s v="Credit Card"/>
    <s v="Critical"/>
    <n v="-1.5340204169357484E-3"/>
  </r>
  <r>
    <s v="ORD-10512"/>
    <x v="423"/>
    <s v="Pooja Agarwal"/>
    <s v="Corporate"/>
    <s v="North"/>
    <s v="Delhi"/>
    <x v="5"/>
    <s v="Women's Wear"/>
    <s v="Silk Saree"/>
    <n v="3"/>
    <n v="4090.3"/>
    <n v="11657.35"/>
    <n v="5"/>
    <n v="2029.93"/>
    <n v="81.260000000000005"/>
    <s v="UPI"/>
    <s v="High"/>
    <n v="0.17413305768463674"/>
  </r>
  <r>
    <s v="ORD-10305"/>
    <x v="424"/>
    <s v="Karan Das"/>
    <s v="Consumer"/>
    <s v="West"/>
    <s v="Gujarat"/>
    <x v="1"/>
    <s v="Furniture"/>
    <s v="Sofa Set"/>
    <n v="1"/>
    <n v="2369.19"/>
    <n v="2250.73"/>
    <n v="5"/>
    <n v="101.83"/>
    <n v="295.24"/>
    <s v="UPI"/>
    <s v="Low"/>
    <n v="4.5243098905688374E-2"/>
  </r>
  <r>
    <s v="ORD-10141"/>
    <x v="425"/>
    <s v="Vivaan Mehta"/>
    <s v="Small Business"/>
    <s v="West"/>
    <s v="Gujarat"/>
    <x v="1"/>
    <s v="Furniture"/>
    <s v="Sofa Set"/>
    <n v="1"/>
    <n v="4776.5"/>
    <n v="3582.38"/>
    <n v="25"/>
    <n v="-8.34"/>
    <n v="68.319999999999993"/>
    <s v="UPI"/>
    <s v="High"/>
    <n v="-2.3280612330350212E-3"/>
  </r>
  <r>
    <s v="ORD-10488"/>
    <x v="426"/>
    <s v="Kabir Agarwal"/>
    <s v="Small Business"/>
    <s v="East"/>
    <s v="Bihar"/>
    <x v="2"/>
    <s v="Academic"/>
    <s v="Physics Fundamentals"/>
    <n v="5"/>
    <n v="344.6"/>
    <n v="1550.7"/>
    <n v="10"/>
    <n v="201.16"/>
    <n v="115.27"/>
    <s v="Credit Card"/>
    <s v="Medium"/>
    <n v="0.12972206100470754"/>
  </r>
  <r>
    <s v="ORD-10435"/>
    <x v="426"/>
    <s v="Vivaan Gupta"/>
    <s v="Consumer"/>
    <s v="East"/>
    <s v="Odisha"/>
    <x v="3"/>
    <s v="Apparel"/>
    <s v="Sports Jacket"/>
    <n v="3"/>
    <n v="14631.33"/>
    <n v="41699.29"/>
    <n v="5"/>
    <n v="4859.53"/>
    <n v="330.33"/>
    <s v="Net Banking"/>
    <s v="High"/>
    <n v="0.11653747581793358"/>
  </r>
  <r>
    <s v="ORD-10562"/>
    <x v="426"/>
    <s v="Priya Agarwal"/>
    <s v="Corporate"/>
    <s v="West"/>
    <s v="Maharashtra"/>
    <x v="3"/>
    <s v="Apparel"/>
    <s v="Sports T-Shirt"/>
    <n v="1"/>
    <n v="6284.75"/>
    <n v="6284.75"/>
    <n v="0"/>
    <n v="1456.9"/>
    <n v="319.95999999999998"/>
    <s v="Debit Card"/>
    <s v="Medium"/>
    <n v="0.23181510799952268"/>
  </r>
  <r>
    <s v="ORD-10308"/>
    <x v="426"/>
    <s v="Kiara Nair"/>
    <s v="Consumer"/>
    <s v="North"/>
    <s v="Punjab"/>
    <x v="4"/>
    <s v="Haircare"/>
    <s v="Hair Growth Serum"/>
    <n v="4"/>
    <n v="2053.04"/>
    <n v="6980.34"/>
    <n v="15"/>
    <n v="1752.94"/>
    <n v="262.31"/>
    <s v="Cash on Delivery"/>
    <s v="High"/>
    <n v="0.25112530335198574"/>
  </r>
  <r>
    <s v="ORD-10095"/>
    <x v="427"/>
    <s v="Aditya Rao"/>
    <s v="Small Business"/>
    <s v="East"/>
    <s v="West Bengal"/>
    <x v="4"/>
    <s v="Fragrances"/>
    <s v="Floral Mist"/>
    <n v="1"/>
    <n v="1215.52"/>
    <n v="1093.97"/>
    <n v="10"/>
    <n v="223.77"/>
    <n v="67.459999999999994"/>
    <s v="UPI"/>
    <s v="Medium"/>
    <n v="0.20454857080175873"/>
  </r>
  <r>
    <s v="ORD-10246"/>
    <x v="428"/>
    <s v="Arjun Verma"/>
    <s v="Consumer"/>
    <s v="West"/>
    <s v="Maharashtra"/>
    <x v="5"/>
    <s v="Women's Wear"/>
    <s v="Silk Saree"/>
    <n v="5"/>
    <n v="843.96"/>
    <n v="4008.81"/>
    <n v="5"/>
    <n v="987.31"/>
    <n v="374.4"/>
    <s v="Cash on Delivery"/>
    <s v="Medium"/>
    <n v="0.24628505716160157"/>
  </r>
  <r>
    <s v="ORD-10286"/>
    <x v="428"/>
    <s v="Dhruv Desai"/>
    <s v="Corporate"/>
    <s v="South"/>
    <s v="Tamil Nadu"/>
    <x v="2"/>
    <s v="Academic"/>
    <s v="Calculus Made Easy"/>
    <n v="1"/>
    <n v="183.17"/>
    <n v="164.85"/>
    <n v="10"/>
    <n v="15.93"/>
    <n v="329.59"/>
    <s v="Debit Card"/>
    <s v="Low"/>
    <n v="9.6633303002729751E-2"/>
  </r>
  <r>
    <s v="ORD-10299"/>
    <x v="429"/>
    <s v="Aarav Kapoor"/>
    <s v="Corporate"/>
    <s v="West"/>
    <s v="Rajasthan"/>
    <x v="2"/>
    <s v="Comics"/>
    <s v="Graphic Tales"/>
    <n v="2"/>
    <n v="371.2"/>
    <n v="668.16"/>
    <n v="10"/>
    <n v="109.46"/>
    <n v="279.60000000000002"/>
    <s v="UPI"/>
    <s v="High"/>
    <n v="0.16382303639846743"/>
  </r>
  <r>
    <s v="ORD-10783"/>
    <x v="429"/>
    <s v="Reyansh Reddy"/>
    <s v="Consumer"/>
    <s v="South"/>
    <s v="Karnataka"/>
    <x v="4"/>
    <s v="Skincare"/>
    <s v="Aloe Moisturizer"/>
    <n v="3"/>
    <n v="895.7"/>
    <n v="2552.7399999999998"/>
    <n v="5"/>
    <n v="663.62"/>
    <n v="84.47"/>
    <s v="Credit Card"/>
    <s v="Low"/>
    <n v="0.25996380359926985"/>
  </r>
  <r>
    <s v="ORD-10906"/>
    <x v="430"/>
    <s v="Pooja Patel"/>
    <s v="Corporate"/>
    <s v="East"/>
    <s v="Odisha"/>
    <x v="1"/>
    <s v="Furniture"/>
    <s v="Wooden Chair"/>
    <n v="1"/>
    <n v="8494.86"/>
    <n v="8494.86"/>
    <n v="0"/>
    <n v="1217.67"/>
    <n v="318.08"/>
    <s v="Debit Card"/>
    <s v="Medium"/>
    <n v="0.1433419738524237"/>
  </r>
  <r>
    <s v="ORD-10040"/>
    <x v="431"/>
    <s v="Rohan Rao"/>
    <s v="Consumer"/>
    <s v="North"/>
    <s v="Uttar Pradesh"/>
    <x v="4"/>
    <s v="Skincare"/>
    <s v="Vitamin C Serum"/>
    <n v="2"/>
    <n v="1390.83"/>
    <n v="2781.66"/>
    <n v="0"/>
    <n v="608.78"/>
    <n v="313.07"/>
    <s v="Debit Card"/>
    <s v="Low"/>
    <n v="0.21885492835213505"/>
  </r>
  <r>
    <s v="ORD-10474"/>
    <x v="431"/>
    <s v="Diya Joshi"/>
    <s v="Corporate"/>
    <s v="West"/>
    <s v="Gujarat"/>
    <x v="3"/>
    <s v="Footwear"/>
    <s v="Running Shoes"/>
    <n v="1"/>
    <n v="9768.2199999999993"/>
    <n v="9279.81"/>
    <n v="5"/>
    <n v="1820.82"/>
    <n v="252.13"/>
    <s v="UPI"/>
    <s v="Low"/>
    <n v="0.19621306901757687"/>
  </r>
  <r>
    <s v="ORD-10050"/>
    <x v="431"/>
    <s v="Raj Mishra"/>
    <s v="Small Business"/>
    <s v="South"/>
    <s v="Tamil Nadu"/>
    <x v="5"/>
    <s v="Footwear"/>
    <s v="Casual Sneakers"/>
    <n v="2"/>
    <n v="2686.9"/>
    <n v="5105.1099999999997"/>
    <n v="5"/>
    <n v="782.47"/>
    <n v="74.98"/>
    <s v="Credit Card"/>
    <s v="Low"/>
    <n v="0.15327191774516125"/>
  </r>
  <r>
    <s v="ORD-10182"/>
    <x v="431"/>
    <s v="Priya Mehta"/>
    <s v="Small Business"/>
    <s v="North"/>
    <s v="Uttar Pradesh"/>
    <x v="3"/>
    <s v="Outdoor Gear"/>
    <s v="Trekking Pole"/>
    <n v="1"/>
    <n v="3640.46"/>
    <n v="2912.37"/>
    <n v="20"/>
    <n v="-172.5"/>
    <n v="174.78"/>
    <s v="Net Banking"/>
    <s v="Medium"/>
    <n v="-5.9230111558627514E-2"/>
  </r>
  <r>
    <s v="ORD-10352"/>
    <x v="432"/>
    <s v="Diya Verma"/>
    <s v="Small Business"/>
    <s v="North"/>
    <s v="Haryana"/>
    <x v="2"/>
    <s v="Academic"/>
    <s v="Statistics Handbook"/>
    <n v="1"/>
    <n v="853.08"/>
    <n v="853.08"/>
    <n v="0"/>
    <n v="61.78"/>
    <n v="52.38"/>
    <s v="UPI"/>
    <s v="Low"/>
    <n v="7.2419937168846996E-2"/>
  </r>
  <r>
    <s v="ORD-10877"/>
    <x v="432"/>
    <s v="Navya Gupta"/>
    <s v="Consumer"/>
    <s v="East"/>
    <s v="Odisha"/>
    <x v="3"/>
    <s v="Footwear"/>
    <s v="Sandals"/>
    <n v="2"/>
    <n v="1256.6300000000001"/>
    <n v="1759.28"/>
    <n v="30"/>
    <n v="248.86"/>
    <n v="285.45999999999998"/>
    <s v="Credit Card"/>
    <s v="High"/>
    <n v="0.14145559547087447"/>
  </r>
  <r>
    <s v="ORD-10192"/>
    <x v="433"/>
    <s v="Rohan Desai"/>
    <s v="Corporate"/>
    <s v="South"/>
    <s v="Telangana"/>
    <x v="2"/>
    <s v="Non-Fiction"/>
    <s v="Modern Economics"/>
    <n v="2"/>
    <n v="541.97"/>
    <n v="758.76"/>
    <n v="30"/>
    <n v="-36.85"/>
    <n v="131.63999999999999"/>
    <s v="UPI"/>
    <s v="Medium"/>
    <n v="-4.8566081501397018E-2"/>
  </r>
  <r>
    <s v="ORD-10770"/>
    <x v="433"/>
    <s v="Ishaan Chopra"/>
    <s v="Consumer"/>
    <s v="South"/>
    <s v="Tamil Nadu"/>
    <x v="5"/>
    <s v="Men's Wear"/>
    <s v="Classic Shirt"/>
    <n v="3"/>
    <n v="2983.94"/>
    <n v="6266.27"/>
    <n v="30"/>
    <n v="-391.75"/>
    <n v="365.13"/>
    <s v="Credit Card"/>
    <s v="Medium"/>
    <n v="-6.2517255081571646E-2"/>
  </r>
  <r>
    <s v="ORD-10798"/>
    <x v="433"/>
    <s v="Ananya Rao"/>
    <s v="Consumer"/>
    <s v="West"/>
    <s v="Gujarat"/>
    <x v="3"/>
    <s v="Gym Equipment"/>
    <s v="Adjustable Dumbbells"/>
    <n v="1"/>
    <n v="3028.57"/>
    <n v="2574.2800000000002"/>
    <n v="15"/>
    <n v="320.61"/>
    <n v="294.23"/>
    <s v="Credit Card"/>
    <s v="Medium"/>
    <n v="0.12454356169492052"/>
  </r>
  <r>
    <s v="ORD-10323"/>
    <x v="434"/>
    <s v="Meera Kapoor"/>
    <s v="Corporate"/>
    <s v="East"/>
    <s v="West Bengal"/>
    <x v="4"/>
    <s v="Skincare"/>
    <s v="Face Wash Gel"/>
    <n v="2"/>
    <n v="1735.46"/>
    <n v="2950.28"/>
    <n v="15"/>
    <n v="648.67999999999995"/>
    <n v="300.3"/>
    <s v="UPI"/>
    <s v="Critical"/>
    <n v="0.21987065634448252"/>
  </r>
  <r>
    <s v="ORD-10938"/>
    <x v="434"/>
    <s v="Pooja Desai"/>
    <s v="Consumer"/>
    <s v="North"/>
    <s v="Delhi"/>
    <x v="2"/>
    <s v="Comics"/>
    <s v="Comic Universe"/>
    <n v="3"/>
    <n v="369.27"/>
    <n v="886.25"/>
    <n v="20"/>
    <n v="10.56"/>
    <n v="78.739999999999995"/>
    <s v="Credit Card"/>
    <s v="Medium"/>
    <n v="1.191537376586742E-2"/>
  </r>
  <r>
    <s v="ORD-10732"/>
    <x v="434"/>
    <s v="Simran Iyer"/>
    <s v="Corporate"/>
    <s v="East"/>
    <s v="Bihar"/>
    <x v="3"/>
    <s v="Gym Equipment"/>
    <s v="Treadmill Compact"/>
    <n v="2"/>
    <n v="7151.09"/>
    <n v="12871.96"/>
    <n v="10"/>
    <n v="855.4"/>
    <n v="276.27999999999997"/>
    <s v="Credit Card"/>
    <s v="High"/>
    <n v="6.6454525961858177E-2"/>
  </r>
  <r>
    <s v="ORD-10209"/>
    <x v="435"/>
    <s v="Saanvi Mishra"/>
    <s v="Consumer"/>
    <s v="North"/>
    <s v="Delhi"/>
    <x v="1"/>
    <s v="Decor"/>
    <s v="LED Fairy Lights"/>
    <n v="2"/>
    <n v="8893.34"/>
    <n v="17786.68"/>
    <n v="0"/>
    <n v="3834.47"/>
    <n v="203.17"/>
    <s v="UPI"/>
    <s v="Critical"/>
    <n v="0.21558098532160019"/>
  </r>
  <r>
    <s v="ORD-10265"/>
    <x v="435"/>
    <s v="Kabir Sharma"/>
    <s v="Corporate"/>
    <s v="North"/>
    <s v="Haryana"/>
    <x v="4"/>
    <s v="Haircare"/>
    <s v="Argan Oil Shampoo"/>
    <n v="1"/>
    <n v="1055.22"/>
    <n v="896.94"/>
    <n v="15"/>
    <n v="144.96"/>
    <n v="30.33"/>
    <s v="Debit Card"/>
    <s v="Low"/>
    <n v="0.1616161616161616"/>
  </r>
  <r>
    <s v="ORD-10530"/>
    <x v="435"/>
    <s v="Anika Chopra"/>
    <s v="Small Business"/>
    <s v="West"/>
    <s v="Rajasthan"/>
    <x v="2"/>
    <s v="Fiction"/>
    <s v="The Silent Valley"/>
    <n v="2"/>
    <n v="783.09"/>
    <n v="1409.56"/>
    <n v="10"/>
    <n v="24.44"/>
    <n v="309.55"/>
    <s v="UPI"/>
    <s v="Critical"/>
    <n v="1.733874400522149E-2"/>
  </r>
  <r>
    <s v="ORD-10994"/>
    <x v="435"/>
    <s v="Arjun Mehta"/>
    <s v="Corporate"/>
    <s v="South"/>
    <s v="Telangana"/>
    <x v="4"/>
    <s v="Makeup"/>
    <s v="Foundation Stick"/>
    <n v="1"/>
    <n v="1556.2"/>
    <n v="1089.3399999999999"/>
    <n v="30"/>
    <n v="61.99"/>
    <n v="51.56"/>
    <s v="Cash on Delivery"/>
    <s v="High"/>
    <n v="5.6906016487047212E-2"/>
  </r>
  <r>
    <s v="ORD-10466"/>
    <x v="435"/>
    <s v="Karan Verma"/>
    <s v="Consumer"/>
    <s v="West"/>
    <s v="Gujarat"/>
    <x v="3"/>
    <s v="Gym Equipment"/>
    <s v="Treadmill Compact"/>
    <n v="2"/>
    <n v="10755.06"/>
    <n v="20434.61"/>
    <n v="5"/>
    <n v="4083.29"/>
    <n v="145.59"/>
    <s v="Debit Card"/>
    <s v="High"/>
    <n v="0.19982226232847114"/>
  </r>
  <r>
    <s v="ORD-10554"/>
    <x v="436"/>
    <s v="Simran Malhotra"/>
    <s v="Consumer"/>
    <s v="East"/>
    <s v="Bihar"/>
    <x v="2"/>
    <s v="Fiction"/>
    <s v="The Silent Valley"/>
    <n v="2"/>
    <n v="196.37"/>
    <n v="392.74"/>
    <n v="0"/>
    <n v="68.989999999999995"/>
    <n v="154.37"/>
    <s v="Net Banking"/>
    <s v="Critical"/>
    <n v="0.17566328868971837"/>
  </r>
  <r>
    <s v="ORD-10351"/>
    <x v="437"/>
    <s v="Myra Kapoor"/>
    <s v="Corporate"/>
    <s v="North"/>
    <s v="Punjab"/>
    <x v="2"/>
    <s v="Fiction"/>
    <s v="Mystery of Ashgrove"/>
    <n v="1"/>
    <n v="535.29999999999995"/>
    <n v="508.53"/>
    <n v="5"/>
    <n v="90.57"/>
    <n v="171.57"/>
    <s v="UPI"/>
    <s v="Low"/>
    <n v="0.17810158692702496"/>
  </r>
  <r>
    <s v="ORD-10499"/>
    <x v="437"/>
    <s v="Aadhya Kapoor"/>
    <s v="Consumer"/>
    <s v="East"/>
    <s v="Odisha"/>
    <x v="3"/>
    <s v="Apparel"/>
    <s v="Track Pants"/>
    <n v="2"/>
    <n v="3849.25"/>
    <n v="6543.72"/>
    <n v="15"/>
    <n v="-98.75"/>
    <n v="196.35"/>
    <s v="UPI"/>
    <s v="High"/>
    <n v="-1.5090804618779532E-2"/>
  </r>
  <r>
    <s v="ORD-10112"/>
    <x v="437"/>
    <s v="Aadhya Sharma"/>
    <s v="Corporate"/>
    <s v="North"/>
    <s v="Punjab"/>
    <x v="3"/>
    <s v="Outdoor Gear"/>
    <s v="Water Bottle Steel"/>
    <n v="1"/>
    <n v="5526.61"/>
    <n v="5250.28"/>
    <n v="5"/>
    <n v="1098.3599999999999"/>
    <n v="216.77"/>
    <s v="UPI"/>
    <s v="Low"/>
    <n v="0.20920027122362997"/>
  </r>
  <r>
    <s v="ORD-10099"/>
    <x v="437"/>
    <s v="Aditya Gupta"/>
    <s v="Corporate"/>
    <s v="West"/>
    <s v="Maharashtra"/>
    <x v="0"/>
    <s v="Headphones"/>
    <s v="SilentPods"/>
    <n v="2"/>
    <n v="25078.48"/>
    <n v="45141.26"/>
    <n v="10"/>
    <n v="4411.1000000000004"/>
    <n v="348.12"/>
    <s v="UPI"/>
    <s v="High"/>
    <n v="9.7717697733736286E-2"/>
  </r>
  <r>
    <s v="ORD-10461"/>
    <x v="438"/>
    <s v="Simran Joshi"/>
    <s v="Corporate"/>
    <s v="East"/>
    <s v="West Bengal"/>
    <x v="0"/>
    <s v="Mobiles"/>
    <s v="Pixel Nano"/>
    <n v="1"/>
    <n v="52469.91"/>
    <n v="49846.41"/>
    <n v="5"/>
    <n v="4788.4799999999996"/>
    <n v="163.68"/>
    <s v="UPI"/>
    <s v="Low"/>
    <n v="9.6064691519409301E-2"/>
  </r>
  <r>
    <s v="ORD-10582"/>
    <x v="438"/>
    <s v="Ananya Verma"/>
    <s v="Small Business"/>
    <s v="East"/>
    <s v="West Bengal"/>
    <x v="0"/>
    <s v="Cameras"/>
    <s v="PixelPro DSLR"/>
    <n v="2"/>
    <n v="43139.15"/>
    <n v="86278.3"/>
    <n v="0"/>
    <n v="7246.98"/>
    <n v="196.13"/>
    <s v="Credit Card"/>
    <s v="Medium"/>
    <n v="8.3995396293158289E-2"/>
  </r>
  <r>
    <s v="ORD-10782"/>
    <x v="439"/>
    <s v="Rohan Mehta"/>
    <s v="Corporate"/>
    <s v="West"/>
    <s v="Maharashtra"/>
    <x v="5"/>
    <s v="Women's Wear"/>
    <s v="Denim Jacket"/>
    <n v="4"/>
    <n v="1377.14"/>
    <n v="4406.8500000000004"/>
    <n v="20"/>
    <n v="334.03"/>
    <n v="188.7"/>
    <s v="UPI"/>
    <s v="Low"/>
    <n v="7.5797905533430895E-2"/>
  </r>
  <r>
    <s v="ORD-10638"/>
    <x v="439"/>
    <s v="Saanvi Reddy"/>
    <s v="Consumer"/>
    <s v="North"/>
    <s v="Punjab"/>
    <x v="0"/>
    <s v="Headphones"/>
    <s v="BassBoost 300"/>
    <n v="1"/>
    <n v="13995.74"/>
    <n v="12596.17"/>
    <n v="10"/>
    <n v="-1107.44"/>
    <n v="95.15"/>
    <s v="UPI"/>
    <s v="Medium"/>
    <n v="-8.791878801254667E-2"/>
  </r>
  <r>
    <s v="ORD-10587"/>
    <x v="439"/>
    <s v="Riya Desai"/>
    <s v="Corporate"/>
    <s v="West"/>
    <s v="Rajasthan"/>
    <x v="3"/>
    <s v="Apparel"/>
    <s v="Compression Shorts"/>
    <n v="1"/>
    <n v="8316.75"/>
    <n v="7900.91"/>
    <n v="5"/>
    <n v="1461.03"/>
    <n v="107.4"/>
    <s v="Debit Card"/>
    <s v="Medium"/>
    <n v="0.18491920550923882"/>
  </r>
  <r>
    <s v="ORD-10680"/>
    <x v="439"/>
    <s v="Arjun Iyer"/>
    <s v="Consumer"/>
    <s v="West"/>
    <s v="Maharashtra"/>
    <x v="0"/>
    <s v="Mobiles"/>
    <s v="Galaxy Note Lite"/>
    <n v="1"/>
    <n v="26658.45"/>
    <n v="22659.68"/>
    <n v="15"/>
    <n v="809.24"/>
    <n v="298.74"/>
    <s v="Credit Card"/>
    <s v="High"/>
    <n v="3.5712772642861684E-2"/>
  </r>
  <r>
    <s v="ORD-10742"/>
    <x v="439"/>
    <s v="Ayaan Singh"/>
    <s v="Consumer"/>
    <s v="South"/>
    <s v="Telangana"/>
    <x v="3"/>
    <s v="Apparel"/>
    <s v="Track Pants"/>
    <n v="2"/>
    <n v="7778.42"/>
    <n v="15556.84"/>
    <n v="0"/>
    <n v="2500.9499999999998"/>
    <n v="105.13"/>
    <s v="Net Banking"/>
    <s v="High"/>
    <n v="0.1607620827880212"/>
  </r>
  <r>
    <s v="ORD-10645"/>
    <x v="440"/>
    <s v="Kabir Desai"/>
    <s v="Consumer"/>
    <s v="West"/>
    <s v="Maharashtra"/>
    <x v="2"/>
    <s v="Fiction"/>
    <s v="Whispering Pines"/>
    <n v="1"/>
    <n v="809.86"/>
    <n v="688.38"/>
    <n v="15"/>
    <n v="-35.82"/>
    <n v="333.75"/>
    <s v="UPI"/>
    <s v="Low"/>
    <n v="-5.2035213109038615E-2"/>
  </r>
  <r>
    <s v="ORD-10761"/>
    <x v="440"/>
    <s v="Pooja Joshi"/>
    <s v="Consumer"/>
    <s v="East"/>
    <s v="Odisha"/>
    <x v="3"/>
    <s v="Footwear"/>
    <s v="Formal Loafers"/>
    <n v="1"/>
    <n v="13961.89"/>
    <n v="10471.42"/>
    <n v="25"/>
    <n v="716.06"/>
    <n v="97.72"/>
    <s v="Debit Card"/>
    <s v="Medium"/>
    <n v="6.8382320640371599E-2"/>
  </r>
  <r>
    <s v="ORD-10392"/>
    <x v="440"/>
    <s v="Arjun Verma"/>
    <s v="Corporate"/>
    <s v="South"/>
    <s v="Tamil Nadu"/>
    <x v="0"/>
    <s v="Headphones"/>
    <s v="BassBoost 300"/>
    <n v="3"/>
    <n v="63133.85"/>
    <n v="179931.47"/>
    <n v="5"/>
    <n v="24280.05"/>
    <n v="361.54"/>
    <s v="Cash on Delivery"/>
    <s v="Low"/>
    <n v="0.13494054152950566"/>
  </r>
  <r>
    <s v="ORD-10927"/>
    <x v="441"/>
    <s v="Anika Rao"/>
    <s v="Small Business"/>
    <s v="East"/>
    <s v="West Bengal"/>
    <x v="5"/>
    <s v="Kids Wear"/>
    <s v="School Uniform Set"/>
    <n v="1"/>
    <n v="1806.21"/>
    <n v="1715.9"/>
    <n v="5"/>
    <n v="293.92"/>
    <n v="275.29000000000002"/>
    <s v="UPI"/>
    <s v="Medium"/>
    <n v="0.17129203333527596"/>
  </r>
  <r>
    <s v="ORD-10578"/>
    <x v="441"/>
    <s v="Reyansh Sharma"/>
    <s v="Small Business"/>
    <s v="North"/>
    <s v="Punjab"/>
    <x v="1"/>
    <s v="Furniture"/>
    <s v="Sofa Set"/>
    <n v="2"/>
    <n v="11993.81"/>
    <n v="21588.86"/>
    <n v="10"/>
    <n v="2249.48"/>
    <n v="78.540000000000006"/>
    <s v="Credit Card"/>
    <s v="Medium"/>
    <n v="0.10419633088546593"/>
  </r>
  <r>
    <s v="ORD-10920"/>
    <x v="442"/>
    <s v="Ira Joshi"/>
    <s v="Consumer"/>
    <s v="East"/>
    <s v="Bihar"/>
    <x v="4"/>
    <s v="Haircare"/>
    <s v="Hair Growth Serum"/>
    <n v="1"/>
    <n v="1749.51"/>
    <n v="1749.51"/>
    <n v="0"/>
    <n v="489.84"/>
    <n v="275.60000000000002"/>
    <s v="Credit Card"/>
    <s v="High"/>
    <n v="0.27998696777954968"/>
  </r>
  <r>
    <s v="ORD-10846"/>
    <x v="442"/>
    <s v="Ishaan Chopra"/>
    <s v="Small Business"/>
    <s v="South"/>
    <s v="Karnataka"/>
    <x v="2"/>
    <s v="Academic"/>
    <s v="Physics Fundamentals"/>
    <n v="1"/>
    <n v="238.92"/>
    <n v="203.08"/>
    <n v="15"/>
    <n v="-2"/>
    <n v="179.34"/>
    <s v="UPI"/>
    <s v="High"/>
    <n v="-9.8483356312783141E-3"/>
  </r>
  <r>
    <s v="ORD-10371"/>
    <x v="442"/>
    <s v="Kabir Mishra"/>
    <s v="Consumer"/>
    <s v="South"/>
    <s v="Karnataka"/>
    <x v="1"/>
    <s v="Appliances"/>
    <s v="Air Fryer"/>
    <n v="2"/>
    <n v="4663.3999999999996"/>
    <n v="8860.4599999999991"/>
    <n v="5"/>
    <n v="1554.02"/>
    <n v="183.4"/>
    <s v="Debit Card"/>
    <s v="Low"/>
    <n v="0.17538818526351907"/>
  </r>
  <r>
    <s v="ORD-10372"/>
    <x v="442"/>
    <s v="Ira Iyer"/>
    <s v="Consumer"/>
    <s v="North"/>
    <s v="Haryana"/>
    <x v="5"/>
    <s v="Kids Wear"/>
    <s v="School Uniform Set"/>
    <n v="4"/>
    <n v="4233.09"/>
    <n v="16932.36"/>
    <n v="0"/>
    <n v="3770.83"/>
    <n v="355.35"/>
    <s v="UPI"/>
    <s v="Low"/>
    <n v="0.22269961186745379"/>
  </r>
  <r>
    <s v="ORD-10361"/>
    <x v="443"/>
    <s v="Riya Nair"/>
    <s v="Corporate"/>
    <s v="South"/>
    <s v="Telangana"/>
    <x v="5"/>
    <s v="Women's Wear"/>
    <s v="Silk Saree"/>
    <n v="2"/>
    <n v="794.13"/>
    <n v="1350.02"/>
    <n v="15"/>
    <n v="129.46"/>
    <n v="166.89"/>
    <s v="Net Banking"/>
    <s v="Medium"/>
    <n v="9.5894875631472129E-2"/>
  </r>
  <r>
    <s v="ORD-10025"/>
    <x v="444"/>
    <s v="Diya Verma"/>
    <s v="Small Business"/>
    <s v="South"/>
    <s v="Telangana"/>
    <x v="5"/>
    <s v="Men's Wear"/>
    <s v="Casual Blazer"/>
    <n v="1"/>
    <n v="3473.31"/>
    <n v="3473.31"/>
    <n v="0"/>
    <n v="623.72"/>
    <n v="327.5"/>
    <s v="Credit Card"/>
    <s v="High"/>
    <n v="0.17957510271182245"/>
  </r>
  <r>
    <s v="ORD-10848"/>
    <x v="444"/>
    <s v="Arjun Sharma"/>
    <s v="Consumer"/>
    <s v="North"/>
    <s v="Uttar Pradesh"/>
    <x v="3"/>
    <s v="Gym Equipment"/>
    <s v="Treadmill Compact"/>
    <n v="3"/>
    <n v="12416.09"/>
    <n v="37248.269999999997"/>
    <n v="0"/>
    <n v="7946.89"/>
    <n v="183.08"/>
    <s v="Debit Card"/>
    <s v="Critical"/>
    <n v="0.21334923742767117"/>
  </r>
  <r>
    <s v="ORD-10451"/>
    <x v="444"/>
    <s v="Riya Das"/>
    <s v="Small Business"/>
    <s v="South"/>
    <s v="Karnataka"/>
    <x v="2"/>
    <s v="Comics"/>
    <s v="Manga Vol. 1"/>
    <n v="1"/>
    <n v="365.13"/>
    <n v="310.36"/>
    <n v="15"/>
    <n v="13.03"/>
    <n v="174.4"/>
    <s v="UPI"/>
    <s v="Low"/>
    <n v="4.1983503028740814E-2"/>
  </r>
  <r>
    <s v="ORD-10345"/>
    <x v="444"/>
    <s v="Neha Das"/>
    <s v="Consumer"/>
    <s v="East"/>
    <s v="Odisha"/>
    <x v="2"/>
    <s v="Fiction"/>
    <s v="Whispering Pines"/>
    <n v="3"/>
    <n v="391.76"/>
    <n v="998.99"/>
    <n v="15"/>
    <n v="87.85"/>
    <n v="142.19999999999999"/>
    <s v="UPI"/>
    <s v="High"/>
    <n v="8.793881820638845E-2"/>
  </r>
  <r>
    <s v="ORD-10904"/>
    <x v="445"/>
    <s v="Priya Bose"/>
    <s v="Corporate"/>
    <s v="East"/>
    <s v="Odisha"/>
    <x v="3"/>
    <s v="Footwear"/>
    <s v="Casual Sneakers"/>
    <n v="2"/>
    <n v="2217.67"/>
    <n v="3991.81"/>
    <n v="10"/>
    <n v="558.95000000000005"/>
    <n v="301.07"/>
    <s v="Net Banking"/>
    <s v="Low"/>
    <n v="0.14002419954857573"/>
  </r>
  <r>
    <s v="ORD-10508"/>
    <x v="445"/>
    <s v="Krishna Desai"/>
    <s v="Consumer"/>
    <s v="North"/>
    <s v="Delhi"/>
    <x v="3"/>
    <s v="Gym Equipment"/>
    <s v="Yoga Mat Pro"/>
    <n v="2"/>
    <n v="2027.24"/>
    <n v="3446.31"/>
    <n v="15"/>
    <n v="471.31"/>
    <n v="167.83"/>
    <s v="Cash on Delivery"/>
    <s v="Medium"/>
    <n v="0.13675786565921233"/>
  </r>
  <r>
    <s v="ORD-10517"/>
    <x v="445"/>
    <s v="Diya Mishra"/>
    <s v="Corporate"/>
    <s v="East"/>
    <s v="Odisha"/>
    <x v="5"/>
    <s v="Footwear"/>
    <s v="Formal Loafers"/>
    <n v="2"/>
    <n v="1996.37"/>
    <n v="3992.74"/>
    <n v="0"/>
    <n v="894.59"/>
    <n v="320.76"/>
    <s v="Credit Card"/>
    <s v="Low"/>
    <n v="0.22405415829730962"/>
  </r>
  <r>
    <s v="ORD-10580"/>
    <x v="445"/>
    <s v="Ananya Sharma"/>
    <s v="Consumer"/>
    <s v="South"/>
    <s v="Karnataka"/>
    <x v="1"/>
    <s v="Appliances"/>
    <s v="Microwave Oven"/>
    <n v="1"/>
    <n v="7759.32"/>
    <n v="6207.46"/>
    <n v="20"/>
    <n v="377.69"/>
    <n v="276.64999999999998"/>
    <s v="Net Banking"/>
    <s v="Critical"/>
    <n v="6.0844532224130318E-2"/>
  </r>
  <r>
    <s v="ORD-10479"/>
    <x v="446"/>
    <s v="Arjun Iyer"/>
    <s v="Corporate"/>
    <s v="South"/>
    <s v="Kerala"/>
    <x v="0"/>
    <s v="Mobiles"/>
    <s v="Pixel Nano"/>
    <n v="1"/>
    <n v="63519.86"/>
    <n v="63519.86"/>
    <n v="0"/>
    <n v="5756.38"/>
    <n v="43.45"/>
    <s v="Cash on Delivery"/>
    <s v="Medium"/>
    <n v="9.0623310567749998E-2"/>
  </r>
  <r>
    <s v="ORD-10656"/>
    <x v="446"/>
    <s v="Saanvi Das"/>
    <s v="Consumer"/>
    <s v="West"/>
    <s v="Maharashtra"/>
    <x v="0"/>
    <s v="Mobiles"/>
    <s v="Pixel Nano"/>
    <n v="2"/>
    <n v="26500.12"/>
    <n v="53000.24"/>
    <n v="0"/>
    <n v="136.88"/>
    <n v="87.15"/>
    <s v="UPI"/>
    <s v="High"/>
    <n v="2.5826298145065004E-3"/>
  </r>
  <r>
    <s v="ORD-10053"/>
    <x v="446"/>
    <s v="Ira Agarwal"/>
    <s v="Corporate"/>
    <s v="East"/>
    <s v="West Bengal"/>
    <x v="5"/>
    <s v="Men's Wear"/>
    <s v="Cotton Kurta"/>
    <n v="1"/>
    <n v="2702.42"/>
    <n v="2432.1799999999998"/>
    <n v="10"/>
    <n v="387.74"/>
    <n v="119.46"/>
    <s v="UPI"/>
    <s v="Medium"/>
    <n v="0.15942076655510695"/>
  </r>
  <r>
    <s v="ORD-10505"/>
    <x v="446"/>
    <s v="Myra Gupta"/>
    <s v="Consumer"/>
    <s v="South"/>
    <s v="Karnataka"/>
    <x v="4"/>
    <s v="Skincare"/>
    <s v="Sunscreen SPF50"/>
    <n v="1"/>
    <n v="1236.3699999999999"/>
    <n v="989.1"/>
    <n v="20"/>
    <n v="231.48"/>
    <n v="312.32"/>
    <s v="Debit Card"/>
    <s v="Medium"/>
    <n v="0.23403093721565058"/>
  </r>
  <r>
    <s v="ORD-10726"/>
    <x v="446"/>
    <s v="Meera Kapoor"/>
    <s v="Corporate"/>
    <s v="West"/>
    <s v="Maharashtra"/>
    <x v="0"/>
    <s v="Laptops"/>
    <s v="ProBook 14"/>
    <n v="1"/>
    <n v="55747.34"/>
    <n v="52959.97"/>
    <n v="5"/>
    <n v="1923.84"/>
    <n v="312.42"/>
    <s v="Debit Card"/>
    <s v="Critical"/>
    <n v="3.6326304565504848E-2"/>
  </r>
  <r>
    <s v="ORD-10773"/>
    <x v="447"/>
    <s v="Karan Chopra"/>
    <s v="Consumer"/>
    <s v="West"/>
    <s v="Rajasthan"/>
    <x v="5"/>
    <s v="Kids Wear"/>
    <s v="Winter Jacket Jr"/>
    <n v="1"/>
    <n v="433.32"/>
    <n v="303.32"/>
    <n v="30"/>
    <n v="-0.11"/>
    <n v="224.19"/>
    <s v="Debit Card"/>
    <s v="Low"/>
    <n v="-3.6265330344190956E-4"/>
  </r>
  <r>
    <s v="ORD-10657"/>
    <x v="447"/>
    <s v="Diya Sharma"/>
    <s v="Consumer"/>
    <s v="West"/>
    <s v="Rajasthan"/>
    <x v="2"/>
    <s v="Academic"/>
    <s v="Physics Fundamentals"/>
    <n v="1"/>
    <n v="861.01"/>
    <n v="774.91"/>
    <n v="10"/>
    <n v="12.04"/>
    <n v="291.25"/>
    <s v="UPI"/>
    <s v="Medium"/>
    <n v="1.5537288201210463E-2"/>
  </r>
  <r>
    <s v="ORD-10282"/>
    <x v="447"/>
    <s v="Vivaan Nair"/>
    <s v="Consumer"/>
    <s v="East"/>
    <s v="Bihar"/>
    <x v="4"/>
    <s v="Makeup"/>
    <s v="Matte Lipstick"/>
    <n v="3"/>
    <n v="995.84"/>
    <n v="2539.39"/>
    <n v="15"/>
    <n v="335.41"/>
    <n v="308.26"/>
    <s v="Debit Card"/>
    <s v="Low"/>
    <n v="0.13208290179925103"/>
  </r>
  <r>
    <s v="ORD-10344"/>
    <x v="448"/>
    <s v="Kiara Mehta"/>
    <s v="Consumer"/>
    <s v="East"/>
    <s v="Odisha"/>
    <x v="2"/>
    <s v="Non-Fiction"/>
    <s v="Mind Over Matter"/>
    <n v="1"/>
    <n v="250.5"/>
    <n v="237.97"/>
    <n v="5"/>
    <n v="19.809999999999999"/>
    <n v="37.56"/>
    <s v="Credit Card"/>
    <s v="High"/>
    <n v="8.3245787284111444E-2"/>
  </r>
  <r>
    <s v="ORD-10179"/>
    <x v="448"/>
    <s v="Ayaan Das"/>
    <s v="Corporate"/>
    <s v="East"/>
    <s v="Odisha"/>
    <x v="0"/>
    <s v="Headphones"/>
    <s v="SilentPods"/>
    <n v="1"/>
    <n v="25399.7"/>
    <n v="25399.7"/>
    <n v="0"/>
    <n v="1528.42"/>
    <n v="282.08999999999997"/>
    <s v="Debit Card"/>
    <s v="Critical"/>
    <n v="6.0174726473147325E-2"/>
  </r>
  <r>
    <s v="ORD-10762"/>
    <x v="448"/>
    <s v="Sai Mehta"/>
    <s v="Small Business"/>
    <s v="West"/>
    <s v="Maharashtra"/>
    <x v="0"/>
    <s v="Headphones"/>
    <s v="EchoBuds"/>
    <n v="2"/>
    <n v="63795.32"/>
    <n v="127590.64"/>
    <n v="0"/>
    <n v="-638.12"/>
    <n v="252.84"/>
    <s v="UPI"/>
    <s v="Low"/>
    <n v="-5.0013073059277701E-3"/>
  </r>
  <r>
    <s v="ORD-10404"/>
    <x v="449"/>
    <s v="Anika Mehta"/>
    <s v="Consumer"/>
    <s v="North"/>
    <s v="Haryana"/>
    <x v="2"/>
    <s v="Fiction"/>
    <s v="The Silent Valley"/>
    <n v="3"/>
    <n v="1183.9000000000001"/>
    <n v="3196.53"/>
    <n v="10"/>
    <n v="475.24"/>
    <n v="359.96"/>
    <s v="Credit Card"/>
    <s v="Low"/>
    <n v="0.1486737180630246"/>
  </r>
  <r>
    <s v="ORD-10707"/>
    <x v="449"/>
    <s v="Aditya Mishra"/>
    <s v="Corporate"/>
    <s v="West"/>
    <s v="Rajasthan"/>
    <x v="4"/>
    <s v="Haircare"/>
    <s v="Hair Mask Deep Repair"/>
    <n v="2"/>
    <n v="1399.68"/>
    <n v="2379.46"/>
    <n v="15"/>
    <n v="485.92"/>
    <n v="155.33000000000001"/>
    <s v="Net Banking"/>
    <s v="Low"/>
    <n v="0.20421440158691467"/>
  </r>
  <r>
    <s v="ORD-10956"/>
    <x v="449"/>
    <s v="Simran Kapoor"/>
    <s v="Corporate"/>
    <s v="North"/>
    <s v="Delhi"/>
    <x v="5"/>
    <s v="Kids Wear"/>
    <s v="School Uniform Set"/>
    <n v="1"/>
    <n v="550.27"/>
    <n v="495.24"/>
    <n v="10"/>
    <n v="50.1"/>
    <n v="223.39"/>
    <s v="Debit Card"/>
    <s v="Medium"/>
    <n v="0.10116307244972135"/>
  </r>
  <r>
    <s v="ORD-10058"/>
    <x v="450"/>
    <s v="Myra Joshi"/>
    <s v="Corporate"/>
    <s v="North"/>
    <s v="Haryana"/>
    <x v="4"/>
    <s v="Skincare"/>
    <s v="Aloe Moisturizer"/>
    <n v="4"/>
    <n v="522.19000000000005"/>
    <n v="2088.7600000000002"/>
    <n v="0"/>
    <n v="600.91"/>
    <n v="240.87"/>
    <s v="UPI"/>
    <s v="Medium"/>
    <n v="0.28768743177770539"/>
  </r>
  <r>
    <s v="ORD-10881"/>
    <x v="450"/>
    <s v="Ira Bose"/>
    <s v="Consumer"/>
    <s v="North"/>
    <s v="Haryana"/>
    <x v="2"/>
    <s v="Academic"/>
    <s v="Data Science Basics"/>
    <n v="3"/>
    <n v="371.68"/>
    <n v="947.78"/>
    <n v="15"/>
    <n v="-80.89"/>
    <n v="167.01"/>
    <s v="Net Banking"/>
    <s v="Critical"/>
    <n v="-8.5346810441241636E-2"/>
  </r>
  <r>
    <s v="ORD-10087"/>
    <x v="451"/>
    <s v="Ishaan Agarwal"/>
    <s v="Consumer"/>
    <s v="West"/>
    <s v="Gujarat"/>
    <x v="3"/>
    <s v="Footwear"/>
    <s v="Running Shoes"/>
    <n v="1"/>
    <n v="13053.26"/>
    <n v="11747.93"/>
    <n v="10"/>
    <n v="743.61"/>
    <n v="247.55"/>
    <s v="Credit Card"/>
    <s v="Medium"/>
    <n v="6.3297108511882513E-2"/>
  </r>
  <r>
    <s v="ORD-10538"/>
    <x v="451"/>
    <s v="Ananya Sharma"/>
    <s v="Consumer"/>
    <s v="South"/>
    <s v="Tamil Nadu"/>
    <x v="1"/>
    <s v="Appliances"/>
    <s v="Mixer Grinder"/>
    <n v="3"/>
    <n v="7599.66"/>
    <n v="21659.03"/>
    <n v="5"/>
    <n v="4174.8999999999996"/>
    <n v="124.42"/>
    <s v="Debit Card"/>
    <s v="Medium"/>
    <n v="0.19275563125403122"/>
  </r>
  <r>
    <s v="ORD-10422"/>
    <x v="451"/>
    <s v="Kabir Mehta"/>
    <s v="Small Business"/>
    <s v="North"/>
    <s v="Uttar Pradesh"/>
    <x v="4"/>
    <s v="Haircare"/>
    <s v="Argan Oil Shampoo"/>
    <n v="2"/>
    <n v="968.75"/>
    <n v="1840.62"/>
    <n v="5"/>
    <n v="409.43"/>
    <n v="296.17"/>
    <s v="Credit Card"/>
    <s v="Medium"/>
    <n v="0.22244135128380657"/>
  </r>
  <r>
    <s v="ORD-10594"/>
    <x v="452"/>
    <s v="Dhruv Malhotra"/>
    <s v="Consumer"/>
    <s v="South"/>
    <s v="Tamil Nadu"/>
    <x v="5"/>
    <s v="Women's Wear"/>
    <s v="Ethnic Kurti"/>
    <n v="1"/>
    <n v="3547.2"/>
    <n v="3192.48"/>
    <n v="10"/>
    <n v="294.74"/>
    <n v="195.75"/>
    <s v="Cash on Delivery"/>
    <s v="High"/>
    <n v="9.2323209542424706E-2"/>
  </r>
  <r>
    <s v="ORD-10703"/>
    <x v="452"/>
    <s v="Ira Iyer"/>
    <s v="Consumer"/>
    <s v="East"/>
    <s v="West Bengal"/>
    <x v="1"/>
    <s v="Cookware"/>
    <s v="Non-Stick Pan Set"/>
    <n v="2"/>
    <n v="4539.88"/>
    <n v="8171.78"/>
    <n v="10"/>
    <n v="1409.21"/>
    <n v="297.57"/>
    <s v="UPI"/>
    <s v="Low"/>
    <n v="0.17244835274566864"/>
  </r>
  <r>
    <s v="ORD-10236"/>
    <x v="452"/>
    <s v="Rohan Mishra"/>
    <s v="Consumer"/>
    <s v="North"/>
    <s v="Punjab"/>
    <x v="4"/>
    <s v="Makeup"/>
    <s v="Foundation Stick"/>
    <n v="2"/>
    <n v="837.71"/>
    <n v="1591.65"/>
    <n v="5"/>
    <n v="314.27999999999997"/>
    <n v="336.31"/>
    <s v="Credit Card"/>
    <s v="Low"/>
    <n v="0.19745547073791345"/>
  </r>
  <r>
    <s v="ORD-10760"/>
    <x v="452"/>
    <s v="Reyansh Sharma"/>
    <s v="Corporate"/>
    <s v="South"/>
    <s v="Karnataka"/>
    <x v="0"/>
    <s v="Cameras"/>
    <s v="ClickShot X1"/>
    <n v="2"/>
    <n v="15802.25"/>
    <n v="30024.27"/>
    <n v="5"/>
    <n v="3301.3"/>
    <n v="235.99"/>
    <s v="UPI"/>
    <s v="Low"/>
    <n v="0.1099543802397194"/>
  </r>
  <r>
    <s v="ORD-10465"/>
    <x v="453"/>
    <s v="Raj Desai"/>
    <s v="Small Business"/>
    <s v="South"/>
    <s v="Telangana"/>
    <x v="1"/>
    <s v="Furniture"/>
    <s v="Wooden Chair"/>
    <n v="1"/>
    <n v="1321.12"/>
    <n v="1122.95"/>
    <n v="15"/>
    <n v="55.85"/>
    <n v="304.62"/>
    <s v="UPI"/>
    <s v="Low"/>
    <n v="4.973507279932321E-2"/>
  </r>
  <r>
    <s v="ORD-10180"/>
    <x v="453"/>
    <s v="Simran Agarwal"/>
    <s v="Consumer"/>
    <s v="West"/>
    <s v="Gujarat"/>
    <x v="2"/>
    <s v="Academic"/>
    <s v="Physics Fundamentals"/>
    <n v="1"/>
    <n v="500.17"/>
    <n v="375.13"/>
    <n v="25"/>
    <n v="12.39"/>
    <n v="157.41"/>
    <s v="Credit Card"/>
    <s v="Low"/>
    <n v="3.3028550102631088E-2"/>
  </r>
  <r>
    <s v="ORD-10139"/>
    <x v="453"/>
    <s v="Kiara Desai"/>
    <s v="Consumer"/>
    <s v="West"/>
    <s v="Rajasthan"/>
    <x v="2"/>
    <s v="Academic"/>
    <s v="Statistics Handbook"/>
    <n v="1"/>
    <n v="188.52"/>
    <n v="160.24"/>
    <n v="15"/>
    <n v="16.440000000000001"/>
    <n v="316.47000000000003"/>
    <s v="UPI"/>
    <s v="Medium"/>
    <n v="0.10259610584123814"/>
  </r>
  <r>
    <s v="ORD-10923"/>
    <x v="453"/>
    <s v="Karan Bose"/>
    <s v="Corporate"/>
    <s v="South"/>
    <s v="Karnataka"/>
    <x v="3"/>
    <s v="Apparel"/>
    <s v="Compression Shorts"/>
    <n v="1"/>
    <n v="4681.49"/>
    <n v="4447.42"/>
    <n v="5"/>
    <n v="765.09"/>
    <n v="116.97"/>
    <s v="Credit Card"/>
    <s v="Medium"/>
    <n v="0.1720300758642089"/>
  </r>
  <r>
    <s v="ORD-10527"/>
    <x v="453"/>
    <s v="Navya Agarwal"/>
    <s v="Consumer"/>
    <s v="North"/>
    <s v="Haryana"/>
    <x v="1"/>
    <s v="Cookware"/>
    <s v="Non-Stick Pan Set"/>
    <n v="1"/>
    <n v="852.35"/>
    <n v="852.35"/>
    <n v="0"/>
    <n v="149.66"/>
    <n v="81.209999999999994"/>
    <s v="Cash on Delivery"/>
    <s v="High"/>
    <n v="0.17558514694667682"/>
  </r>
  <r>
    <s v="ORD-10133"/>
    <x v="454"/>
    <s v="Diya Verma"/>
    <s v="Consumer"/>
    <s v="West"/>
    <s v="Maharashtra"/>
    <x v="1"/>
    <s v="Decor"/>
    <s v="Table Lamp"/>
    <n v="2"/>
    <n v="8143.67"/>
    <n v="16287.34"/>
    <n v="0"/>
    <n v="2567.96"/>
    <n v="58.08"/>
    <s v="UPI"/>
    <s v="Low"/>
    <n v="0.15766601544512487"/>
  </r>
  <r>
    <s v="ORD-10612"/>
    <x v="455"/>
    <s v="Kabir Gupta"/>
    <s v="Corporate"/>
    <s v="North"/>
    <s v="Punjab"/>
    <x v="5"/>
    <s v="Kids Wear"/>
    <s v="Winter Jacket Jr"/>
    <n v="2"/>
    <n v="3068.28"/>
    <n v="6136.56"/>
    <n v="0"/>
    <n v="1473.64"/>
    <n v="79.849999999999994"/>
    <s v="UPI"/>
    <s v="Critical"/>
    <n v="0.24014105622694149"/>
  </r>
  <r>
    <s v="ORD-10522"/>
    <x v="456"/>
    <s v="Ayaan Nair"/>
    <s v="Consumer"/>
    <s v="West"/>
    <s v="Maharashtra"/>
    <x v="5"/>
    <s v="Women's Wear"/>
    <s v="Floral Dress"/>
    <n v="1"/>
    <n v="2472.41"/>
    <n v="2101.5500000000002"/>
    <n v="15"/>
    <n v="286.8"/>
    <n v="151.25"/>
    <s v="Debit Card"/>
    <s v="Critical"/>
    <n v="0.13647070019747329"/>
  </r>
  <r>
    <s v="ORD-10495"/>
    <x v="456"/>
    <s v="Navya Chopra"/>
    <s v="Consumer"/>
    <s v="East"/>
    <s v="West Bengal"/>
    <x v="1"/>
    <s v="Furniture"/>
    <s v="Wooden Chair"/>
    <n v="2"/>
    <n v="7819.42"/>
    <n v="14856.9"/>
    <n v="5"/>
    <n v="1625.72"/>
    <n v="119.94"/>
    <s v="UPI"/>
    <s v="Medium"/>
    <n v="0.1094252502204363"/>
  </r>
  <r>
    <s v="ORD-10316"/>
    <x v="456"/>
    <s v="Saanvi Kapoor"/>
    <s v="Consumer"/>
    <s v="West"/>
    <s v="Rajasthan"/>
    <x v="4"/>
    <s v="Skincare"/>
    <s v="Aloe Moisturizer"/>
    <n v="1"/>
    <n v="1220.6300000000001"/>
    <n v="1098.57"/>
    <n v="10"/>
    <n v="183.82"/>
    <n v="307.81"/>
    <s v="Cash on Delivery"/>
    <s v="Medium"/>
    <n v="0.16732661550925293"/>
  </r>
  <r>
    <s v="ORD-10068"/>
    <x v="457"/>
    <s v="Karan Sharma"/>
    <s v="Consumer"/>
    <s v="North"/>
    <s v="Delhi"/>
    <x v="2"/>
    <s v="Non-Fiction"/>
    <s v="History Untold"/>
    <n v="3"/>
    <n v="193.12"/>
    <n v="550.39"/>
    <n v="5"/>
    <n v="88.85"/>
    <n v="187.62"/>
    <s v="Debit Card"/>
    <s v="Low"/>
    <n v="0.16143098530133176"/>
  </r>
  <r>
    <s v="ORD-10462"/>
    <x v="457"/>
    <s v="Sai Khan"/>
    <s v="Consumer"/>
    <s v="West"/>
    <s v="Gujarat"/>
    <x v="1"/>
    <s v="Furniture"/>
    <s v="Sofa Set"/>
    <n v="1"/>
    <n v="7762.19"/>
    <n v="7374.08"/>
    <n v="5"/>
    <n v="1108.25"/>
    <n v="83.11"/>
    <s v="Net Banking"/>
    <s v="Low"/>
    <n v="0.15028993447318173"/>
  </r>
  <r>
    <s v="ORD-10357"/>
    <x v="457"/>
    <s v="Kabir Desai"/>
    <s v="Small Business"/>
    <s v="East"/>
    <s v="Bihar"/>
    <x v="5"/>
    <s v="Kids Wear"/>
    <s v="Cartoon T-Shirt"/>
    <n v="1"/>
    <n v="2191.56"/>
    <n v="1862.83"/>
    <n v="15"/>
    <n v="173.66"/>
    <n v="242.77"/>
    <s v="Net Banking"/>
    <s v="Low"/>
    <n v="9.3223750959561535E-2"/>
  </r>
  <r>
    <s v="ORD-10421"/>
    <x v="457"/>
    <s v="Aadhya Malhotra"/>
    <s v="Small Business"/>
    <s v="North"/>
    <s v="Uttar Pradesh"/>
    <x v="2"/>
    <s v="Comics"/>
    <s v="Graphic Tales"/>
    <n v="3"/>
    <n v="995.24"/>
    <n v="2836.43"/>
    <n v="5"/>
    <n v="450.76"/>
    <n v="219.44"/>
    <s v="Credit Card"/>
    <s v="Critical"/>
    <n v="0.15891807659628476"/>
  </r>
  <r>
    <s v="ORD-10944"/>
    <x v="457"/>
    <s v="Neha Joshi"/>
    <s v="Consumer"/>
    <s v="West"/>
    <s v="Rajasthan"/>
    <x v="2"/>
    <s v="Fiction"/>
    <s v="Beyond the Horizon"/>
    <n v="3"/>
    <n v="480.76"/>
    <n v="1370.17"/>
    <n v="5"/>
    <n v="266.44"/>
    <n v="313.25"/>
    <s v="Credit Card"/>
    <s v="Medium"/>
    <n v="0.19445762204689929"/>
  </r>
  <r>
    <s v="ORD-10902"/>
    <x v="458"/>
    <s v="Saanvi Joshi"/>
    <s v="Corporate"/>
    <s v="North"/>
    <s v="Haryana"/>
    <x v="2"/>
    <s v="Fiction"/>
    <s v="Beyond the Horizon"/>
    <n v="1"/>
    <n v="995.8"/>
    <n v="846.43"/>
    <n v="15"/>
    <n v="131.68"/>
    <n v="157.32"/>
    <s v="Credit Card"/>
    <s v="High"/>
    <n v="0.15557104544971234"/>
  </r>
  <r>
    <s v="ORD-10439"/>
    <x v="459"/>
    <s v="Rohan Sharma"/>
    <s v="Consumer"/>
    <s v="South"/>
    <s v="Karnataka"/>
    <x v="0"/>
    <s v="Laptops"/>
    <s v="UltraSlim 15"/>
    <n v="4"/>
    <n v="43549.78"/>
    <n v="174199.12"/>
    <n v="0"/>
    <n v="18003.400000000001"/>
    <n v="374.78"/>
    <s v="UPI"/>
    <s v="Low"/>
    <n v="0.10334954619747794"/>
  </r>
  <r>
    <s v="ORD-10198"/>
    <x v="460"/>
    <s v="Pooja Iyer"/>
    <s v="Corporate"/>
    <s v="North"/>
    <s v="Punjab"/>
    <x v="2"/>
    <s v="Fiction"/>
    <s v="Beyond the Horizon"/>
    <n v="1"/>
    <n v="368.28"/>
    <n v="368.28"/>
    <n v="0"/>
    <n v="49.54"/>
    <n v="38.49"/>
    <s v="Debit Card"/>
    <s v="Low"/>
    <n v="0.13451721516237647"/>
  </r>
  <r>
    <s v="ORD-10154"/>
    <x v="460"/>
    <s v="Sai Iyer"/>
    <s v="Corporate"/>
    <s v="North"/>
    <s v="Uttar Pradesh"/>
    <x v="0"/>
    <s v="Headphones"/>
    <s v="EchoBuds"/>
    <n v="5"/>
    <n v="24756.9"/>
    <n v="111406.05"/>
    <n v="10"/>
    <n v="-4798.93"/>
    <n v="235.37"/>
    <s v="Debit Card"/>
    <s v="Critical"/>
    <n v="-4.3076026840553096E-2"/>
  </r>
  <r>
    <s v="ORD-10123"/>
    <x v="461"/>
    <s v="Karan Mehta"/>
    <s v="Small Business"/>
    <s v="East"/>
    <s v="Bihar"/>
    <x v="1"/>
    <s v="Cookware"/>
    <s v="Steel Kadai"/>
    <n v="2"/>
    <n v="5924.04"/>
    <n v="8886.06"/>
    <n v="25"/>
    <n v="36.47"/>
    <n v="306.24"/>
    <s v="UPI"/>
    <s v="High"/>
    <n v="4.1041811556527868E-3"/>
  </r>
  <r>
    <s v="ORD-10714"/>
    <x v="461"/>
    <s v="Saanvi Nair"/>
    <s v="Small Business"/>
    <s v="South"/>
    <s v="Telangana"/>
    <x v="4"/>
    <s v="Skincare"/>
    <s v="Aloe Moisturizer"/>
    <n v="5"/>
    <n v="1394.22"/>
    <n v="6273.99"/>
    <n v="10"/>
    <n v="985.49"/>
    <n v="284.48"/>
    <s v="Credit Card"/>
    <s v="Medium"/>
    <n v="0.15707548147191819"/>
  </r>
  <r>
    <s v="ORD-10624"/>
    <x v="462"/>
    <s v="Anika Rao"/>
    <s v="Corporate"/>
    <s v="East"/>
    <s v="West Bengal"/>
    <x v="1"/>
    <s v="Decor"/>
    <s v="Wall Art Frame"/>
    <n v="1"/>
    <n v="1069.3499999999999"/>
    <n v="1069.3499999999999"/>
    <n v="0"/>
    <n v="263.13"/>
    <n v="172.2"/>
    <s v="Net Banking"/>
    <s v="Low"/>
    <n v="0.24606536681161456"/>
  </r>
  <r>
    <s v="ORD-10589"/>
    <x v="462"/>
    <s v="Aadhya Chopra"/>
    <s v="Consumer"/>
    <s v="East"/>
    <s v="Bihar"/>
    <x v="4"/>
    <s v="Makeup"/>
    <s v="Eyeliner Pro"/>
    <n v="2"/>
    <n v="1333.59"/>
    <n v="2267.1"/>
    <n v="15"/>
    <n v="519.04999999999995"/>
    <n v="235.44"/>
    <s v="Credit Card"/>
    <s v="Low"/>
    <n v="0.22894887742049314"/>
  </r>
  <r>
    <s v="ORD-10213"/>
    <x v="463"/>
    <s v="Sai Das"/>
    <s v="Small Business"/>
    <s v="North"/>
    <s v="Delhi"/>
    <x v="3"/>
    <s v="Outdoor Gear"/>
    <s v="Camping Tent"/>
    <n v="2"/>
    <n v="10884.02"/>
    <n v="18502.830000000002"/>
    <n v="15"/>
    <n v="2566.31"/>
    <n v="197.34"/>
    <s v="UPI"/>
    <s v="Low"/>
    <n v="0.13869824237697692"/>
  </r>
  <r>
    <s v="ORD-10888"/>
    <x v="464"/>
    <s v="Neha Rao"/>
    <s v="Consumer"/>
    <s v="South"/>
    <s v="Karnataka"/>
    <x v="1"/>
    <s v="Appliances"/>
    <s v="Electric Kettle"/>
    <n v="2"/>
    <n v="1351.47"/>
    <n v="2702.94"/>
    <n v="0"/>
    <n v="534.51"/>
    <n v="56.18"/>
    <s v="UPI"/>
    <s v="Low"/>
    <n v="0.19775133743257342"/>
  </r>
  <r>
    <s v="ORD-10276"/>
    <x v="465"/>
    <s v="Kiara Verma"/>
    <s v="Consumer"/>
    <s v="South"/>
    <s v="Telangana"/>
    <x v="2"/>
    <s v="Fiction"/>
    <s v="Whispering Pines"/>
    <n v="2"/>
    <n v="386.82"/>
    <n v="773.64"/>
    <n v="0"/>
    <n v="174.11"/>
    <n v="96.46"/>
    <s v="Cash on Delivery"/>
    <s v="Medium"/>
    <n v="0.22505299622563468"/>
  </r>
  <r>
    <s v="ORD-10745"/>
    <x v="465"/>
    <s v="Ananya Malhotra"/>
    <s v="Consumer"/>
    <s v="East"/>
    <s v="West Bengal"/>
    <x v="5"/>
    <s v="Men's Wear"/>
    <s v="Classic Shirt"/>
    <n v="2"/>
    <n v="3442.58"/>
    <n v="6196.64"/>
    <n v="10"/>
    <n v="1041.02"/>
    <n v="309.29000000000002"/>
    <s v="Credit Card"/>
    <s v="High"/>
    <n v="0.16799749541687106"/>
  </r>
  <r>
    <s v="ORD-10365"/>
    <x v="465"/>
    <s v="Vivaan Bose"/>
    <s v="Consumer"/>
    <s v="North"/>
    <s v="Haryana"/>
    <x v="4"/>
    <s v="Haircare"/>
    <s v="Argan Oil Shampoo"/>
    <n v="1"/>
    <n v="2080.13"/>
    <n v="1976.12"/>
    <n v="5"/>
    <n v="584.84"/>
    <n v="307.77999999999997"/>
    <s v="UPI"/>
    <s v="Low"/>
    <n v="0.2959536870230553"/>
  </r>
  <r>
    <s v="ORD-10715"/>
    <x v="466"/>
    <s v="Rohan Rao"/>
    <s v="Consumer"/>
    <s v="West"/>
    <s v="Gujarat"/>
    <x v="5"/>
    <s v="Men's Wear"/>
    <s v="Casual Blazer"/>
    <n v="1"/>
    <n v="542.48"/>
    <n v="542.48"/>
    <n v="0"/>
    <n v="81.98"/>
    <n v="100.26"/>
    <s v="UPI"/>
    <s v="High"/>
    <n v="0.15112077864621737"/>
  </r>
  <r>
    <s v="ORD-10791"/>
    <x v="466"/>
    <s v="Neha Rao"/>
    <s v="Small Business"/>
    <s v="South"/>
    <s v="Tamil Nadu"/>
    <x v="0"/>
    <s v="Laptops"/>
    <s v="UltraSlim 15"/>
    <n v="1"/>
    <n v="37091.019999999997"/>
    <n v="35236.47"/>
    <n v="5"/>
    <n v="2495.71"/>
    <n v="180.68"/>
    <s v="Credit Card"/>
    <s v="High"/>
    <n v="7.0827469380445887E-2"/>
  </r>
  <r>
    <s v="ORD-10448"/>
    <x v="466"/>
    <s v="Ayaan Reddy"/>
    <s v="Consumer"/>
    <s v="South"/>
    <s v="Kerala"/>
    <x v="5"/>
    <s v="Men's Wear"/>
    <s v="Casual Blazer"/>
    <n v="1"/>
    <n v="2590.81"/>
    <n v="2590.81"/>
    <n v="0"/>
    <n v="830.36"/>
    <n v="49.93"/>
    <s v="Cash on Delivery"/>
    <s v="Low"/>
    <n v="0.32050208236034294"/>
  </r>
  <r>
    <s v="ORD-10919"/>
    <x v="466"/>
    <s v="Aarav Patel"/>
    <s v="Consumer"/>
    <s v="East"/>
    <s v="Bihar"/>
    <x v="5"/>
    <s v="Footwear"/>
    <s v="Casual Sneakers"/>
    <n v="2"/>
    <n v="3966.01"/>
    <n v="7535.42"/>
    <n v="5"/>
    <n v="2095.29"/>
    <n v="243.14"/>
    <s v="Debit Card"/>
    <s v="Low"/>
    <n v="0.27805882087527967"/>
  </r>
  <r>
    <s v="ORD-10694"/>
    <x v="467"/>
    <s v="Aadhya Agarwal"/>
    <s v="Consumer"/>
    <s v="East"/>
    <s v="West Bengal"/>
    <x v="3"/>
    <s v="Apparel"/>
    <s v="Track Pants"/>
    <n v="5"/>
    <n v="6833.29"/>
    <n v="30749.8"/>
    <n v="10"/>
    <n v="3940.47"/>
    <n v="297.77999999999997"/>
    <s v="Credit Card"/>
    <s v="Medium"/>
    <n v="0.12814619932487364"/>
  </r>
  <r>
    <s v="ORD-10048"/>
    <x v="468"/>
    <s v="Kiara Sharma"/>
    <s v="Consumer"/>
    <s v="West"/>
    <s v="Rajasthan"/>
    <x v="5"/>
    <s v="Footwear"/>
    <s v="Sandals"/>
    <n v="1"/>
    <n v="1038.8900000000001"/>
    <n v="883.06"/>
    <n v="15"/>
    <n v="29.38"/>
    <n v="35.78"/>
    <s v="Debit Card"/>
    <s v="Medium"/>
    <n v="3.3270672434489161E-2"/>
  </r>
  <r>
    <s v="ORD-10252"/>
    <x v="468"/>
    <s v="Reyansh Patel"/>
    <s v="Small Business"/>
    <s v="West"/>
    <s v="Maharashtra"/>
    <x v="4"/>
    <s v="Skincare"/>
    <s v="Aloe Moisturizer"/>
    <n v="1"/>
    <n v="968.22"/>
    <n v="871.4"/>
    <n v="10"/>
    <n v="215.53"/>
    <n v="106.38"/>
    <s v="Cash on Delivery"/>
    <s v="High"/>
    <n v="0.24733761762680745"/>
  </r>
  <r>
    <s v="ORD-10553"/>
    <x v="468"/>
    <s v="Anika Chopra"/>
    <s v="Corporate"/>
    <s v="East"/>
    <s v="West Bengal"/>
    <x v="0"/>
    <s v="Accessories"/>
    <s v="Screen Guard"/>
    <n v="1"/>
    <n v="18984.88"/>
    <n v="18984.88"/>
    <n v="0"/>
    <n v="2803.24"/>
    <n v="124.28"/>
    <s v="Net Banking"/>
    <s v="Medium"/>
    <n v="0.14765645081770334"/>
  </r>
  <r>
    <s v="ORD-10340"/>
    <x v="469"/>
    <s v="Arjun Singh"/>
    <s v="Corporate"/>
    <s v="West"/>
    <s v="Gujarat"/>
    <x v="5"/>
    <s v="Women's Wear"/>
    <s v="Floral Dress"/>
    <n v="4"/>
    <n v="4080.1"/>
    <n v="13872.34"/>
    <n v="15"/>
    <n v="1831.56"/>
    <n v="188.09"/>
    <s v="Credit Card"/>
    <s v="Low"/>
    <n v="0.13202963595182932"/>
  </r>
  <r>
    <s v="ORD-10174"/>
    <x v="470"/>
    <s v="Ayaan Gupta"/>
    <s v="Consumer"/>
    <s v="North"/>
    <s v="Haryana"/>
    <x v="0"/>
    <s v="Mobiles"/>
    <s v="Nova 5G"/>
    <n v="3"/>
    <n v="60669.15"/>
    <n v="136505.59"/>
    <n v="25"/>
    <n v="-9827.48"/>
    <n v="240.84"/>
    <s v="Debit Card"/>
    <s v="High"/>
    <n v="-7.1993242181510667E-2"/>
  </r>
  <r>
    <s v="ORD-10031"/>
    <x v="471"/>
    <s v="Kabir Kapoor"/>
    <s v="Corporate"/>
    <s v="East"/>
    <s v="Bihar"/>
    <x v="5"/>
    <s v="Women's Wear"/>
    <s v="Ethnic Kurti"/>
    <n v="4"/>
    <n v="1325.33"/>
    <n v="4771.1899999999996"/>
    <n v="10"/>
    <n v="648.14"/>
    <n v="253.59"/>
    <s v="Debit Card"/>
    <s v="Medium"/>
    <n v="0.13584451677673706"/>
  </r>
  <r>
    <s v="ORD-10559"/>
    <x v="472"/>
    <s v="Vihaan Reddy"/>
    <s v="Consumer"/>
    <s v="South"/>
    <s v="Kerala"/>
    <x v="0"/>
    <s v="Accessories"/>
    <s v="Phone Case Pro"/>
    <n v="1"/>
    <n v="45716.85"/>
    <n v="41145.17"/>
    <n v="10"/>
    <n v="2449.4"/>
    <n v="66.14"/>
    <s v="Credit Card"/>
    <s v="Low"/>
    <n v="5.9530681243995354E-2"/>
  </r>
  <r>
    <s v="ORD-10210"/>
    <x v="472"/>
    <s v="Meera Verma"/>
    <s v="Small Business"/>
    <s v="North"/>
    <s v="Delhi"/>
    <x v="1"/>
    <s v="Furniture"/>
    <s v="Wooden Chair"/>
    <n v="1"/>
    <n v="10122.040000000001"/>
    <n v="9615.94"/>
    <n v="5"/>
    <n v="801.61"/>
    <n v="159.4"/>
    <s v="UPI"/>
    <s v="High"/>
    <n v="8.336262497478146E-2"/>
  </r>
  <r>
    <s v="ORD-10872"/>
    <x v="472"/>
    <s v="Myra Kapoor"/>
    <s v="Consumer"/>
    <s v="West"/>
    <s v="Maharashtra"/>
    <x v="1"/>
    <s v="Decor"/>
    <s v="Ceramic Vase"/>
    <n v="5"/>
    <n v="3933.39"/>
    <n v="15733.56"/>
    <n v="20"/>
    <n v="2246.29"/>
    <n v="174.65"/>
    <s v="Net Banking"/>
    <s v="High"/>
    <n v="0.14277061262676724"/>
  </r>
  <r>
    <s v="ORD-10541"/>
    <x v="472"/>
    <s v="Diya Bose"/>
    <s v="Consumer"/>
    <s v="South"/>
    <s v="Kerala"/>
    <x v="3"/>
    <s v="Outdoor Gear"/>
    <s v="Trekking Pole"/>
    <n v="1"/>
    <n v="7066.53"/>
    <n v="5299.9"/>
    <n v="25"/>
    <n v="85.19"/>
    <n v="247.84"/>
    <s v="Debit Card"/>
    <s v="Medium"/>
    <n v="1.607388818656956E-2"/>
  </r>
  <r>
    <s v="ORD-10401"/>
    <x v="473"/>
    <s v="Aditya Das"/>
    <s v="Small Business"/>
    <s v="East"/>
    <s v="Bihar"/>
    <x v="0"/>
    <s v="Headphones"/>
    <s v="EchoBuds"/>
    <n v="1"/>
    <n v="2011.21"/>
    <n v="1608.97"/>
    <n v="20"/>
    <n v="27.85"/>
    <n v="112.7"/>
    <s v="Debit Card"/>
    <s v="Medium"/>
    <n v="1.7309210240091487E-2"/>
  </r>
  <r>
    <s v="ORD-10606"/>
    <x v="473"/>
    <s v="Reyansh Das"/>
    <s v="Consumer"/>
    <s v="West"/>
    <s v="Maharashtra"/>
    <x v="2"/>
    <s v="Fiction"/>
    <s v="Whispering Pines"/>
    <n v="2"/>
    <n v="215.31"/>
    <n v="387.56"/>
    <n v="10"/>
    <n v="-0.69"/>
    <n v="92.14"/>
    <s v="Cash on Delivery"/>
    <s v="Low"/>
    <n v="-1.7803694911755598E-3"/>
  </r>
  <r>
    <s v="ORD-10690"/>
    <x v="473"/>
    <s v="Riya Verma"/>
    <s v="Corporate"/>
    <s v="East"/>
    <s v="Bihar"/>
    <x v="5"/>
    <s v="Kids Wear"/>
    <s v="Cartoon T-Shirt"/>
    <n v="2"/>
    <n v="1969.28"/>
    <n v="3347.78"/>
    <n v="15"/>
    <n v="514.22"/>
    <n v="209.36"/>
    <s v="Debit Card"/>
    <s v="Medium"/>
    <n v="0.15360029631576747"/>
  </r>
  <r>
    <s v="ORD-10274"/>
    <x v="473"/>
    <s v="Sai Reddy"/>
    <s v="Consumer"/>
    <s v="East"/>
    <s v="Bihar"/>
    <x v="0"/>
    <s v="Headphones"/>
    <s v="SilentPods"/>
    <n v="5"/>
    <n v="35036.61"/>
    <n v="166423.9"/>
    <n v="5"/>
    <n v="15450.41"/>
    <n v="95.72"/>
    <s v="Debit Card"/>
    <s v="High"/>
    <n v="9.2837687375431049E-2"/>
  </r>
  <r>
    <s v="ORD-10285"/>
    <x v="473"/>
    <s v="Aadhya Agarwal"/>
    <s v="Small Business"/>
    <s v="West"/>
    <s v="Rajasthan"/>
    <x v="4"/>
    <s v="Makeup"/>
    <s v="Compact Powder"/>
    <n v="3"/>
    <n v="1794.35"/>
    <n v="5113.8999999999996"/>
    <n v="5"/>
    <n v="1368.45"/>
    <n v="99.75"/>
    <s v="Cash on Delivery"/>
    <s v="Critical"/>
    <n v="0.26759420403214773"/>
  </r>
  <r>
    <s v="ORD-10592"/>
    <x v="474"/>
    <s v="Pooja Desai"/>
    <s v="Consumer"/>
    <s v="South"/>
    <s v="Tamil Nadu"/>
    <x v="1"/>
    <s v="Furniture"/>
    <s v="Sofa Set"/>
    <n v="1"/>
    <n v="2949.74"/>
    <n v="2949.74"/>
    <n v="0"/>
    <n v="695.3"/>
    <n v="72.09"/>
    <s v="Credit Card"/>
    <s v="Low"/>
    <n v="0.2357156901964241"/>
  </r>
  <r>
    <s v="ORD-10007"/>
    <x v="474"/>
    <s v="Karan Bose"/>
    <s v="Consumer"/>
    <s v="East"/>
    <s v="West Bengal"/>
    <x v="3"/>
    <s v="Footwear"/>
    <s v="Sandals"/>
    <n v="1"/>
    <n v="9409.36"/>
    <n v="7997.96"/>
    <n v="15"/>
    <n v="936.75"/>
    <n v="179.36"/>
    <s v="UPI"/>
    <s v="High"/>
    <n v="0.11712361652221316"/>
  </r>
  <r>
    <s v="ORD-10547"/>
    <x v="474"/>
    <s v="Ananya Iyer"/>
    <s v="Consumer"/>
    <s v="West"/>
    <s v="Rajasthan"/>
    <x v="0"/>
    <s v="Laptops"/>
    <s v="GameForce X"/>
    <n v="1"/>
    <n v="49976.87"/>
    <n v="34983.81"/>
    <n v="30"/>
    <n v="-1826.85"/>
    <n v="94.15"/>
    <s v="Net Banking"/>
    <s v="Low"/>
    <n v="-5.2219869705443747E-2"/>
  </r>
  <r>
    <s v="ORD-10605"/>
    <x v="474"/>
    <s v="Meera Iyer"/>
    <s v="Consumer"/>
    <s v="East"/>
    <s v="Odisha"/>
    <x v="4"/>
    <s v="Skincare"/>
    <s v="Vitamin C Serum"/>
    <n v="4"/>
    <n v="2310.2199999999998"/>
    <n v="8778.84"/>
    <n v="5"/>
    <n v="2079.2800000000002"/>
    <n v="359.85"/>
    <s v="UPI"/>
    <s v="Medium"/>
    <n v="0.23685133798998503"/>
  </r>
  <r>
    <s v="ORD-10227"/>
    <x v="475"/>
    <s v="Sai Mishra"/>
    <s v="Consumer"/>
    <s v="East"/>
    <s v="West Bengal"/>
    <x v="0"/>
    <s v="Cameras"/>
    <s v="ClickShot X1"/>
    <n v="2"/>
    <n v="8554.99"/>
    <n v="15398.98"/>
    <n v="10"/>
    <n v="1660.67"/>
    <n v="283.42"/>
    <s v="Debit Card"/>
    <s v="Medium"/>
    <n v="0.10784285712430304"/>
  </r>
  <r>
    <s v="ORD-10086"/>
    <x v="476"/>
    <s v="Aadhya Reddy"/>
    <s v="Corporate"/>
    <s v="West"/>
    <s v="Maharashtra"/>
    <x v="0"/>
    <s v="Mobiles"/>
    <s v="Galaxy Note Lite"/>
    <n v="1"/>
    <n v="47879.13"/>
    <n v="47879.13"/>
    <n v="0"/>
    <n v="8114.47"/>
    <n v="70.86"/>
    <s v="Credit Card"/>
    <s v="Critical"/>
    <n v="0.1694782256904"/>
  </r>
  <r>
    <s v="ORD-10670"/>
    <x v="476"/>
    <s v="Rohan Gupta"/>
    <s v="Small Business"/>
    <s v="West"/>
    <s v="Rajasthan"/>
    <x v="3"/>
    <s v="Outdoor Gear"/>
    <s v="Water Bottle Steel"/>
    <n v="1"/>
    <n v="6175.02"/>
    <n v="5866.27"/>
    <n v="5"/>
    <n v="619.62"/>
    <n v="114.57"/>
    <s v="Credit Card"/>
    <s v="Low"/>
    <n v="0.10562418708992255"/>
  </r>
  <r>
    <s v="ORD-10501"/>
    <x v="476"/>
    <s v="Arjun Mehta"/>
    <s v="Small Business"/>
    <s v="South"/>
    <s v="Kerala"/>
    <x v="2"/>
    <s v="Non-Fiction"/>
    <s v="The Growth Mindset"/>
    <n v="1"/>
    <n v="692.4"/>
    <n v="553.91999999999996"/>
    <n v="20"/>
    <n v="8.0500000000000007"/>
    <n v="286.83"/>
    <s v="Cash on Delivery"/>
    <s v="Medium"/>
    <n v="1.4532784517619876E-2"/>
  </r>
  <r>
    <s v="ORD-10078"/>
    <x v="477"/>
    <s v="Kiara Bose"/>
    <s v="Small Business"/>
    <s v="West"/>
    <s v="Gujarat"/>
    <x v="0"/>
    <s v="Headphones"/>
    <s v="SoundWave Pro"/>
    <n v="3"/>
    <n v="37780.82"/>
    <n v="113342.46"/>
    <n v="0"/>
    <n v="12048.84"/>
    <n v="101.12"/>
    <s v="UPI"/>
    <s v="Medium"/>
    <n v="0.10630473345999372"/>
  </r>
  <r>
    <s v="ORD-10682"/>
    <x v="477"/>
    <s v="Dhruv Joshi"/>
    <s v="Corporate"/>
    <s v="South"/>
    <s v="Telangana"/>
    <x v="5"/>
    <s v="Footwear"/>
    <s v="Running Shoes"/>
    <n v="1"/>
    <n v="689.03"/>
    <n v="551.22"/>
    <n v="20"/>
    <n v="24.32"/>
    <n v="269.48"/>
    <s v="UPI"/>
    <s v="Low"/>
    <n v="4.4120314937774387E-2"/>
  </r>
  <r>
    <s v="ORD-10438"/>
    <x v="477"/>
    <s v="Ananya Verma"/>
    <s v="Consumer"/>
    <s v="West"/>
    <s v="Maharashtra"/>
    <x v="0"/>
    <s v="Headphones"/>
    <s v="BassBoost 300"/>
    <n v="1"/>
    <n v="27427.9"/>
    <n v="23313.72"/>
    <n v="15"/>
    <n v="2603.33"/>
    <n v="141.15"/>
    <s v="UPI"/>
    <s v="Critical"/>
    <n v="0.11166514824746972"/>
  </r>
  <r>
    <s v="ORD-10750"/>
    <x v="477"/>
    <s v="Priya Chopra"/>
    <s v="Consumer"/>
    <s v="East"/>
    <s v="Odisha"/>
    <x v="0"/>
    <s v="Mobiles"/>
    <s v="Pixel Nano"/>
    <n v="1"/>
    <n v="51204.68"/>
    <n v="51204.68"/>
    <n v="0"/>
    <n v="6378.93"/>
    <n v="167.28"/>
    <s v="Credit Card"/>
    <s v="Medium"/>
    <n v="0.12457708943791856"/>
  </r>
  <r>
    <s v="ORD-10546"/>
    <x v="478"/>
    <s v="Anika Reddy"/>
    <s v="Consumer"/>
    <s v="North"/>
    <s v="Delhi"/>
    <x v="4"/>
    <s v="Skincare"/>
    <s v="Vitamin C Serum"/>
    <n v="1"/>
    <n v="2257.2399999999998"/>
    <n v="2257.2399999999998"/>
    <n v="0"/>
    <n v="653.17999999999995"/>
    <n v="175.91"/>
    <s v="Debit Card"/>
    <s v="High"/>
    <n v="0.28937109035813652"/>
  </r>
  <r>
    <s v="ORD-10691"/>
    <x v="478"/>
    <s v="Saanvi Agarwal"/>
    <s v="Consumer"/>
    <s v="South"/>
    <s v="Telangana"/>
    <x v="4"/>
    <s v="Fragrances"/>
    <s v="Woody Cologne"/>
    <n v="1"/>
    <n v="1972.71"/>
    <n v="1972.71"/>
    <n v="0"/>
    <n v="416.63"/>
    <n v="285.91000000000003"/>
    <s v="Credit Card"/>
    <s v="Medium"/>
    <n v="0.21119678006397291"/>
  </r>
  <r>
    <s v="ORD-10079"/>
    <x v="478"/>
    <s v="Vihaan Bose"/>
    <s v="Consumer"/>
    <s v="East"/>
    <s v="West Bengal"/>
    <x v="2"/>
    <s v="Academic"/>
    <s v="Statistics Handbook"/>
    <n v="1"/>
    <n v="1011.67"/>
    <n v="910.5"/>
    <n v="10"/>
    <n v="133.71"/>
    <n v="238.48"/>
    <s v="Cash on Delivery"/>
    <s v="Low"/>
    <n v="0.14685337726523889"/>
  </r>
  <r>
    <s v="ORD-10574"/>
    <x v="478"/>
    <s v="Aarav Bose"/>
    <s v="Corporate"/>
    <s v="West"/>
    <s v="Rajasthan"/>
    <x v="0"/>
    <s v="Mobiles"/>
    <s v="OnePlus Edge"/>
    <n v="1"/>
    <n v="6896.67"/>
    <n v="5517.34"/>
    <n v="20"/>
    <n v="-438.37"/>
    <n v="249.85"/>
    <s v="Net Banking"/>
    <s v="Medium"/>
    <n v="-7.9453142275081837E-2"/>
  </r>
  <r>
    <s v="ORD-10977"/>
    <x v="479"/>
    <s v="Kabir Nair"/>
    <s v="Corporate"/>
    <s v="North"/>
    <s v="Haryana"/>
    <x v="1"/>
    <s v="Cookware"/>
    <s v="Steel Kadai"/>
    <n v="1"/>
    <n v="10450.51"/>
    <n v="10450.51"/>
    <n v="0"/>
    <n v="1964.55"/>
    <n v="74.8"/>
    <s v="Credit Card"/>
    <s v="Low"/>
    <n v="0.18798604087264639"/>
  </r>
  <r>
    <s v="ORD-10950"/>
    <x v="479"/>
    <s v="Aditya Singh"/>
    <s v="Small Business"/>
    <s v="West"/>
    <s v="Rajasthan"/>
    <x v="5"/>
    <s v="Women's Wear"/>
    <s v="Denim Jacket"/>
    <n v="1"/>
    <n v="401.26"/>
    <n v="321.01"/>
    <n v="20"/>
    <n v="25.63"/>
    <n v="67.27"/>
    <s v="Credit Card"/>
    <s v="High"/>
    <n v="7.9841749478209406E-2"/>
  </r>
  <r>
    <s v="ORD-10886"/>
    <x v="479"/>
    <s v="Vivaan Iyer"/>
    <s v="Corporate"/>
    <s v="West"/>
    <s v="Maharashtra"/>
    <x v="0"/>
    <s v="Headphones"/>
    <s v="SilentPods"/>
    <n v="2"/>
    <n v="58345.02"/>
    <n v="93352.03"/>
    <n v="20"/>
    <n v="1609.85"/>
    <n v="140.13"/>
    <s v="Credit Card"/>
    <s v="Medium"/>
    <n v="1.7244938326461675E-2"/>
  </r>
  <r>
    <s v="ORD-10032"/>
    <x v="479"/>
    <s v="Kiara Bose"/>
    <s v="Corporate"/>
    <s v="East"/>
    <s v="West Bengal"/>
    <x v="2"/>
    <s v="Academic"/>
    <s v="Physics Fundamentals"/>
    <n v="2"/>
    <n v="531.80999999999995"/>
    <n v="904.08"/>
    <n v="15"/>
    <n v="28.49"/>
    <n v="355.97"/>
    <s v="Cash on Delivery"/>
    <s v="High"/>
    <n v="3.1512697991328199E-2"/>
  </r>
  <r>
    <s v="ORD-10727"/>
    <x v="480"/>
    <s v="Navya Iyer"/>
    <s v="Small Business"/>
    <s v="West"/>
    <s v="Maharashtra"/>
    <x v="1"/>
    <s v="Appliances"/>
    <s v="Mixer Grinder"/>
    <n v="1"/>
    <n v="5152.9799999999996"/>
    <n v="5152.9799999999996"/>
    <n v="0"/>
    <n v="696.41"/>
    <n v="43.44"/>
    <s v="UPI"/>
    <s v="Critical"/>
    <n v="0.1351470411295988"/>
  </r>
  <r>
    <s v="ORD-10312"/>
    <x v="480"/>
    <s v="Anika Khan"/>
    <s v="Consumer"/>
    <s v="South"/>
    <s v="Telangana"/>
    <x v="5"/>
    <s v="Women's Wear"/>
    <s v="Floral Dress"/>
    <n v="1"/>
    <n v="2315.5700000000002"/>
    <n v="2199.79"/>
    <n v="5"/>
    <n v="418.98"/>
    <n v="249.51"/>
    <s v="UPI"/>
    <s v="Low"/>
    <n v="0.19046363516517487"/>
  </r>
  <r>
    <s v="ORD-10275"/>
    <x v="480"/>
    <s v="Vihaan Rao"/>
    <s v="Small Business"/>
    <s v="South"/>
    <s v="Karnataka"/>
    <x v="5"/>
    <s v="Men's Wear"/>
    <s v="Slim Fit Jeans"/>
    <n v="2"/>
    <n v="4129.71"/>
    <n v="7433.48"/>
    <n v="10"/>
    <n v="1798.2"/>
    <n v="124.21"/>
    <s v="Debit Card"/>
    <s v="Medium"/>
    <n v="0.24190554087722038"/>
  </r>
  <r>
    <s v="ORD-10829"/>
    <x v="480"/>
    <s v="Riya Rao"/>
    <s v="Corporate"/>
    <s v="West"/>
    <s v="Maharashtra"/>
    <x v="1"/>
    <s v="Furniture"/>
    <s v="Sofa Set"/>
    <n v="2"/>
    <n v="3293.72"/>
    <n v="5269.95"/>
    <n v="20"/>
    <n v="507.78"/>
    <n v="159.16999999999999"/>
    <s v="Debit Card"/>
    <s v="Low"/>
    <n v="9.6353855349671252E-2"/>
  </r>
  <r>
    <s v="ORD-10593"/>
    <x v="480"/>
    <s v="Ayaan Malhotra"/>
    <s v="Small Business"/>
    <s v="North"/>
    <s v="Haryana"/>
    <x v="5"/>
    <s v="Kids Wear"/>
    <s v="School Uniform Set"/>
    <n v="2"/>
    <n v="620.82000000000005"/>
    <n v="931.23"/>
    <n v="25"/>
    <n v="-5.81"/>
    <n v="103.16"/>
    <s v="Cash on Delivery"/>
    <s v="Critical"/>
    <n v="-6.2390601677351455E-3"/>
  </r>
  <r>
    <s v="ORD-10253"/>
    <x v="480"/>
    <s v="Ayaan Malhotra"/>
    <s v="Consumer"/>
    <s v="West"/>
    <s v="Rajasthan"/>
    <x v="2"/>
    <s v="Fiction"/>
    <s v="The Silent Valley"/>
    <n v="1"/>
    <n v="864.15"/>
    <n v="604.9"/>
    <n v="30"/>
    <n v="23.66"/>
    <n v="80.75"/>
    <s v="UPI"/>
    <s v="Medium"/>
    <n v="3.9113903124483387E-2"/>
  </r>
  <r>
    <s v="ORD-10844"/>
    <x v="481"/>
    <s v="Kiara Singh"/>
    <s v="Corporate"/>
    <s v="West"/>
    <s v="Rajasthan"/>
    <x v="2"/>
    <s v="Academic"/>
    <s v="Data Science Basics"/>
    <n v="1"/>
    <n v="1092.6300000000001"/>
    <n v="928.74"/>
    <n v="15"/>
    <n v="86.06"/>
    <n v="268.45999999999998"/>
    <s v="Debit Card"/>
    <s v="Medium"/>
    <n v="9.2663178069212052E-2"/>
  </r>
  <r>
    <s v="ORD-10693"/>
    <x v="481"/>
    <s v="Rohan Singh"/>
    <s v="Small Business"/>
    <s v="South"/>
    <s v="Kerala"/>
    <x v="5"/>
    <s v="Kids Wear"/>
    <s v="Cartoon T-Shirt"/>
    <n v="1"/>
    <n v="3911.26"/>
    <n v="3911.26"/>
    <n v="0"/>
    <n v="1055.9100000000001"/>
    <n v="234.15"/>
    <s v="UPI"/>
    <s v="Medium"/>
    <n v="0.26996671149450563"/>
  </r>
  <r>
    <s v="ORD-10292"/>
    <x v="482"/>
    <s v="Arjun Nair"/>
    <s v="Corporate"/>
    <s v="West"/>
    <s v="Maharashtra"/>
    <x v="2"/>
    <s v="Academic"/>
    <s v="Calculus Made Easy"/>
    <n v="1"/>
    <n v="195.84"/>
    <n v="186.05"/>
    <n v="5"/>
    <n v="17.399999999999999"/>
    <n v="81.739999999999995"/>
    <s v="UPI"/>
    <s v="Low"/>
    <n v="9.3523246439129251E-2"/>
  </r>
  <r>
    <s v="ORD-10132"/>
    <x v="483"/>
    <s v="Vivaan Mehta"/>
    <s v="Consumer"/>
    <s v="West"/>
    <s v="Maharashtra"/>
    <x v="5"/>
    <s v="Kids Wear"/>
    <s v="Cartoon T-Shirt"/>
    <n v="4"/>
    <n v="2028.98"/>
    <n v="6898.53"/>
    <n v="15"/>
    <n v="572.62"/>
    <n v="354.78"/>
    <s v="UPI"/>
    <s v="Medium"/>
    <n v="8.3006089703168653E-2"/>
  </r>
  <r>
    <s v="ORD-10437"/>
    <x v="483"/>
    <s v="Reyansh Sharma"/>
    <s v="Corporate"/>
    <s v="West"/>
    <s v="Rajasthan"/>
    <x v="5"/>
    <s v="Women's Wear"/>
    <s v="Floral Dress"/>
    <n v="2"/>
    <n v="495.3"/>
    <n v="891.54"/>
    <n v="10"/>
    <n v="189.59"/>
    <n v="155.69"/>
    <s v="Credit Card"/>
    <s v="Medium"/>
    <n v="0.21265450793009849"/>
  </r>
  <r>
    <s v="ORD-10073"/>
    <x v="484"/>
    <s v="Sai Patel"/>
    <s v="Consumer"/>
    <s v="South"/>
    <s v="Karnataka"/>
    <x v="1"/>
    <s v="Decor"/>
    <s v="Table Lamp"/>
    <n v="2"/>
    <n v="4365.8"/>
    <n v="6112.12"/>
    <n v="30"/>
    <n v="213.65"/>
    <n v="155.82"/>
    <s v="UPI"/>
    <s v="High"/>
    <n v="3.495513831534721E-2"/>
  </r>
  <r>
    <s v="ORD-10420"/>
    <x v="485"/>
    <s v="Ayaan Das"/>
    <s v="Corporate"/>
    <s v="East"/>
    <s v="Odisha"/>
    <x v="4"/>
    <s v="Skincare"/>
    <s v="Vitamin C Serum"/>
    <n v="2"/>
    <n v="1491.41"/>
    <n v="2535.4"/>
    <n v="15"/>
    <n v="618.04"/>
    <n v="224.41"/>
    <s v="UPI"/>
    <s v="Medium"/>
    <n v="0.24376429754673817"/>
  </r>
  <r>
    <s v="ORD-10976"/>
    <x v="486"/>
    <s v="Dhruv Nair"/>
    <s v="Consumer"/>
    <s v="South"/>
    <s v="Kerala"/>
    <x v="4"/>
    <s v="Haircare"/>
    <s v="Hair Mask Deep Repair"/>
    <n v="3"/>
    <n v="1055.8800000000001"/>
    <n v="3009.26"/>
    <n v="5"/>
    <n v="914.5"/>
    <n v="227"/>
    <s v="UPI"/>
    <s v="Critical"/>
    <n v="0.30389530981038526"/>
  </r>
  <r>
    <s v="ORD-10034"/>
    <x v="486"/>
    <s v="Arjun Sharma"/>
    <s v="Small Business"/>
    <s v="South"/>
    <s v="Telangana"/>
    <x v="2"/>
    <s v="Comics"/>
    <s v="Manga Vol. 1"/>
    <n v="3"/>
    <n v="790.04"/>
    <n v="1896.1"/>
    <n v="20"/>
    <n v="54.37"/>
    <n v="220.86"/>
    <s v="Net Banking"/>
    <s v="Low"/>
    <n v="2.86746479616054E-2"/>
  </r>
  <r>
    <s v="ORD-10876"/>
    <x v="487"/>
    <s v="Simran Bose"/>
    <s v="Corporate"/>
    <s v="West"/>
    <s v="Rajasthan"/>
    <x v="5"/>
    <s v="Footwear"/>
    <s v="Sandals"/>
    <n v="3"/>
    <n v="1970.27"/>
    <n v="5910.81"/>
    <n v="0"/>
    <n v="1060.3699999999999"/>
    <n v="371.62"/>
    <s v="Credit Card"/>
    <s v="High"/>
    <n v="0.17939504061203115"/>
  </r>
  <r>
    <s v="ORD-10006"/>
    <x v="487"/>
    <s v="Simran Verma"/>
    <s v="Consumer"/>
    <s v="West"/>
    <s v="Gujarat"/>
    <x v="1"/>
    <s v="Furniture"/>
    <s v="Sofa Set"/>
    <n v="1"/>
    <n v="4649.8"/>
    <n v="4417.3100000000004"/>
    <n v="5"/>
    <n v="795.88"/>
    <n v="175.94"/>
    <s v="Credit Card"/>
    <s v="Low"/>
    <n v="0.18017300121567195"/>
  </r>
  <r>
    <s v="ORD-10823"/>
    <x v="487"/>
    <s v="Arjun Joshi"/>
    <s v="Small Business"/>
    <s v="North"/>
    <s v="Uttar Pradesh"/>
    <x v="0"/>
    <s v="Laptops"/>
    <s v="ProBook 14"/>
    <n v="4"/>
    <n v="64368.94"/>
    <n v="193106.82"/>
    <n v="25"/>
    <n v="-20163.439999999999"/>
    <n v="100.26"/>
    <s v="Debit Card"/>
    <s v="Medium"/>
    <n v="-0.10441599110792668"/>
  </r>
  <r>
    <s v="ORD-10290"/>
    <x v="487"/>
    <s v="Saanvi Rao"/>
    <s v="Small Business"/>
    <s v="South"/>
    <s v="Kerala"/>
    <x v="3"/>
    <s v="Gym Equipment"/>
    <s v="Treadmill Compact"/>
    <n v="5"/>
    <n v="11067.79"/>
    <n v="52572"/>
    <n v="5"/>
    <n v="12399.84"/>
    <n v="116.12"/>
    <s v="UPI"/>
    <s v="Low"/>
    <n v="0.23586395800045651"/>
  </r>
  <r>
    <s v="ORD-10839"/>
    <x v="487"/>
    <s v="Simran Desai"/>
    <s v="Consumer"/>
    <s v="North"/>
    <s v="Punjab"/>
    <x v="1"/>
    <s v="Furniture"/>
    <s v="Study Table"/>
    <n v="2"/>
    <n v="7556.55"/>
    <n v="14357.44"/>
    <n v="5"/>
    <n v="1892.52"/>
    <n v="324.39"/>
    <s v="Credit Card"/>
    <s v="Medium"/>
    <n v="0.13181458532997525"/>
  </r>
  <r>
    <s v="ORD-10211"/>
    <x v="488"/>
    <s v="Aditya Mehta"/>
    <s v="Consumer"/>
    <s v="West"/>
    <s v="Maharashtra"/>
    <x v="3"/>
    <s v="Outdoor Gear"/>
    <s v="Water Bottle Steel"/>
    <n v="4"/>
    <n v="7952.14"/>
    <n v="22265.99"/>
    <n v="30"/>
    <n v="57.88"/>
    <n v="268.01"/>
    <s v="Credit Card"/>
    <s v="Low"/>
    <n v="2.5994801937843318E-3"/>
  </r>
  <r>
    <s v="ORD-10362"/>
    <x v="488"/>
    <s v="Kabir Nair"/>
    <s v="Consumer"/>
    <s v="North"/>
    <s v="Punjab"/>
    <x v="5"/>
    <s v="Footwear"/>
    <s v="Casual Sneakers"/>
    <n v="2"/>
    <n v="2178.25"/>
    <n v="3267.38"/>
    <n v="25"/>
    <n v="36.840000000000003"/>
    <n v="237.19"/>
    <s v="Cash on Delivery"/>
    <s v="Medium"/>
    <n v="1.1275088909156572E-2"/>
  </r>
  <r>
    <s v="ORD-10878"/>
    <x v="489"/>
    <s v="Ira Agarwal"/>
    <s v="Corporate"/>
    <s v="South"/>
    <s v="Kerala"/>
    <x v="1"/>
    <s v="Decor"/>
    <s v="Wall Art Frame"/>
    <n v="4"/>
    <n v="4746.7700000000004"/>
    <n v="17088.37"/>
    <n v="10"/>
    <n v="3161.62"/>
    <n v="250.96"/>
    <s v="Credit Card"/>
    <s v="Low"/>
    <n v="0.1850158909246464"/>
  </r>
  <r>
    <s v="ORD-10423"/>
    <x v="490"/>
    <s v="Raj Reddy"/>
    <s v="Corporate"/>
    <s v="South"/>
    <s v="Kerala"/>
    <x v="1"/>
    <s v="Decor"/>
    <s v="Wall Art Frame"/>
    <n v="4"/>
    <n v="6435.44"/>
    <n v="21880.5"/>
    <n v="15"/>
    <n v="979.68"/>
    <n v="310.36"/>
    <s v="UPI"/>
    <s v="Medium"/>
    <n v="4.4774113937067248E-2"/>
  </r>
  <r>
    <s v="ORD-10113"/>
    <x v="490"/>
    <s v="Diya Khan"/>
    <s v="Corporate"/>
    <s v="North"/>
    <s v="Uttar Pradesh"/>
    <x v="2"/>
    <s v="Fiction"/>
    <s v="Whispering Pines"/>
    <n v="1"/>
    <n v="625.9"/>
    <n v="625.9"/>
    <n v="0"/>
    <n v="147.94999999999999"/>
    <n v="116.71"/>
    <s v="Credit Card"/>
    <s v="Medium"/>
    <n v="0.23637961335676624"/>
  </r>
  <r>
    <s v="ORD-10126"/>
    <x v="490"/>
    <s v="Anika Iyer"/>
    <s v="Consumer"/>
    <s v="South"/>
    <s v="Tamil Nadu"/>
    <x v="2"/>
    <s v="Fiction"/>
    <s v="The Silent Valley"/>
    <n v="1"/>
    <n v="165.27"/>
    <n v="123.95"/>
    <n v="25"/>
    <n v="5.44"/>
    <n v="142.19"/>
    <s v="Credit Card"/>
    <s v="Critical"/>
    <n v="4.3888664784187174E-2"/>
  </r>
  <r>
    <s v="ORD-10147"/>
    <x v="491"/>
    <s v="Ira Kapoor"/>
    <s v="Small Business"/>
    <s v="East"/>
    <s v="Bihar"/>
    <x v="3"/>
    <s v="Outdoor Gear"/>
    <s v="Hiking Backpack"/>
    <n v="2"/>
    <n v="5702.48"/>
    <n v="11404.96"/>
    <n v="0"/>
    <n v="2958.9"/>
    <n v="73.12"/>
    <s v="UPI"/>
    <s v="Low"/>
    <n v="0.25943975252872437"/>
  </r>
  <r>
    <s v="ORD-10429"/>
    <x v="491"/>
    <s v="Aarav Agarwal"/>
    <s v="Consumer"/>
    <s v="South"/>
    <s v="Kerala"/>
    <x v="1"/>
    <s v="Furniture"/>
    <s v="Wooden Chair"/>
    <n v="4"/>
    <n v="6409.71"/>
    <n v="21793.01"/>
    <n v="15"/>
    <n v="2313.5100000000002"/>
    <n v="157.97"/>
    <s v="Net Banking"/>
    <s v="Critical"/>
    <n v="0.10615835077394084"/>
  </r>
  <r>
    <s v="ORD-10225"/>
    <x v="492"/>
    <s v="Vihaan Bose"/>
    <s v="Consumer"/>
    <s v="South"/>
    <s v="Karnataka"/>
    <x v="2"/>
    <s v="Comics"/>
    <s v="Manga Vol. 1"/>
    <n v="3"/>
    <n v="1199.32"/>
    <n v="3597.96"/>
    <n v="0"/>
    <n v="314.64"/>
    <n v="160.11000000000001"/>
    <s v="Credit Card"/>
    <s v="High"/>
    <n v="8.7449554747690353E-2"/>
  </r>
  <r>
    <s v="ORD-10667"/>
    <x v="493"/>
    <s v="Vihaan Joshi"/>
    <s v="Consumer"/>
    <s v="North"/>
    <s v="Delhi"/>
    <x v="5"/>
    <s v="Kids Wear"/>
    <s v="School Uniform Set"/>
    <n v="2"/>
    <n v="4141.87"/>
    <n v="7869.55"/>
    <n v="5"/>
    <n v="1484.48"/>
    <n v="357.67"/>
    <s v="Credit Card"/>
    <s v="Low"/>
    <n v="0.1886359448761365"/>
  </r>
  <r>
    <s v="ORD-10728"/>
    <x v="494"/>
    <s v="Reyansh Sharma"/>
    <s v="Small Business"/>
    <s v="East"/>
    <s v="Odisha"/>
    <x v="2"/>
    <s v="Non-Fiction"/>
    <s v="Mind Over Matter"/>
    <n v="2"/>
    <n v="340.81"/>
    <n v="647.54"/>
    <n v="5"/>
    <n v="55.91"/>
    <n v="282.79000000000002"/>
    <s v="UPI"/>
    <s v="Low"/>
    <n v="8.634215646909843E-2"/>
  </r>
  <r>
    <s v="ORD-10840"/>
    <x v="495"/>
    <s v="Vihaan Joshi"/>
    <s v="Consumer"/>
    <s v="South"/>
    <s v="Karnataka"/>
    <x v="0"/>
    <s v="Mobiles"/>
    <s v="OnePlus Edge"/>
    <n v="2"/>
    <n v="37436.76"/>
    <n v="74873.52"/>
    <n v="0"/>
    <n v="9274.4"/>
    <n v="139.83000000000001"/>
    <s v="Debit Card"/>
    <s v="Low"/>
    <n v="0.12386755691464751"/>
  </r>
  <r>
    <s v="ORD-10625"/>
    <x v="496"/>
    <s v="Anika Chopra"/>
    <s v="Consumer"/>
    <s v="North"/>
    <s v="Punjab"/>
    <x v="3"/>
    <s v="Outdoor Gear"/>
    <s v="Trekking Pole"/>
    <n v="2"/>
    <n v="9462.8799999999992"/>
    <n v="18925.759999999998"/>
    <n v="0"/>
    <n v="2043.67"/>
    <n v="316.13"/>
    <s v="UPI"/>
    <s v="Critical"/>
    <n v="0.10798351030553067"/>
  </r>
  <r>
    <s v="ORD-10933"/>
    <x v="497"/>
    <s v="Kiara Sharma"/>
    <s v="Consumer"/>
    <s v="North"/>
    <s v="Haryana"/>
    <x v="2"/>
    <s v="Academic"/>
    <s v="Data Science Basics"/>
    <n v="3"/>
    <n v="269.85000000000002"/>
    <n v="769.07"/>
    <n v="5"/>
    <n v="104.14"/>
    <n v="60.06"/>
    <s v="Cash on Delivery"/>
    <s v="Medium"/>
    <n v="0.13541030075285734"/>
  </r>
  <r>
    <s v="ORD-10203"/>
    <x v="498"/>
    <s v="Saanvi Mehta"/>
    <s v="Corporate"/>
    <s v="North"/>
    <s v="Haryana"/>
    <x v="3"/>
    <s v="Outdoor Gear"/>
    <s v="Camping Tent"/>
    <n v="3"/>
    <n v="7452"/>
    <n v="21238.2"/>
    <n v="5"/>
    <n v="5417.26"/>
    <n v="283.63"/>
    <s v="Credit Card"/>
    <s v="Low"/>
    <n v="0.25507152206872524"/>
  </r>
  <r>
    <s v="ORD-10768"/>
    <x v="498"/>
    <s v="Ananya Bose"/>
    <s v="Consumer"/>
    <s v="East"/>
    <s v="Bihar"/>
    <x v="0"/>
    <s v="Laptops"/>
    <s v="AirLight 13"/>
    <n v="1"/>
    <n v="54624.02"/>
    <n v="49161.62"/>
    <n v="10"/>
    <n v="1009.87"/>
    <n v="84.31"/>
    <s v="Debit Card"/>
    <s v="Low"/>
    <n v="2.0541837311300968E-2"/>
  </r>
  <r>
    <s v="ORD-10231"/>
    <x v="499"/>
    <s v="Riya Kapoor"/>
    <s v="Consumer"/>
    <s v="South"/>
    <s v="Kerala"/>
    <x v="4"/>
    <s v="Skincare"/>
    <s v="Aloe Moisturizer"/>
    <n v="3"/>
    <n v="1396.39"/>
    <n v="3351.34"/>
    <n v="20"/>
    <n v="705.48"/>
    <n v="193.6"/>
    <s v="Credit Card"/>
    <s v="Medium"/>
    <n v="0.21050684203930367"/>
  </r>
  <r>
    <s v="ORD-10765"/>
    <x v="499"/>
    <s v="Vihaan Verma"/>
    <s v="Corporate"/>
    <s v="East"/>
    <s v="Bihar"/>
    <x v="4"/>
    <s v="Fragrances"/>
    <s v="Woody Cologne"/>
    <n v="4"/>
    <n v="453.15"/>
    <n v="1812.6"/>
    <n v="0"/>
    <n v="525.84"/>
    <n v="92.41"/>
    <s v="Credit Card"/>
    <s v="Low"/>
    <n v="0.29010261502813639"/>
  </r>
  <r>
    <s v="ORD-10993"/>
    <x v="500"/>
    <s v="Rohan Das"/>
    <s v="Small Business"/>
    <s v="South"/>
    <s v="Karnataka"/>
    <x v="4"/>
    <s v="Skincare"/>
    <s v="Vitamin C Serum"/>
    <n v="2"/>
    <n v="1606.79"/>
    <n v="3052.9"/>
    <n v="5"/>
    <n v="605.9"/>
    <n v="149.77000000000001"/>
    <s v="UPI"/>
    <s v="Medium"/>
    <n v="0.19846703134724358"/>
  </r>
  <r>
    <s v="ORD-10293"/>
    <x v="500"/>
    <s v="Myra Mishra"/>
    <s v="Corporate"/>
    <s v="East"/>
    <s v="Bihar"/>
    <x v="0"/>
    <s v="Accessories"/>
    <s v="Screen Guard"/>
    <n v="1"/>
    <n v="15775.41"/>
    <n v="13409.1"/>
    <n v="15"/>
    <n v="-622.07000000000005"/>
    <n v="247.67"/>
    <s v="UPI"/>
    <s v="Critical"/>
    <n v="-4.6391629564996907E-2"/>
  </r>
  <r>
    <s v="ORD-10152"/>
    <x v="501"/>
    <s v="Aditya Joshi"/>
    <s v="Consumer"/>
    <s v="West"/>
    <s v="Maharashtra"/>
    <x v="3"/>
    <s v="Outdoor Gear"/>
    <s v="Trekking Pole"/>
    <n v="1"/>
    <n v="7786.49"/>
    <n v="7786.49"/>
    <n v="0"/>
    <n v="1749.84"/>
    <n v="107.57"/>
    <s v="Debit Card"/>
    <s v="Medium"/>
    <n v="0.22472770144185633"/>
  </r>
  <r>
    <s v="ORD-10325"/>
    <x v="502"/>
    <s v="Riya Patel"/>
    <s v="Consumer"/>
    <s v="East"/>
    <s v="Odisha"/>
    <x v="1"/>
    <s v="Appliances"/>
    <s v="Microwave Oven"/>
    <n v="3"/>
    <n v="4165.2"/>
    <n v="12495.6"/>
    <n v="0"/>
    <n v="1450.73"/>
    <n v="282.55"/>
    <s v="Credit Card"/>
    <s v="Low"/>
    <n v="0.11609926694196357"/>
  </r>
  <r>
    <s v="ORD-10975"/>
    <x v="503"/>
    <s v="Sai Patel"/>
    <s v="Corporate"/>
    <s v="East"/>
    <s v="West Bengal"/>
    <x v="4"/>
    <s v="Makeup"/>
    <s v="Matte Lipstick"/>
    <n v="2"/>
    <n v="616.04999999999995"/>
    <n v="1108.8900000000001"/>
    <n v="10"/>
    <n v="210.83"/>
    <n v="278.88"/>
    <s v="Cash on Delivery"/>
    <s v="Low"/>
    <n v="0.19012706400093787"/>
  </r>
  <r>
    <s v="ORD-10866"/>
    <x v="503"/>
    <s v="Priya Sharma"/>
    <s v="Consumer"/>
    <s v="North"/>
    <s v="Punjab"/>
    <x v="1"/>
    <s v="Cookware"/>
    <s v="Pressure Cooker"/>
    <n v="1"/>
    <n v="9916.9500000000007"/>
    <n v="9916.9500000000007"/>
    <n v="0"/>
    <n v="1441.85"/>
    <n v="170.98"/>
    <s v="UPI"/>
    <s v="Low"/>
    <n v="0.14539248458447404"/>
  </r>
  <r>
    <s v="ORD-10138"/>
    <x v="503"/>
    <s v="Aadhya Iyer"/>
    <s v="Consumer"/>
    <s v="North"/>
    <s v="Punjab"/>
    <x v="0"/>
    <s v="Cameras"/>
    <s v="ActionCam 4K"/>
    <n v="1"/>
    <n v="16264.23"/>
    <n v="14637.81"/>
    <n v="10"/>
    <n v="611.59"/>
    <n v="273.19"/>
    <s v="UPI"/>
    <s v="Medium"/>
    <n v="4.178152332896793E-2"/>
  </r>
  <r>
    <s v="ORD-10570"/>
    <x v="503"/>
    <s v="Rohan Nair"/>
    <s v="Consumer"/>
    <s v="West"/>
    <s v="Maharashtra"/>
    <x v="0"/>
    <s v="Cameras"/>
    <s v="ActionCam 4K"/>
    <n v="4"/>
    <n v="46305.1"/>
    <n v="166698.35999999999"/>
    <n v="10"/>
    <n v="6590.42"/>
    <n v="95.06"/>
    <s v="UPI"/>
    <s v="High"/>
    <n v="3.9535002024015116E-2"/>
  </r>
  <r>
    <s v="ORD-10832"/>
    <x v="503"/>
    <s v="Kabir Patel"/>
    <s v="Consumer"/>
    <s v="North"/>
    <s v="Punjab"/>
    <x v="5"/>
    <s v="Footwear"/>
    <s v="Formal Loafers"/>
    <n v="1"/>
    <n v="1028.04"/>
    <n v="822.43"/>
    <n v="20"/>
    <n v="85.41"/>
    <n v="185.46"/>
    <s v="UPI"/>
    <s v="Low"/>
    <n v="0.10385078365332004"/>
  </r>
  <r>
    <s v="ORD-10020"/>
    <x v="504"/>
    <s v="Reyansh Chopra"/>
    <s v="Consumer"/>
    <s v="North"/>
    <s v="Uttar Pradesh"/>
    <x v="3"/>
    <s v="Apparel"/>
    <s v="Compression Shorts"/>
    <n v="1"/>
    <n v="10105.76"/>
    <n v="8589.9"/>
    <n v="15"/>
    <n v="1445.15"/>
    <n v="219.22"/>
    <s v="Debit Card"/>
    <s v="Low"/>
    <n v="0.16823827984027756"/>
  </r>
  <r>
    <s v="ORD-10597"/>
    <x v="505"/>
    <s v="Ayaan Patel"/>
    <s v="Consumer"/>
    <s v="West"/>
    <s v="Rajasthan"/>
    <x v="4"/>
    <s v="Skincare"/>
    <s v="Aloe Moisturizer"/>
    <n v="1"/>
    <n v="869.63"/>
    <n v="869.63"/>
    <n v="0"/>
    <n v="222.98"/>
    <n v="317.83"/>
    <s v="Debit Card"/>
    <s v="Medium"/>
    <n v="0.256407897611627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153"/>
    <x v="0"/>
    <x v="0"/>
    <x v="0"/>
    <x v="0"/>
    <x v="0"/>
    <x v="0"/>
    <s v="Cameras"/>
    <x v="0"/>
    <n v="2"/>
    <n v="40157.56"/>
    <n v="80315.12"/>
    <x v="0"/>
    <n v="10595.94"/>
    <n v="94.4"/>
    <x v="0"/>
    <x v="0"/>
  </r>
  <r>
    <s v="ORD-10104"/>
    <x v="0"/>
    <x v="1"/>
    <x v="1"/>
    <x v="1"/>
    <x v="1"/>
    <x v="1"/>
    <s v="Cookware"/>
    <x v="1"/>
    <n v="1"/>
    <n v="8300.06"/>
    <n v="7055.05"/>
    <x v="1"/>
    <n v="905.99"/>
    <n v="106"/>
    <x v="1"/>
    <x v="1"/>
  </r>
  <r>
    <s v="ORD-10121"/>
    <x v="0"/>
    <x v="2"/>
    <x v="2"/>
    <x v="2"/>
    <x v="2"/>
    <x v="2"/>
    <s v="Academic"/>
    <x v="2"/>
    <n v="1"/>
    <n v="1151.75"/>
    <n v="1036.58"/>
    <x v="2"/>
    <n v="22.36"/>
    <n v="244.94"/>
    <x v="2"/>
    <x v="0"/>
  </r>
  <r>
    <s v="ORD-10178"/>
    <x v="0"/>
    <x v="3"/>
    <x v="2"/>
    <x v="1"/>
    <x v="3"/>
    <x v="3"/>
    <s v="Outdoor Gear"/>
    <x v="3"/>
    <n v="1"/>
    <n v="13093.98"/>
    <n v="12439.28"/>
    <x v="3"/>
    <n v="1806.56"/>
    <n v="196.03"/>
    <x v="1"/>
    <x v="0"/>
  </r>
  <r>
    <s v="ORD-10648"/>
    <x v="0"/>
    <x v="4"/>
    <x v="1"/>
    <x v="0"/>
    <x v="4"/>
    <x v="0"/>
    <s v="Mobiles"/>
    <x v="4"/>
    <n v="3"/>
    <n v="8985.5499999999993"/>
    <n v="26956.65"/>
    <x v="0"/>
    <n v="4037.48"/>
    <n v="100.04"/>
    <x v="0"/>
    <x v="2"/>
  </r>
  <r>
    <s v="ORD-10310"/>
    <x v="0"/>
    <x v="5"/>
    <x v="0"/>
    <x v="3"/>
    <x v="5"/>
    <x v="3"/>
    <s v="Apparel"/>
    <x v="5"/>
    <n v="1"/>
    <n v="2138.91"/>
    <n v="1818.07"/>
    <x v="1"/>
    <n v="158.99"/>
    <n v="174.7"/>
    <x v="3"/>
    <x v="3"/>
  </r>
  <r>
    <s v="ORD-10043"/>
    <x v="1"/>
    <x v="6"/>
    <x v="0"/>
    <x v="3"/>
    <x v="6"/>
    <x v="1"/>
    <s v="Cookware"/>
    <x v="6"/>
    <n v="4"/>
    <n v="11956.54"/>
    <n v="45434.85"/>
    <x v="3"/>
    <n v="6957.95"/>
    <n v="357.44"/>
    <x v="2"/>
    <x v="0"/>
  </r>
  <r>
    <s v="ORD-10807"/>
    <x v="1"/>
    <x v="7"/>
    <x v="2"/>
    <x v="3"/>
    <x v="7"/>
    <x v="1"/>
    <s v="Appliances"/>
    <x v="7"/>
    <n v="3"/>
    <n v="9220.92"/>
    <n v="26279.62"/>
    <x v="3"/>
    <n v="6421.87"/>
    <n v="359.26"/>
    <x v="1"/>
    <x v="3"/>
  </r>
  <r>
    <s v="ORD-10610"/>
    <x v="2"/>
    <x v="8"/>
    <x v="1"/>
    <x v="2"/>
    <x v="8"/>
    <x v="0"/>
    <s v="Cameras"/>
    <x v="8"/>
    <n v="3"/>
    <n v="11774.84"/>
    <n v="31792.07"/>
    <x v="2"/>
    <n v="3453.97"/>
    <n v="202.57"/>
    <x v="3"/>
    <x v="2"/>
  </r>
  <r>
    <s v="ORD-10698"/>
    <x v="2"/>
    <x v="9"/>
    <x v="0"/>
    <x v="1"/>
    <x v="1"/>
    <x v="2"/>
    <s v="Fiction"/>
    <x v="9"/>
    <n v="1"/>
    <n v="580.15"/>
    <n v="580.15"/>
    <x v="0"/>
    <n v="86.54"/>
    <n v="239.66"/>
    <x v="4"/>
    <x v="2"/>
  </r>
  <r>
    <s v="ORD-10850"/>
    <x v="3"/>
    <x v="10"/>
    <x v="0"/>
    <x v="0"/>
    <x v="0"/>
    <x v="1"/>
    <s v="Furniture"/>
    <x v="10"/>
    <n v="3"/>
    <n v="4016.9"/>
    <n v="9038.0300000000007"/>
    <x v="4"/>
    <n v="474.14"/>
    <n v="139.93"/>
    <x v="0"/>
    <x v="3"/>
  </r>
  <r>
    <s v="ORD-10607"/>
    <x v="3"/>
    <x v="11"/>
    <x v="2"/>
    <x v="2"/>
    <x v="9"/>
    <x v="3"/>
    <s v="Footwear"/>
    <x v="11"/>
    <n v="5"/>
    <n v="7635.63"/>
    <n v="36269.24"/>
    <x v="3"/>
    <n v="3102.73"/>
    <n v="333.55"/>
    <x v="1"/>
    <x v="3"/>
  </r>
  <r>
    <s v="ORD-10066"/>
    <x v="3"/>
    <x v="12"/>
    <x v="2"/>
    <x v="1"/>
    <x v="3"/>
    <x v="3"/>
    <s v="Outdoor Gear"/>
    <x v="12"/>
    <n v="3"/>
    <n v="7048.93"/>
    <n v="20089.45"/>
    <x v="3"/>
    <n v="2901.98"/>
    <n v="329.45"/>
    <x v="3"/>
    <x v="3"/>
  </r>
  <r>
    <s v="ORD-10134"/>
    <x v="3"/>
    <x v="13"/>
    <x v="2"/>
    <x v="0"/>
    <x v="0"/>
    <x v="3"/>
    <s v="Gym Equipment"/>
    <x v="13"/>
    <n v="5"/>
    <n v="5405.46"/>
    <n v="24324.57"/>
    <x v="2"/>
    <n v="2826.91"/>
    <n v="201.24"/>
    <x v="0"/>
    <x v="0"/>
  </r>
  <r>
    <s v="ORD-10044"/>
    <x v="4"/>
    <x v="14"/>
    <x v="0"/>
    <x v="2"/>
    <x v="9"/>
    <x v="3"/>
    <s v="Apparel"/>
    <x v="5"/>
    <n v="1"/>
    <n v="4435.47"/>
    <n v="4213.7"/>
    <x v="3"/>
    <n v="822.01"/>
    <n v="254.11"/>
    <x v="0"/>
    <x v="3"/>
  </r>
  <r>
    <s v="ORD-10412"/>
    <x v="5"/>
    <x v="15"/>
    <x v="2"/>
    <x v="3"/>
    <x v="10"/>
    <x v="0"/>
    <s v="Accessories"/>
    <x v="14"/>
    <n v="1"/>
    <n v="48561.81"/>
    <n v="46133.72"/>
    <x v="3"/>
    <n v="2773.95"/>
    <n v="290.83999999999997"/>
    <x v="0"/>
    <x v="3"/>
  </r>
  <r>
    <s v="ORD-10110"/>
    <x v="6"/>
    <x v="16"/>
    <x v="0"/>
    <x v="2"/>
    <x v="11"/>
    <x v="0"/>
    <s v="Headphones"/>
    <x v="15"/>
    <n v="2"/>
    <n v="62365.21"/>
    <n v="112257.38"/>
    <x v="2"/>
    <n v="5519.37"/>
    <n v="63.52"/>
    <x v="2"/>
    <x v="0"/>
  </r>
  <r>
    <s v="ORD-10879"/>
    <x v="6"/>
    <x v="17"/>
    <x v="2"/>
    <x v="1"/>
    <x v="3"/>
    <x v="1"/>
    <s v="Appliances"/>
    <x v="16"/>
    <n v="1"/>
    <n v="5161.75"/>
    <n v="4129.3999999999996"/>
    <x v="5"/>
    <n v="151.02000000000001"/>
    <n v="131.62"/>
    <x v="1"/>
    <x v="1"/>
  </r>
  <r>
    <s v="ORD-10660"/>
    <x v="6"/>
    <x v="18"/>
    <x v="1"/>
    <x v="3"/>
    <x v="6"/>
    <x v="4"/>
    <s v="Haircare"/>
    <x v="17"/>
    <n v="1"/>
    <n v="861.56"/>
    <n v="861.56"/>
    <x v="0"/>
    <n v="219.86"/>
    <n v="128.16999999999999"/>
    <x v="1"/>
    <x v="0"/>
  </r>
  <r>
    <s v="ORD-10291"/>
    <x v="6"/>
    <x v="19"/>
    <x v="2"/>
    <x v="1"/>
    <x v="3"/>
    <x v="3"/>
    <s v="Apparel"/>
    <x v="18"/>
    <n v="1"/>
    <n v="3970.06"/>
    <n v="3374.55"/>
    <x v="1"/>
    <n v="197.15"/>
    <n v="282.7"/>
    <x v="1"/>
    <x v="0"/>
  </r>
  <r>
    <s v="ORD-10897"/>
    <x v="6"/>
    <x v="20"/>
    <x v="0"/>
    <x v="3"/>
    <x v="10"/>
    <x v="4"/>
    <s v="Fragrances"/>
    <x v="19"/>
    <n v="2"/>
    <n v="549.08000000000004"/>
    <n v="1098.1600000000001"/>
    <x v="0"/>
    <n v="345.02"/>
    <n v="148.62"/>
    <x v="3"/>
    <x v="1"/>
  </r>
  <r>
    <s v="ORD-10414"/>
    <x v="6"/>
    <x v="21"/>
    <x v="1"/>
    <x v="0"/>
    <x v="12"/>
    <x v="4"/>
    <s v="Makeup"/>
    <x v="20"/>
    <n v="2"/>
    <n v="1915.19"/>
    <n v="3447.34"/>
    <x v="2"/>
    <n v="772.74"/>
    <n v="109.79"/>
    <x v="3"/>
    <x v="2"/>
  </r>
  <r>
    <s v="ORD-10382"/>
    <x v="7"/>
    <x v="22"/>
    <x v="2"/>
    <x v="2"/>
    <x v="11"/>
    <x v="5"/>
    <s v="Men's Wear"/>
    <x v="21"/>
    <n v="3"/>
    <n v="350.91"/>
    <n v="947.46"/>
    <x v="2"/>
    <n v="170.15"/>
    <n v="137.18"/>
    <x v="3"/>
    <x v="0"/>
  </r>
  <r>
    <s v="ORD-10413"/>
    <x v="7"/>
    <x v="23"/>
    <x v="0"/>
    <x v="3"/>
    <x v="5"/>
    <x v="5"/>
    <s v="Women's Wear"/>
    <x v="22"/>
    <n v="2"/>
    <n v="2562.52"/>
    <n v="4868.79"/>
    <x v="3"/>
    <n v="1216.44"/>
    <n v="313.79000000000002"/>
    <x v="3"/>
    <x v="3"/>
  </r>
  <r>
    <s v="ORD-10771"/>
    <x v="7"/>
    <x v="24"/>
    <x v="0"/>
    <x v="3"/>
    <x v="7"/>
    <x v="1"/>
    <s v="Decor"/>
    <x v="23"/>
    <n v="2"/>
    <n v="2182.8200000000002"/>
    <n v="4365.6400000000003"/>
    <x v="0"/>
    <n v="424.62"/>
    <n v="339.82"/>
    <x v="2"/>
    <x v="2"/>
  </r>
  <r>
    <s v="ORD-10016"/>
    <x v="8"/>
    <x v="25"/>
    <x v="2"/>
    <x v="3"/>
    <x v="6"/>
    <x v="5"/>
    <s v="Women's Wear"/>
    <x v="24"/>
    <n v="2"/>
    <n v="994.12"/>
    <n v="1590.59"/>
    <x v="5"/>
    <n v="192.39"/>
    <n v="50"/>
    <x v="1"/>
    <x v="2"/>
  </r>
  <r>
    <s v="ORD-10169"/>
    <x v="8"/>
    <x v="26"/>
    <x v="2"/>
    <x v="1"/>
    <x v="3"/>
    <x v="0"/>
    <s v="Mobiles"/>
    <x v="25"/>
    <n v="2"/>
    <n v="52067.44"/>
    <n v="83307.899999999994"/>
    <x v="5"/>
    <n v="-3446.48"/>
    <n v="276.12"/>
    <x v="1"/>
    <x v="3"/>
  </r>
  <r>
    <s v="ORD-10962"/>
    <x v="9"/>
    <x v="27"/>
    <x v="0"/>
    <x v="2"/>
    <x v="8"/>
    <x v="4"/>
    <s v="Skincare"/>
    <x v="26"/>
    <n v="4"/>
    <n v="1501.84"/>
    <n v="5106.26"/>
    <x v="1"/>
    <n v="972.61"/>
    <n v="355.97"/>
    <x v="2"/>
    <x v="0"/>
  </r>
  <r>
    <s v="ORD-10892"/>
    <x v="9"/>
    <x v="28"/>
    <x v="0"/>
    <x v="0"/>
    <x v="12"/>
    <x v="0"/>
    <s v="Accessories"/>
    <x v="27"/>
    <n v="1"/>
    <n v="14057.51"/>
    <n v="14057.51"/>
    <x v="0"/>
    <n v="854.35"/>
    <n v="329.02"/>
    <x v="2"/>
    <x v="3"/>
  </r>
  <r>
    <s v="ORD-10220"/>
    <x v="10"/>
    <x v="29"/>
    <x v="1"/>
    <x v="0"/>
    <x v="4"/>
    <x v="5"/>
    <s v="Women's Wear"/>
    <x v="24"/>
    <n v="1"/>
    <n v="4291"/>
    <n v="4076.45"/>
    <x v="3"/>
    <n v="640.23"/>
    <n v="172.72"/>
    <x v="1"/>
    <x v="0"/>
  </r>
  <r>
    <s v="ORD-10207"/>
    <x v="10"/>
    <x v="30"/>
    <x v="2"/>
    <x v="3"/>
    <x v="10"/>
    <x v="1"/>
    <s v="Appliances"/>
    <x v="7"/>
    <n v="2"/>
    <n v="5100.88"/>
    <n v="10201.76"/>
    <x v="0"/>
    <n v="2760.06"/>
    <n v="79.11"/>
    <x v="3"/>
    <x v="2"/>
  </r>
  <r>
    <s v="ORD-10408"/>
    <x v="11"/>
    <x v="31"/>
    <x v="2"/>
    <x v="2"/>
    <x v="9"/>
    <x v="2"/>
    <s v="Non-Fiction"/>
    <x v="28"/>
    <n v="1"/>
    <n v="309.14999999999998"/>
    <n v="278.24"/>
    <x v="2"/>
    <n v="61.24"/>
    <n v="60"/>
    <x v="4"/>
    <x v="3"/>
  </r>
  <r>
    <s v="ORD-10417"/>
    <x v="12"/>
    <x v="32"/>
    <x v="2"/>
    <x v="3"/>
    <x v="5"/>
    <x v="5"/>
    <s v="Footwear"/>
    <x v="29"/>
    <n v="3"/>
    <n v="3577.68"/>
    <n v="8586.43"/>
    <x v="5"/>
    <n v="661.95"/>
    <n v="272.17"/>
    <x v="2"/>
    <x v="3"/>
  </r>
  <r>
    <s v="ORD-10419"/>
    <x v="12"/>
    <x v="21"/>
    <x v="2"/>
    <x v="0"/>
    <x v="4"/>
    <x v="0"/>
    <s v="Accessories"/>
    <x v="14"/>
    <n v="2"/>
    <n v="26868.47"/>
    <n v="45676.4"/>
    <x v="1"/>
    <n v="523.1"/>
    <n v="276.49"/>
    <x v="1"/>
    <x v="2"/>
  </r>
  <r>
    <s v="ORD-10061"/>
    <x v="12"/>
    <x v="33"/>
    <x v="0"/>
    <x v="2"/>
    <x v="2"/>
    <x v="2"/>
    <s v="Comics"/>
    <x v="30"/>
    <n v="2"/>
    <n v="832.46"/>
    <n v="1581.67"/>
    <x v="3"/>
    <n v="265.25"/>
    <n v="329.8"/>
    <x v="1"/>
    <x v="3"/>
  </r>
  <r>
    <s v="ORD-10883"/>
    <x v="13"/>
    <x v="34"/>
    <x v="1"/>
    <x v="0"/>
    <x v="4"/>
    <x v="0"/>
    <s v="Cameras"/>
    <x v="31"/>
    <n v="2"/>
    <n v="52586.58"/>
    <n v="99914.5"/>
    <x v="3"/>
    <n v="3964.09"/>
    <n v="92.76"/>
    <x v="0"/>
    <x v="0"/>
  </r>
  <r>
    <s v="ORD-10331"/>
    <x v="13"/>
    <x v="35"/>
    <x v="2"/>
    <x v="1"/>
    <x v="1"/>
    <x v="0"/>
    <s v="Accessories"/>
    <x v="27"/>
    <n v="1"/>
    <n v="13690.64"/>
    <n v="10952.51"/>
    <x v="5"/>
    <n v="-357.43"/>
    <n v="326.64999999999998"/>
    <x v="2"/>
    <x v="3"/>
  </r>
  <r>
    <s v="ORD-10700"/>
    <x v="13"/>
    <x v="36"/>
    <x v="2"/>
    <x v="3"/>
    <x v="6"/>
    <x v="5"/>
    <s v="Footwear"/>
    <x v="29"/>
    <n v="2"/>
    <n v="3436.46"/>
    <n v="6872.92"/>
    <x v="0"/>
    <n v="1167.06"/>
    <n v="275.58"/>
    <x v="3"/>
    <x v="0"/>
  </r>
  <r>
    <s v="ORD-10551"/>
    <x v="14"/>
    <x v="37"/>
    <x v="2"/>
    <x v="0"/>
    <x v="12"/>
    <x v="2"/>
    <s v="Academic"/>
    <x v="2"/>
    <n v="1"/>
    <n v="872.11"/>
    <n v="784.9"/>
    <x v="2"/>
    <n v="108"/>
    <n v="73.02"/>
    <x v="2"/>
    <x v="2"/>
  </r>
  <r>
    <s v="ORD-10845"/>
    <x v="14"/>
    <x v="38"/>
    <x v="2"/>
    <x v="0"/>
    <x v="12"/>
    <x v="5"/>
    <s v="Men's Wear"/>
    <x v="32"/>
    <n v="4"/>
    <n v="2304.87"/>
    <n v="8297.5300000000007"/>
    <x v="2"/>
    <n v="793.59"/>
    <n v="332.83"/>
    <x v="1"/>
    <x v="3"/>
  </r>
  <r>
    <s v="ORD-10262"/>
    <x v="14"/>
    <x v="39"/>
    <x v="1"/>
    <x v="2"/>
    <x v="9"/>
    <x v="3"/>
    <s v="Footwear"/>
    <x v="33"/>
    <n v="1"/>
    <n v="9446.41"/>
    <n v="6612.49"/>
    <x v="6"/>
    <n v="-207.14"/>
    <n v="44.64"/>
    <x v="0"/>
    <x v="1"/>
  </r>
  <r>
    <s v="ORD-10447"/>
    <x v="14"/>
    <x v="40"/>
    <x v="0"/>
    <x v="1"/>
    <x v="3"/>
    <x v="0"/>
    <s v="Mobiles"/>
    <x v="25"/>
    <n v="2"/>
    <n v="55428.43"/>
    <n v="110856.86"/>
    <x v="0"/>
    <n v="8600.3799999999992"/>
    <n v="176.76"/>
    <x v="2"/>
    <x v="2"/>
  </r>
  <r>
    <s v="ORD-10564"/>
    <x v="15"/>
    <x v="41"/>
    <x v="2"/>
    <x v="3"/>
    <x v="5"/>
    <x v="3"/>
    <s v="Outdoor Gear"/>
    <x v="34"/>
    <n v="2"/>
    <n v="13050.58"/>
    <n v="20880.93"/>
    <x v="5"/>
    <n v="226.7"/>
    <n v="190.26"/>
    <x v="0"/>
    <x v="2"/>
  </r>
  <r>
    <s v="ORD-10519"/>
    <x v="15"/>
    <x v="42"/>
    <x v="2"/>
    <x v="0"/>
    <x v="0"/>
    <x v="4"/>
    <s v="Fragrances"/>
    <x v="35"/>
    <n v="4"/>
    <n v="933.39"/>
    <n v="3733.56"/>
    <x v="0"/>
    <n v="702.72"/>
    <n v="267.33999999999997"/>
    <x v="1"/>
    <x v="0"/>
  </r>
  <r>
    <s v="ORD-10295"/>
    <x v="16"/>
    <x v="43"/>
    <x v="2"/>
    <x v="3"/>
    <x v="7"/>
    <x v="2"/>
    <s v="Non-Fiction"/>
    <x v="36"/>
    <n v="3"/>
    <n v="596.77"/>
    <n v="1790.31"/>
    <x v="0"/>
    <n v="158.82"/>
    <n v="376.05"/>
    <x v="1"/>
    <x v="2"/>
  </r>
  <r>
    <s v="ORD-10603"/>
    <x v="17"/>
    <x v="44"/>
    <x v="2"/>
    <x v="2"/>
    <x v="8"/>
    <x v="5"/>
    <s v="Footwear"/>
    <x v="29"/>
    <n v="1"/>
    <n v="3581.55"/>
    <n v="3044.32"/>
    <x v="1"/>
    <n v="226.58"/>
    <n v="289.56"/>
    <x v="3"/>
    <x v="0"/>
  </r>
  <r>
    <s v="ORD-10445"/>
    <x v="18"/>
    <x v="45"/>
    <x v="1"/>
    <x v="0"/>
    <x v="12"/>
    <x v="2"/>
    <s v="Fiction"/>
    <x v="9"/>
    <n v="5"/>
    <n v="908.96"/>
    <n v="4090.32"/>
    <x v="2"/>
    <n v="404.21"/>
    <n v="263.93"/>
    <x v="2"/>
    <x v="1"/>
  </r>
  <r>
    <s v="ORD-10212"/>
    <x v="19"/>
    <x v="46"/>
    <x v="2"/>
    <x v="3"/>
    <x v="7"/>
    <x v="3"/>
    <s v="Footwear"/>
    <x v="37"/>
    <n v="1"/>
    <n v="6053.18"/>
    <n v="5447.86"/>
    <x v="2"/>
    <n v="816.79"/>
    <n v="122.38"/>
    <x v="3"/>
    <x v="0"/>
  </r>
  <r>
    <s v="ORD-10959"/>
    <x v="19"/>
    <x v="35"/>
    <x v="1"/>
    <x v="0"/>
    <x v="0"/>
    <x v="2"/>
    <s v="Academic"/>
    <x v="38"/>
    <n v="1"/>
    <n v="556.04"/>
    <n v="500.44"/>
    <x v="2"/>
    <n v="41.85"/>
    <n v="193.75"/>
    <x v="3"/>
    <x v="2"/>
  </r>
  <r>
    <s v="ORD-10450"/>
    <x v="20"/>
    <x v="47"/>
    <x v="2"/>
    <x v="3"/>
    <x v="5"/>
    <x v="1"/>
    <s v="Furniture"/>
    <x v="39"/>
    <n v="1"/>
    <n v="3400"/>
    <n v="3230"/>
    <x v="3"/>
    <n v="474.99"/>
    <n v="82.71"/>
    <x v="2"/>
    <x v="3"/>
  </r>
  <r>
    <s v="ORD-10948"/>
    <x v="21"/>
    <x v="48"/>
    <x v="2"/>
    <x v="3"/>
    <x v="10"/>
    <x v="1"/>
    <s v="Appliances"/>
    <x v="40"/>
    <n v="1"/>
    <n v="2130.0300000000002"/>
    <n v="1597.52"/>
    <x v="4"/>
    <n v="8.56"/>
    <n v="281.5"/>
    <x v="1"/>
    <x v="0"/>
  </r>
  <r>
    <s v="ORD-10350"/>
    <x v="22"/>
    <x v="49"/>
    <x v="1"/>
    <x v="1"/>
    <x v="3"/>
    <x v="4"/>
    <s v="Fragrances"/>
    <x v="41"/>
    <n v="3"/>
    <n v="397.01"/>
    <n v="1191.03"/>
    <x v="0"/>
    <n v="317.2"/>
    <n v="346.14"/>
    <x v="4"/>
    <x v="0"/>
  </r>
  <r>
    <s v="ORD-10054"/>
    <x v="23"/>
    <x v="50"/>
    <x v="2"/>
    <x v="3"/>
    <x v="5"/>
    <x v="5"/>
    <s v="Women's Wear"/>
    <x v="42"/>
    <n v="1"/>
    <n v="4198.9399999999996"/>
    <n v="4198.9399999999996"/>
    <x v="0"/>
    <n v="963.78"/>
    <n v="167.02"/>
    <x v="1"/>
    <x v="3"/>
  </r>
  <r>
    <s v="ORD-10418"/>
    <x v="24"/>
    <x v="51"/>
    <x v="2"/>
    <x v="1"/>
    <x v="1"/>
    <x v="2"/>
    <s v="Comics"/>
    <x v="43"/>
    <n v="1"/>
    <n v="325.23"/>
    <n v="292.70999999999998"/>
    <x v="2"/>
    <n v="21.11"/>
    <n v="88.02"/>
    <x v="3"/>
    <x v="2"/>
  </r>
  <r>
    <s v="ORD-10102"/>
    <x v="25"/>
    <x v="52"/>
    <x v="0"/>
    <x v="1"/>
    <x v="13"/>
    <x v="1"/>
    <s v="Furniture"/>
    <x v="44"/>
    <n v="4"/>
    <n v="5439.64"/>
    <n v="20670.63"/>
    <x v="3"/>
    <n v="2191.64"/>
    <n v="156.18"/>
    <x v="3"/>
    <x v="3"/>
  </r>
  <r>
    <s v="ORD-10250"/>
    <x v="26"/>
    <x v="53"/>
    <x v="2"/>
    <x v="0"/>
    <x v="12"/>
    <x v="1"/>
    <s v="Appliances"/>
    <x v="45"/>
    <n v="5"/>
    <n v="6962.49"/>
    <n v="33071.83"/>
    <x v="3"/>
    <n v="5020.13"/>
    <n v="175.45"/>
    <x v="4"/>
    <x v="0"/>
  </r>
  <r>
    <s v="ORD-10149"/>
    <x v="26"/>
    <x v="54"/>
    <x v="1"/>
    <x v="3"/>
    <x v="10"/>
    <x v="1"/>
    <s v="Furniture"/>
    <x v="46"/>
    <n v="4"/>
    <n v="8484.75"/>
    <n v="28848.15"/>
    <x v="1"/>
    <n v="3746.63"/>
    <n v="76.7"/>
    <x v="3"/>
    <x v="3"/>
  </r>
  <r>
    <s v="ORD-10019"/>
    <x v="27"/>
    <x v="55"/>
    <x v="1"/>
    <x v="1"/>
    <x v="1"/>
    <x v="4"/>
    <s v="Haircare"/>
    <x v="17"/>
    <n v="1"/>
    <n v="2304.41"/>
    <n v="2304.41"/>
    <x v="0"/>
    <n v="625.85"/>
    <n v="60.53"/>
    <x v="2"/>
    <x v="3"/>
  </r>
  <r>
    <s v="ORD-10094"/>
    <x v="28"/>
    <x v="56"/>
    <x v="0"/>
    <x v="3"/>
    <x v="10"/>
    <x v="0"/>
    <s v="Cameras"/>
    <x v="47"/>
    <n v="2"/>
    <n v="63357.04"/>
    <n v="107706.97"/>
    <x v="1"/>
    <n v="4460.93"/>
    <n v="363.7"/>
    <x v="0"/>
    <x v="0"/>
  </r>
  <r>
    <s v="ORD-10206"/>
    <x v="28"/>
    <x v="57"/>
    <x v="1"/>
    <x v="3"/>
    <x v="6"/>
    <x v="2"/>
    <s v="Academic"/>
    <x v="38"/>
    <n v="2"/>
    <n v="755.34"/>
    <n v="1435.15"/>
    <x v="3"/>
    <n v="254.84"/>
    <n v="132.69999999999999"/>
    <x v="1"/>
    <x v="2"/>
  </r>
  <r>
    <s v="ORD-10218"/>
    <x v="28"/>
    <x v="44"/>
    <x v="0"/>
    <x v="1"/>
    <x v="3"/>
    <x v="2"/>
    <s v="Academic"/>
    <x v="2"/>
    <n v="1"/>
    <n v="632.66999999999996"/>
    <n v="632.66999999999996"/>
    <x v="0"/>
    <n v="38.58"/>
    <n v="54.3"/>
    <x v="3"/>
    <x v="0"/>
  </r>
  <r>
    <s v="ORD-10131"/>
    <x v="29"/>
    <x v="58"/>
    <x v="2"/>
    <x v="1"/>
    <x v="3"/>
    <x v="5"/>
    <s v="Kids Wear"/>
    <x v="48"/>
    <n v="2"/>
    <n v="1308.6099999999999"/>
    <n v="2355.5"/>
    <x v="2"/>
    <n v="420.06"/>
    <n v="103.2"/>
    <x v="0"/>
    <x v="0"/>
  </r>
  <r>
    <s v="ORD-10684"/>
    <x v="29"/>
    <x v="59"/>
    <x v="2"/>
    <x v="0"/>
    <x v="12"/>
    <x v="2"/>
    <s v="Fiction"/>
    <x v="49"/>
    <n v="1"/>
    <n v="819.57"/>
    <n v="778.59"/>
    <x v="3"/>
    <n v="105"/>
    <n v="107.45"/>
    <x v="0"/>
    <x v="3"/>
  </r>
  <r>
    <s v="ORD-10080"/>
    <x v="29"/>
    <x v="60"/>
    <x v="1"/>
    <x v="2"/>
    <x v="11"/>
    <x v="0"/>
    <s v="Accessories"/>
    <x v="50"/>
    <n v="1"/>
    <n v="13691.47"/>
    <n v="11637.75"/>
    <x v="1"/>
    <n v="376.42"/>
    <n v="52.2"/>
    <x v="4"/>
    <x v="3"/>
  </r>
  <r>
    <s v="ORD-10453"/>
    <x v="30"/>
    <x v="61"/>
    <x v="1"/>
    <x v="1"/>
    <x v="3"/>
    <x v="0"/>
    <s v="Accessories"/>
    <x v="27"/>
    <n v="1"/>
    <n v="35569.17"/>
    <n v="33790.71"/>
    <x v="3"/>
    <n v="720.68"/>
    <n v="240.17"/>
    <x v="3"/>
    <x v="0"/>
  </r>
  <r>
    <s v="ORD-10885"/>
    <x v="31"/>
    <x v="62"/>
    <x v="2"/>
    <x v="3"/>
    <x v="6"/>
    <x v="3"/>
    <s v="Outdoor Gear"/>
    <x v="12"/>
    <n v="2"/>
    <n v="5294.85"/>
    <n v="9530.73"/>
    <x v="2"/>
    <n v="1037.2"/>
    <n v="357.33"/>
    <x v="2"/>
    <x v="2"/>
  </r>
  <r>
    <s v="ORD-10257"/>
    <x v="32"/>
    <x v="63"/>
    <x v="1"/>
    <x v="0"/>
    <x v="12"/>
    <x v="3"/>
    <s v="Gym Equipment"/>
    <x v="51"/>
    <n v="2"/>
    <n v="5132.25"/>
    <n v="8211.6"/>
    <x v="5"/>
    <n v="249.97"/>
    <n v="165.54"/>
    <x v="1"/>
    <x v="2"/>
  </r>
  <r>
    <s v="ORD-10686"/>
    <x v="33"/>
    <x v="23"/>
    <x v="2"/>
    <x v="0"/>
    <x v="4"/>
    <x v="0"/>
    <s v="Mobiles"/>
    <x v="25"/>
    <n v="3"/>
    <n v="3082.36"/>
    <n v="8784.73"/>
    <x v="3"/>
    <n v="840.03"/>
    <n v="173.91"/>
    <x v="4"/>
    <x v="3"/>
  </r>
  <r>
    <s v="ORD-10995"/>
    <x v="34"/>
    <x v="64"/>
    <x v="0"/>
    <x v="3"/>
    <x v="10"/>
    <x v="1"/>
    <s v="Furniture"/>
    <x v="39"/>
    <n v="2"/>
    <n v="2456.9899999999998"/>
    <n v="4913.9799999999996"/>
    <x v="0"/>
    <n v="1109.57"/>
    <n v="273.77"/>
    <x v="0"/>
    <x v="2"/>
  </r>
  <r>
    <s v="ORD-10985"/>
    <x v="35"/>
    <x v="65"/>
    <x v="2"/>
    <x v="0"/>
    <x v="12"/>
    <x v="3"/>
    <s v="Apparel"/>
    <x v="18"/>
    <n v="1"/>
    <n v="984.57"/>
    <n v="787.66"/>
    <x v="5"/>
    <n v="21.96"/>
    <n v="268.32"/>
    <x v="0"/>
    <x v="2"/>
  </r>
  <r>
    <s v="ORD-10063"/>
    <x v="36"/>
    <x v="66"/>
    <x v="2"/>
    <x v="2"/>
    <x v="9"/>
    <x v="1"/>
    <s v="Appliances"/>
    <x v="7"/>
    <n v="1"/>
    <n v="5800.94"/>
    <n v="4930.8"/>
    <x v="1"/>
    <n v="2.84"/>
    <n v="219.07"/>
    <x v="4"/>
    <x v="3"/>
  </r>
  <r>
    <s v="ORD-10015"/>
    <x v="37"/>
    <x v="67"/>
    <x v="2"/>
    <x v="3"/>
    <x v="5"/>
    <x v="3"/>
    <s v="Footwear"/>
    <x v="33"/>
    <n v="2"/>
    <n v="8945.9"/>
    <n v="15208.03"/>
    <x v="1"/>
    <n v="1746.2"/>
    <n v="133.32"/>
    <x v="2"/>
    <x v="0"/>
  </r>
  <r>
    <s v="ORD-10130"/>
    <x v="37"/>
    <x v="68"/>
    <x v="2"/>
    <x v="0"/>
    <x v="12"/>
    <x v="5"/>
    <s v="Kids Wear"/>
    <x v="52"/>
    <n v="1"/>
    <n v="1759.14"/>
    <n v="1759.14"/>
    <x v="0"/>
    <n v="382.12"/>
    <n v="96.92"/>
    <x v="1"/>
    <x v="0"/>
  </r>
  <r>
    <s v="ORD-10957"/>
    <x v="37"/>
    <x v="69"/>
    <x v="2"/>
    <x v="1"/>
    <x v="1"/>
    <x v="3"/>
    <s v="Footwear"/>
    <x v="11"/>
    <n v="2"/>
    <n v="8017.83"/>
    <n v="15233.88"/>
    <x v="3"/>
    <n v="3119.44"/>
    <n v="70.63"/>
    <x v="0"/>
    <x v="3"/>
  </r>
  <r>
    <s v="ORD-10065"/>
    <x v="38"/>
    <x v="70"/>
    <x v="2"/>
    <x v="1"/>
    <x v="3"/>
    <x v="1"/>
    <s v="Appliances"/>
    <x v="40"/>
    <n v="1"/>
    <n v="6630.16"/>
    <n v="5967.14"/>
    <x v="2"/>
    <n v="1004.39"/>
    <n v="116.89"/>
    <x v="3"/>
    <x v="2"/>
  </r>
  <r>
    <s v="ORD-10243"/>
    <x v="38"/>
    <x v="71"/>
    <x v="2"/>
    <x v="1"/>
    <x v="3"/>
    <x v="1"/>
    <s v="Appliances"/>
    <x v="7"/>
    <n v="1"/>
    <n v="11641.59"/>
    <n v="11059.51"/>
    <x v="3"/>
    <n v="2444.4299999999998"/>
    <n v="252.73"/>
    <x v="4"/>
    <x v="3"/>
  </r>
  <r>
    <s v="ORD-10822"/>
    <x v="39"/>
    <x v="72"/>
    <x v="1"/>
    <x v="1"/>
    <x v="13"/>
    <x v="4"/>
    <s v="Haircare"/>
    <x v="53"/>
    <n v="3"/>
    <n v="1247.92"/>
    <n v="3743.76"/>
    <x v="0"/>
    <n v="1227.07"/>
    <n v="277"/>
    <x v="1"/>
    <x v="0"/>
  </r>
  <r>
    <s v="ORD-10106"/>
    <x v="39"/>
    <x v="73"/>
    <x v="2"/>
    <x v="1"/>
    <x v="3"/>
    <x v="2"/>
    <s v="Academic"/>
    <x v="38"/>
    <n v="3"/>
    <n v="162.76"/>
    <n v="463.87"/>
    <x v="3"/>
    <n v="46.36"/>
    <n v="370.36"/>
    <x v="3"/>
    <x v="0"/>
  </r>
  <r>
    <s v="ORD-10452"/>
    <x v="39"/>
    <x v="74"/>
    <x v="1"/>
    <x v="2"/>
    <x v="11"/>
    <x v="4"/>
    <s v="Skincare"/>
    <x v="54"/>
    <n v="3"/>
    <n v="1926.68"/>
    <n v="5202.04"/>
    <x v="2"/>
    <n v="1277.47"/>
    <n v="238.55"/>
    <x v="0"/>
    <x v="3"/>
  </r>
  <r>
    <s v="ORD-10626"/>
    <x v="39"/>
    <x v="75"/>
    <x v="1"/>
    <x v="2"/>
    <x v="11"/>
    <x v="5"/>
    <s v="Men's Wear"/>
    <x v="55"/>
    <n v="4"/>
    <n v="3984.89"/>
    <n v="15939.56"/>
    <x v="0"/>
    <n v="4789.97"/>
    <n v="386.8"/>
    <x v="1"/>
    <x v="2"/>
  </r>
  <r>
    <s v="ORD-10988"/>
    <x v="39"/>
    <x v="76"/>
    <x v="2"/>
    <x v="3"/>
    <x v="10"/>
    <x v="5"/>
    <s v="Women's Wear"/>
    <x v="22"/>
    <n v="1"/>
    <n v="327.14999999999998"/>
    <n v="261.72000000000003"/>
    <x v="5"/>
    <n v="5.65"/>
    <n v="188.8"/>
    <x v="1"/>
    <x v="2"/>
  </r>
  <r>
    <s v="ORD-10202"/>
    <x v="40"/>
    <x v="77"/>
    <x v="1"/>
    <x v="2"/>
    <x v="8"/>
    <x v="2"/>
    <s v="Fiction"/>
    <x v="49"/>
    <n v="1"/>
    <n v="1089.28"/>
    <n v="871.42"/>
    <x v="5"/>
    <n v="37.36"/>
    <n v="285.95"/>
    <x v="2"/>
    <x v="0"/>
  </r>
  <r>
    <s v="ORD-10662"/>
    <x v="40"/>
    <x v="78"/>
    <x v="0"/>
    <x v="1"/>
    <x v="3"/>
    <x v="4"/>
    <s v="Fragrances"/>
    <x v="35"/>
    <n v="2"/>
    <n v="1018.47"/>
    <n v="1731.4"/>
    <x v="1"/>
    <n v="389.82"/>
    <n v="71.849999999999994"/>
    <x v="3"/>
    <x v="0"/>
  </r>
  <r>
    <s v="ORD-10311"/>
    <x v="40"/>
    <x v="79"/>
    <x v="2"/>
    <x v="1"/>
    <x v="13"/>
    <x v="4"/>
    <s v="Skincare"/>
    <x v="56"/>
    <n v="1"/>
    <n v="927.16"/>
    <n v="741.73"/>
    <x v="5"/>
    <n v="96.84"/>
    <n v="77.47"/>
    <x v="3"/>
    <x v="3"/>
  </r>
  <r>
    <s v="ORD-10273"/>
    <x v="41"/>
    <x v="80"/>
    <x v="2"/>
    <x v="0"/>
    <x v="12"/>
    <x v="3"/>
    <s v="Gym Equipment"/>
    <x v="57"/>
    <n v="1"/>
    <n v="3067.95"/>
    <n v="2761.15"/>
    <x v="2"/>
    <n v="433.88"/>
    <n v="276.69"/>
    <x v="0"/>
    <x v="2"/>
  </r>
  <r>
    <s v="ORD-10238"/>
    <x v="42"/>
    <x v="81"/>
    <x v="2"/>
    <x v="1"/>
    <x v="3"/>
    <x v="2"/>
    <s v="Comics"/>
    <x v="58"/>
    <n v="3"/>
    <n v="421.93"/>
    <n v="1075.92"/>
    <x v="1"/>
    <n v="49.75"/>
    <n v="248.34"/>
    <x v="3"/>
    <x v="2"/>
  </r>
  <r>
    <s v="ORD-10089"/>
    <x v="43"/>
    <x v="82"/>
    <x v="2"/>
    <x v="0"/>
    <x v="4"/>
    <x v="5"/>
    <s v="Kids Wear"/>
    <x v="48"/>
    <n v="1"/>
    <n v="2385.56"/>
    <n v="2385.56"/>
    <x v="0"/>
    <n v="340.54"/>
    <n v="62"/>
    <x v="3"/>
    <x v="0"/>
  </r>
  <r>
    <s v="ORD-10744"/>
    <x v="43"/>
    <x v="83"/>
    <x v="2"/>
    <x v="3"/>
    <x v="10"/>
    <x v="0"/>
    <s v="Cameras"/>
    <x v="47"/>
    <n v="1"/>
    <n v="45372.5"/>
    <n v="36298"/>
    <x v="5"/>
    <n v="-4489.6000000000004"/>
    <n v="114.5"/>
    <x v="3"/>
    <x v="3"/>
  </r>
  <r>
    <s v="ORD-10819"/>
    <x v="44"/>
    <x v="41"/>
    <x v="1"/>
    <x v="3"/>
    <x v="10"/>
    <x v="3"/>
    <s v="Footwear"/>
    <x v="33"/>
    <n v="1"/>
    <n v="957.96"/>
    <n v="957.96"/>
    <x v="0"/>
    <n v="249.47"/>
    <n v="239.08"/>
    <x v="1"/>
    <x v="2"/>
  </r>
  <r>
    <s v="ORD-10767"/>
    <x v="45"/>
    <x v="84"/>
    <x v="2"/>
    <x v="0"/>
    <x v="0"/>
    <x v="4"/>
    <s v="Makeup"/>
    <x v="59"/>
    <n v="2"/>
    <n v="2063.59"/>
    <n v="3714.46"/>
    <x v="2"/>
    <n v="569.04999999999995"/>
    <n v="58.55"/>
    <x v="0"/>
    <x v="2"/>
  </r>
  <r>
    <s v="ORD-10676"/>
    <x v="46"/>
    <x v="85"/>
    <x v="2"/>
    <x v="0"/>
    <x v="4"/>
    <x v="0"/>
    <s v="Cameras"/>
    <x v="31"/>
    <n v="4"/>
    <n v="8668.81"/>
    <n v="32941.480000000003"/>
    <x v="3"/>
    <n v="-224.86"/>
    <n v="218.71"/>
    <x v="2"/>
    <x v="0"/>
  </r>
  <r>
    <s v="ORD-10366"/>
    <x v="47"/>
    <x v="86"/>
    <x v="2"/>
    <x v="1"/>
    <x v="1"/>
    <x v="5"/>
    <s v="Men's Wear"/>
    <x v="21"/>
    <n v="3"/>
    <n v="3618.13"/>
    <n v="9226.23"/>
    <x v="1"/>
    <n v="1065.5"/>
    <n v="157.5"/>
    <x v="3"/>
    <x v="2"/>
  </r>
  <r>
    <s v="ORD-10487"/>
    <x v="48"/>
    <x v="87"/>
    <x v="0"/>
    <x v="3"/>
    <x v="6"/>
    <x v="0"/>
    <s v="Headphones"/>
    <x v="60"/>
    <n v="5"/>
    <n v="57167.88"/>
    <n v="285839.40000000002"/>
    <x v="0"/>
    <n v="23480.240000000002"/>
    <n v="198.93"/>
    <x v="4"/>
    <x v="2"/>
  </r>
  <r>
    <s v="ORD-10939"/>
    <x v="49"/>
    <x v="76"/>
    <x v="0"/>
    <x v="0"/>
    <x v="0"/>
    <x v="4"/>
    <s v="Makeup"/>
    <x v="59"/>
    <n v="3"/>
    <n v="1569.03"/>
    <n v="4707.09"/>
    <x v="0"/>
    <n v="1368.02"/>
    <n v="170.55"/>
    <x v="1"/>
    <x v="0"/>
  </r>
  <r>
    <s v="ORD-10914"/>
    <x v="50"/>
    <x v="88"/>
    <x v="2"/>
    <x v="1"/>
    <x v="1"/>
    <x v="1"/>
    <s v="Decor"/>
    <x v="61"/>
    <n v="1"/>
    <n v="1501.6"/>
    <n v="1351.44"/>
    <x v="2"/>
    <n v="54.81"/>
    <n v="130.77000000000001"/>
    <x v="0"/>
    <x v="3"/>
  </r>
  <r>
    <s v="ORD-10814"/>
    <x v="50"/>
    <x v="54"/>
    <x v="1"/>
    <x v="3"/>
    <x v="6"/>
    <x v="0"/>
    <s v="Mobiles"/>
    <x v="62"/>
    <n v="2"/>
    <n v="60047.05"/>
    <n v="120094.1"/>
    <x v="0"/>
    <n v="10854.71"/>
    <n v="267.60000000000002"/>
    <x v="3"/>
    <x v="0"/>
  </r>
  <r>
    <s v="ORD-10724"/>
    <x v="51"/>
    <x v="89"/>
    <x v="2"/>
    <x v="0"/>
    <x v="0"/>
    <x v="4"/>
    <s v="Makeup"/>
    <x v="63"/>
    <n v="1"/>
    <n v="1432.01"/>
    <n v="1145.6099999999999"/>
    <x v="5"/>
    <n v="203.77"/>
    <n v="297.56"/>
    <x v="3"/>
    <x v="3"/>
  </r>
  <r>
    <s v="ORD-10620"/>
    <x v="52"/>
    <x v="90"/>
    <x v="0"/>
    <x v="0"/>
    <x v="4"/>
    <x v="2"/>
    <s v="Non-Fiction"/>
    <x v="64"/>
    <n v="1"/>
    <n v="973.64"/>
    <n v="876.28"/>
    <x v="2"/>
    <n v="147.31"/>
    <n v="150.63999999999999"/>
    <x v="1"/>
    <x v="2"/>
  </r>
  <r>
    <s v="ORD-10431"/>
    <x v="52"/>
    <x v="91"/>
    <x v="2"/>
    <x v="1"/>
    <x v="13"/>
    <x v="2"/>
    <s v="Academic"/>
    <x v="2"/>
    <n v="1"/>
    <n v="1134.22"/>
    <n v="1077.51"/>
    <x v="3"/>
    <n v="178.29"/>
    <n v="45.95"/>
    <x v="2"/>
    <x v="0"/>
  </r>
  <r>
    <s v="ORD-10181"/>
    <x v="53"/>
    <x v="92"/>
    <x v="2"/>
    <x v="1"/>
    <x v="1"/>
    <x v="5"/>
    <s v="Kids Wear"/>
    <x v="65"/>
    <n v="4"/>
    <n v="4176.43"/>
    <n v="16705.72"/>
    <x v="0"/>
    <n v="2375.7600000000002"/>
    <n v="368.91"/>
    <x v="2"/>
    <x v="0"/>
  </r>
  <r>
    <s v="ORD-10651"/>
    <x v="54"/>
    <x v="93"/>
    <x v="0"/>
    <x v="3"/>
    <x v="7"/>
    <x v="3"/>
    <s v="Footwear"/>
    <x v="37"/>
    <n v="1"/>
    <n v="10180.959999999999"/>
    <n v="7126.67"/>
    <x v="6"/>
    <n v="724.83"/>
    <n v="129.83000000000001"/>
    <x v="0"/>
    <x v="2"/>
  </r>
  <r>
    <s v="ORD-10496"/>
    <x v="54"/>
    <x v="94"/>
    <x v="2"/>
    <x v="1"/>
    <x v="1"/>
    <x v="0"/>
    <s v="Headphones"/>
    <x v="15"/>
    <n v="1"/>
    <n v="32313.16"/>
    <n v="29081.84"/>
    <x v="2"/>
    <n v="1728.51"/>
    <n v="238.71"/>
    <x v="3"/>
    <x v="0"/>
  </r>
  <r>
    <s v="ORD-10136"/>
    <x v="55"/>
    <x v="95"/>
    <x v="2"/>
    <x v="1"/>
    <x v="1"/>
    <x v="3"/>
    <s v="Apparel"/>
    <x v="66"/>
    <n v="2"/>
    <n v="5185.96"/>
    <n v="9853.32"/>
    <x v="3"/>
    <n v="1927.77"/>
    <n v="147.91"/>
    <x v="4"/>
    <x v="3"/>
  </r>
  <r>
    <s v="ORD-10426"/>
    <x v="55"/>
    <x v="96"/>
    <x v="1"/>
    <x v="1"/>
    <x v="13"/>
    <x v="1"/>
    <s v="Furniture"/>
    <x v="46"/>
    <n v="1"/>
    <n v="9067.75"/>
    <n v="7707.59"/>
    <x v="1"/>
    <n v="1408.21"/>
    <n v="266.8"/>
    <x v="2"/>
    <x v="3"/>
  </r>
  <r>
    <s v="ORD-10011"/>
    <x v="56"/>
    <x v="97"/>
    <x v="1"/>
    <x v="0"/>
    <x v="12"/>
    <x v="5"/>
    <s v="Men's Wear"/>
    <x v="55"/>
    <n v="1"/>
    <n v="1386.88"/>
    <n v="1248.19"/>
    <x v="2"/>
    <n v="120.75"/>
    <n v="196.42"/>
    <x v="1"/>
    <x v="2"/>
  </r>
  <r>
    <s v="ORD-10481"/>
    <x v="57"/>
    <x v="60"/>
    <x v="2"/>
    <x v="3"/>
    <x v="5"/>
    <x v="0"/>
    <s v="Accessories"/>
    <x v="50"/>
    <n v="1"/>
    <n v="63263.13"/>
    <n v="63263.13"/>
    <x v="0"/>
    <n v="8037.17"/>
    <n v="298.63"/>
    <x v="4"/>
    <x v="1"/>
  </r>
  <r>
    <s v="ORD-10270"/>
    <x v="58"/>
    <x v="98"/>
    <x v="0"/>
    <x v="3"/>
    <x v="5"/>
    <x v="1"/>
    <s v="Cookware"/>
    <x v="6"/>
    <n v="3"/>
    <n v="5012.1000000000004"/>
    <n v="12029.04"/>
    <x v="5"/>
    <n v="662.09"/>
    <n v="147.75"/>
    <x v="2"/>
    <x v="3"/>
  </r>
  <r>
    <s v="ORD-10981"/>
    <x v="59"/>
    <x v="85"/>
    <x v="2"/>
    <x v="1"/>
    <x v="13"/>
    <x v="3"/>
    <s v="Gym Equipment"/>
    <x v="57"/>
    <n v="2"/>
    <n v="14875.96"/>
    <n v="22313.94"/>
    <x v="4"/>
    <n v="466.6"/>
    <n v="259.14999999999998"/>
    <x v="3"/>
    <x v="3"/>
  </r>
  <r>
    <s v="ORD-10639"/>
    <x v="59"/>
    <x v="99"/>
    <x v="2"/>
    <x v="3"/>
    <x v="7"/>
    <x v="0"/>
    <s v="Accessories"/>
    <x v="27"/>
    <n v="1"/>
    <n v="20591.53"/>
    <n v="18532.38"/>
    <x v="2"/>
    <n v="1370.82"/>
    <n v="267.41000000000003"/>
    <x v="2"/>
    <x v="2"/>
  </r>
  <r>
    <s v="ORD-10935"/>
    <x v="60"/>
    <x v="100"/>
    <x v="2"/>
    <x v="1"/>
    <x v="3"/>
    <x v="0"/>
    <s v="Accessories"/>
    <x v="50"/>
    <n v="1"/>
    <n v="27674.48"/>
    <n v="27674.48"/>
    <x v="0"/>
    <n v="1868.69"/>
    <n v="93.24"/>
    <x v="1"/>
    <x v="1"/>
  </r>
  <r>
    <s v="ORD-10082"/>
    <x v="61"/>
    <x v="101"/>
    <x v="0"/>
    <x v="2"/>
    <x v="8"/>
    <x v="4"/>
    <s v="Skincare"/>
    <x v="67"/>
    <n v="2"/>
    <n v="933.64"/>
    <n v="1867.28"/>
    <x v="0"/>
    <n v="482.69"/>
    <n v="315.36"/>
    <x v="3"/>
    <x v="1"/>
  </r>
  <r>
    <s v="ORD-10880"/>
    <x v="61"/>
    <x v="102"/>
    <x v="1"/>
    <x v="3"/>
    <x v="10"/>
    <x v="0"/>
    <s v="Headphones"/>
    <x v="68"/>
    <n v="1"/>
    <n v="7284.03"/>
    <n v="6919.83"/>
    <x v="3"/>
    <n v="288.22000000000003"/>
    <n v="174.02"/>
    <x v="3"/>
    <x v="3"/>
  </r>
  <r>
    <s v="ORD-10602"/>
    <x v="61"/>
    <x v="103"/>
    <x v="0"/>
    <x v="0"/>
    <x v="12"/>
    <x v="1"/>
    <s v="Appliances"/>
    <x v="40"/>
    <n v="1"/>
    <n v="2671.66"/>
    <n v="2270.91"/>
    <x v="1"/>
    <n v="241.33"/>
    <n v="75.06"/>
    <x v="2"/>
    <x v="1"/>
  </r>
  <r>
    <s v="ORD-10835"/>
    <x v="62"/>
    <x v="68"/>
    <x v="0"/>
    <x v="2"/>
    <x v="9"/>
    <x v="1"/>
    <s v="Appliances"/>
    <x v="40"/>
    <n v="1"/>
    <n v="11206.04"/>
    <n v="10085.44"/>
    <x v="2"/>
    <n v="1343.39"/>
    <n v="240.25"/>
    <x v="0"/>
    <x v="0"/>
  </r>
  <r>
    <s v="ORD-10540"/>
    <x v="62"/>
    <x v="104"/>
    <x v="1"/>
    <x v="3"/>
    <x v="10"/>
    <x v="4"/>
    <s v="Makeup"/>
    <x v="59"/>
    <n v="1"/>
    <n v="2291.75"/>
    <n v="2062.58"/>
    <x v="2"/>
    <n v="481.76"/>
    <n v="261.08999999999997"/>
    <x v="3"/>
    <x v="3"/>
  </r>
  <r>
    <s v="ORD-10738"/>
    <x v="63"/>
    <x v="65"/>
    <x v="2"/>
    <x v="0"/>
    <x v="4"/>
    <x v="4"/>
    <s v="Makeup"/>
    <x v="63"/>
    <n v="4"/>
    <n v="648.44000000000005"/>
    <n v="1945.32"/>
    <x v="4"/>
    <n v="169.14"/>
    <n v="359.93"/>
    <x v="3"/>
    <x v="0"/>
  </r>
  <r>
    <s v="ORD-10122"/>
    <x v="64"/>
    <x v="32"/>
    <x v="2"/>
    <x v="0"/>
    <x v="0"/>
    <x v="2"/>
    <s v="Non-Fiction"/>
    <x v="28"/>
    <n v="4"/>
    <n v="269.24"/>
    <n v="1023.11"/>
    <x v="3"/>
    <n v="150.16999999999999"/>
    <n v="289.89999999999998"/>
    <x v="1"/>
    <x v="3"/>
  </r>
  <r>
    <s v="ORD-10070"/>
    <x v="65"/>
    <x v="105"/>
    <x v="2"/>
    <x v="1"/>
    <x v="13"/>
    <x v="4"/>
    <s v="Makeup"/>
    <x v="20"/>
    <n v="1"/>
    <n v="1463.22"/>
    <n v="1024.25"/>
    <x v="6"/>
    <n v="146.76"/>
    <n v="258.67"/>
    <x v="2"/>
    <x v="0"/>
  </r>
  <r>
    <s v="ORD-10706"/>
    <x v="66"/>
    <x v="106"/>
    <x v="2"/>
    <x v="2"/>
    <x v="11"/>
    <x v="2"/>
    <s v="Academic"/>
    <x v="2"/>
    <n v="5"/>
    <n v="484.54"/>
    <n v="2180.4299999999998"/>
    <x v="2"/>
    <n v="-45.71"/>
    <n v="379.14"/>
    <x v="3"/>
    <x v="0"/>
  </r>
  <r>
    <s v="ORD-10267"/>
    <x v="67"/>
    <x v="107"/>
    <x v="2"/>
    <x v="1"/>
    <x v="13"/>
    <x v="5"/>
    <s v="Women's Wear"/>
    <x v="24"/>
    <n v="5"/>
    <n v="2195.83"/>
    <n v="10979.15"/>
    <x v="0"/>
    <n v="2656.96"/>
    <n v="311.98"/>
    <x v="1"/>
    <x v="3"/>
  </r>
  <r>
    <s v="ORD-10583"/>
    <x v="68"/>
    <x v="74"/>
    <x v="2"/>
    <x v="3"/>
    <x v="10"/>
    <x v="4"/>
    <s v="Skincare"/>
    <x v="67"/>
    <n v="4"/>
    <n v="1758.97"/>
    <n v="5980.5"/>
    <x v="1"/>
    <n v="671.68"/>
    <n v="118.71"/>
    <x v="4"/>
    <x v="0"/>
  </r>
  <r>
    <s v="ORD-10003"/>
    <x v="68"/>
    <x v="108"/>
    <x v="0"/>
    <x v="1"/>
    <x v="3"/>
    <x v="1"/>
    <s v="Decor"/>
    <x v="61"/>
    <n v="2"/>
    <n v="2057.2600000000002"/>
    <n v="2880.16"/>
    <x v="6"/>
    <n v="-69.5"/>
    <n v="276.04000000000002"/>
    <x v="0"/>
    <x v="3"/>
  </r>
  <r>
    <s v="ORD-10463"/>
    <x v="69"/>
    <x v="109"/>
    <x v="2"/>
    <x v="2"/>
    <x v="11"/>
    <x v="3"/>
    <s v="Apparel"/>
    <x v="18"/>
    <n v="1"/>
    <n v="14703.81"/>
    <n v="10292.67"/>
    <x v="6"/>
    <n v="-237.72"/>
    <n v="249.8"/>
    <x v="3"/>
    <x v="3"/>
  </r>
  <r>
    <s v="ORD-10327"/>
    <x v="69"/>
    <x v="110"/>
    <x v="2"/>
    <x v="3"/>
    <x v="7"/>
    <x v="4"/>
    <s v="Makeup"/>
    <x v="20"/>
    <n v="1"/>
    <n v="368.35"/>
    <n v="349.93"/>
    <x v="3"/>
    <n v="116.21"/>
    <n v="228.24"/>
    <x v="4"/>
    <x v="3"/>
  </r>
  <r>
    <s v="ORD-10588"/>
    <x v="69"/>
    <x v="111"/>
    <x v="1"/>
    <x v="2"/>
    <x v="9"/>
    <x v="5"/>
    <s v="Men's Wear"/>
    <x v="69"/>
    <n v="2"/>
    <n v="1716.85"/>
    <n v="3433.7"/>
    <x v="0"/>
    <n v="646.41"/>
    <n v="51.18"/>
    <x v="1"/>
    <x v="0"/>
  </r>
  <r>
    <s v="ORD-10865"/>
    <x v="70"/>
    <x v="112"/>
    <x v="0"/>
    <x v="3"/>
    <x v="7"/>
    <x v="1"/>
    <s v="Decor"/>
    <x v="70"/>
    <n v="2"/>
    <n v="474"/>
    <n v="853.2"/>
    <x v="2"/>
    <n v="166.7"/>
    <n v="155.66"/>
    <x v="3"/>
    <x v="0"/>
  </r>
  <r>
    <s v="ORD-10893"/>
    <x v="71"/>
    <x v="113"/>
    <x v="0"/>
    <x v="0"/>
    <x v="12"/>
    <x v="3"/>
    <s v="Footwear"/>
    <x v="11"/>
    <n v="2"/>
    <n v="4436.4399999999996"/>
    <n v="7985.59"/>
    <x v="2"/>
    <n v="1339.82"/>
    <n v="126.15"/>
    <x v="0"/>
    <x v="2"/>
  </r>
  <r>
    <s v="ORD-10506"/>
    <x v="72"/>
    <x v="11"/>
    <x v="1"/>
    <x v="2"/>
    <x v="8"/>
    <x v="5"/>
    <s v="Women's Wear"/>
    <x v="22"/>
    <n v="1"/>
    <n v="2853.2"/>
    <n v="2710.54"/>
    <x v="3"/>
    <n v="418.87"/>
    <n v="129"/>
    <x v="3"/>
    <x v="3"/>
  </r>
  <r>
    <s v="ORD-10805"/>
    <x v="72"/>
    <x v="114"/>
    <x v="2"/>
    <x v="0"/>
    <x v="12"/>
    <x v="4"/>
    <s v="Makeup"/>
    <x v="71"/>
    <n v="2"/>
    <n v="2372.73"/>
    <n v="4745.46"/>
    <x v="0"/>
    <n v="1495.12"/>
    <n v="296.45999999999998"/>
    <x v="0"/>
    <x v="3"/>
  </r>
  <r>
    <s v="ORD-10646"/>
    <x v="73"/>
    <x v="115"/>
    <x v="0"/>
    <x v="3"/>
    <x v="6"/>
    <x v="1"/>
    <s v="Appliances"/>
    <x v="7"/>
    <n v="4"/>
    <n v="8687.32"/>
    <n v="29536.89"/>
    <x v="1"/>
    <n v="2224.4299999999998"/>
    <n v="317.88"/>
    <x v="3"/>
    <x v="1"/>
  </r>
  <r>
    <s v="ORD-10916"/>
    <x v="73"/>
    <x v="116"/>
    <x v="2"/>
    <x v="3"/>
    <x v="6"/>
    <x v="5"/>
    <s v="Kids Wear"/>
    <x v="48"/>
    <n v="2"/>
    <n v="1636.88"/>
    <n v="2455.3200000000002"/>
    <x v="4"/>
    <n v="291.85000000000002"/>
    <n v="201.49"/>
    <x v="1"/>
    <x v="3"/>
  </r>
  <r>
    <s v="ORD-10288"/>
    <x v="73"/>
    <x v="70"/>
    <x v="2"/>
    <x v="1"/>
    <x v="3"/>
    <x v="4"/>
    <s v="Skincare"/>
    <x v="67"/>
    <n v="1"/>
    <n v="2074.1"/>
    <n v="1970.39"/>
    <x v="3"/>
    <n v="544.04"/>
    <n v="55.64"/>
    <x v="4"/>
    <x v="1"/>
  </r>
  <r>
    <s v="ORD-10641"/>
    <x v="74"/>
    <x v="117"/>
    <x v="0"/>
    <x v="0"/>
    <x v="12"/>
    <x v="0"/>
    <s v="Mobiles"/>
    <x v="72"/>
    <n v="4"/>
    <n v="53310.53"/>
    <n v="213242.12"/>
    <x v="0"/>
    <n v="16416.830000000002"/>
    <n v="363.62"/>
    <x v="3"/>
    <x v="2"/>
  </r>
  <r>
    <s v="ORD-10787"/>
    <x v="74"/>
    <x v="118"/>
    <x v="2"/>
    <x v="0"/>
    <x v="4"/>
    <x v="2"/>
    <s v="Comics"/>
    <x v="43"/>
    <n v="3"/>
    <n v="332.96"/>
    <n v="898.99"/>
    <x v="2"/>
    <n v="73.680000000000007"/>
    <n v="374.96"/>
    <x v="0"/>
    <x v="2"/>
  </r>
  <r>
    <s v="ORD-10763"/>
    <x v="75"/>
    <x v="119"/>
    <x v="2"/>
    <x v="3"/>
    <x v="10"/>
    <x v="5"/>
    <s v="Kids Wear"/>
    <x v="52"/>
    <n v="1"/>
    <n v="2236.9"/>
    <n v="1677.68"/>
    <x v="4"/>
    <n v="117.98"/>
    <n v="333.74"/>
    <x v="1"/>
    <x v="3"/>
  </r>
  <r>
    <s v="ORD-10972"/>
    <x v="76"/>
    <x v="13"/>
    <x v="0"/>
    <x v="1"/>
    <x v="1"/>
    <x v="0"/>
    <s v="Headphones"/>
    <x v="68"/>
    <n v="4"/>
    <n v="41250.160000000003"/>
    <n v="156750.60999999999"/>
    <x v="3"/>
    <n v="12629.85"/>
    <n v="282.19"/>
    <x v="0"/>
    <x v="3"/>
  </r>
  <r>
    <s v="ORD-10284"/>
    <x v="77"/>
    <x v="120"/>
    <x v="1"/>
    <x v="2"/>
    <x v="8"/>
    <x v="0"/>
    <s v="Accessories"/>
    <x v="27"/>
    <n v="2"/>
    <n v="24027.73"/>
    <n v="43249.91"/>
    <x v="2"/>
    <n v="1811.44"/>
    <n v="148.07"/>
    <x v="2"/>
    <x v="0"/>
  </r>
  <r>
    <s v="ORD-10277"/>
    <x v="78"/>
    <x v="121"/>
    <x v="2"/>
    <x v="0"/>
    <x v="0"/>
    <x v="4"/>
    <s v="Skincare"/>
    <x v="54"/>
    <n v="2"/>
    <n v="1557.61"/>
    <n v="2803.7"/>
    <x v="2"/>
    <n v="658.37"/>
    <n v="92.87"/>
    <x v="1"/>
    <x v="2"/>
  </r>
  <r>
    <s v="ORD-10928"/>
    <x v="79"/>
    <x v="122"/>
    <x v="2"/>
    <x v="0"/>
    <x v="12"/>
    <x v="5"/>
    <s v="Kids Wear"/>
    <x v="73"/>
    <n v="2"/>
    <n v="1572.67"/>
    <n v="3145.34"/>
    <x v="0"/>
    <n v="667.51"/>
    <n v="354.3"/>
    <x v="4"/>
    <x v="1"/>
  </r>
  <r>
    <s v="ORD-10511"/>
    <x v="79"/>
    <x v="123"/>
    <x v="0"/>
    <x v="0"/>
    <x v="12"/>
    <x v="3"/>
    <s v="Gym Equipment"/>
    <x v="57"/>
    <n v="3"/>
    <n v="2045.56"/>
    <n v="6136.68"/>
    <x v="0"/>
    <n v="1134.9000000000001"/>
    <n v="264.12"/>
    <x v="0"/>
    <x v="3"/>
  </r>
  <r>
    <s v="ORD-10396"/>
    <x v="80"/>
    <x v="124"/>
    <x v="0"/>
    <x v="0"/>
    <x v="4"/>
    <x v="0"/>
    <s v="Mobiles"/>
    <x v="74"/>
    <n v="1"/>
    <n v="3876.49"/>
    <n v="3488.84"/>
    <x v="2"/>
    <n v="95.8"/>
    <n v="339.92"/>
    <x v="0"/>
    <x v="0"/>
  </r>
  <r>
    <s v="ORD-10196"/>
    <x v="81"/>
    <x v="124"/>
    <x v="0"/>
    <x v="3"/>
    <x v="10"/>
    <x v="1"/>
    <s v="Decor"/>
    <x v="70"/>
    <n v="1"/>
    <n v="9759.4599999999991"/>
    <n v="7807.57"/>
    <x v="5"/>
    <n v="322.13"/>
    <n v="338.05"/>
    <x v="3"/>
    <x v="3"/>
  </r>
  <r>
    <s v="ORD-10961"/>
    <x v="82"/>
    <x v="125"/>
    <x v="2"/>
    <x v="1"/>
    <x v="13"/>
    <x v="5"/>
    <s v="Women's Wear"/>
    <x v="42"/>
    <n v="1"/>
    <n v="910.37"/>
    <n v="819.33"/>
    <x v="2"/>
    <n v="101.28"/>
    <n v="52.77"/>
    <x v="3"/>
    <x v="0"/>
  </r>
  <r>
    <s v="ORD-10733"/>
    <x v="82"/>
    <x v="69"/>
    <x v="1"/>
    <x v="2"/>
    <x v="8"/>
    <x v="5"/>
    <s v="Kids Wear"/>
    <x v="73"/>
    <n v="1"/>
    <n v="1769.77"/>
    <n v="1681.28"/>
    <x v="3"/>
    <n v="304.04000000000002"/>
    <n v="296.04000000000002"/>
    <x v="0"/>
    <x v="0"/>
  </r>
  <r>
    <s v="ORD-10958"/>
    <x v="83"/>
    <x v="115"/>
    <x v="2"/>
    <x v="1"/>
    <x v="13"/>
    <x v="1"/>
    <s v="Decor"/>
    <x v="61"/>
    <n v="1"/>
    <n v="2295.0500000000002"/>
    <n v="2065.5500000000002"/>
    <x v="2"/>
    <n v="130.03"/>
    <n v="89.03"/>
    <x v="2"/>
    <x v="0"/>
  </r>
  <r>
    <s v="ORD-10313"/>
    <x v="84"/>
    <x v="98"/>
    <x v="0"/>
    <x v="0"/>
    <x v="0"/>
    <x v="0"/>
    <s v="Cameras"/>
    <x v="31"/>
    <n v="2"/>
    <n v="61925.59"/>
    <n v="117658.62"/>
    <x v="3"/>
    <n v="13626.8"/>
    <n v="190.52"/>
    <x v="1"/>
    <x v="0"/>
  </r>
  <r>
    <s v="ORD-10552"/>
    <x v="84"/>
    <x v="19"/>
    <x v="1"/>
    <x v="2"/>
    <x v="8"/>
    <x v="3"/>
    <s v="Apparel"/>
    <x v="75"/>
    <n v="1"/>
    <n v="9791.49"/>
    <n v="8812.34"/>
    <x v="2"/>
    <n v="1718.92"/>
    <n v="292.33999999999997"/>
    <x v="0"/>
    <x v="2"/>
  </r>
  <r>
    <s v="ORD-10683"/>
    <x v="85"/>
    <x v="126"/>
    <x v="0"/>
    <x v="1"/>
    <x v="3"/>
    <x v="1"/>
    <s v="Furniture"/>
    <x v="10"/>
    <n v="1"/>
    <n v="9763.4"/>
    <n v="9763.4"/>
    <x v="0"/>
    <n v="1884.77"/>
    <n v="194.07"/>
    <x v="0"/>
    <x v="0"/>
  </r>
  <r>
    <s v="ORD-10856"/>
    <x v="86"/>
    <x v="127"/>
    <x v="2"/>
    <x v="3"/>
    <x v="7"/>
    <x v="0"/>
    <s v="Mobiles"/>
    <x v="62"/>
    <n v="2"/>
    <n v="43190.6"/>
    <n v="82062.14"/>
    <x v="3"/>
    <n v="4280.6099999999997"/>
    <n v="67.430000000000007"/>
    <x v="4"/>
    <x v="0"/>
  </r>
  <r>
    <s v="ORD-10831"/>
    <x v="87"/>
    <x v="128"/>
    <x v="2"/>
    <x v="0"/>
    <x v="12"/>
    <x v="2"/>
    <s v="Fiction"/>
    <x v="76"/>
    <n v="4"/>
    <n v="612.05999999999995"/>
    <n v="2081"/>
    <x v="1"/>
    <n v="140.21"/>
    <n v="268.22000000000003"/>
    <x v="0"/>
    <x v="2"/>
  </r>
  <r>
    <s v="ORD-10459"/>
    <x v="87"/>
    <x v="129"/>
    <x v="2"/>
    <x v="0"/>
    <x v="0"/>
    <x v="3"/>
    <s v="Gym Equipment"/>
    <x v="13"/>
    <n v="1"/>
    <n v="839.07"/>
    <n v="839.07"/>
    <x v="0"/>
    <n v="224.71"/>
    <n v="292.52"/>
    <x v="2"/>
    <x v="0"/>
  </r>
  <r>
    <s v="ORD-10386"/>
    <x v="88"/>
    <x v="130"/>
    <x v="2"/>
    <x v="0"/>
    <x v="12"/>
    <x v="2"/>
    <s v="Academic"/>
    <x v="2"/>
    <n v="2"/>
    <n v="609.48"/>
    <n v="1218.96"/>
    <x v="0"/>
    <n v="138.31"/>
    <n v="126.49"/>
    <x v="3"/>
    <x v="0"/>
  </r>
  <r>
    <s v="ORD-10170"/>
    <x v="88"/>
    <x v="131"/>
    <x v="0"/>
    <x v="1"/>
    <x v="13"/>
    <x v="4"/>
    <s v="Haircare"/>
    <x v="77"/>
    <n v="3"/>
    <n v="228.07"/>
    <n v="581.58000000000004"/>
    <x v="1"/>
    <n v="94.43"/>
    <n v="251.5"/>
    <x v="1"/>
    <x v="3"/>
  </r>
  <r>
    <s v="ORD-10268"/>
    <x v="88"/>
    <x v="132"/>
    <x v="0"/>
    <x v="3"/>
    <x v="10"/>
    <x v="3"/>
    <s v="Apparel"/>
    <x v="5"/>
    <n v="2"/>
    <n v="11671.85"/>
    <n v="23343.7"/>
    <x v="0"/>
    <n v="4082.75"/>
    <n v="118.62"/>
    <x v="3"/>
    <x v="3"/>
  </r>
  <r>
    <s v="ORD-10464"/>
    <x v="89"/>
    <x v="133"/>
    <x v="2"/>
    <x v="2"/>
    <x v="9"/>
    <x v="3"/>
    <s v="Apparel"/>
    <x v="66"/>
    <n v="5"/>
    <n v="8076.4"/>
    <n v="36343.800000000003"/>
    <x v="2"/>
    <n v="5748.76"/>
    <n v="320.19"/>
    <x v="1"/>
    <x v="0"/>
  </r>
  <r>
    <s v="ORD-10468"/>
    <x v="89"/>
    <x v="134"/>
    <x v="2"/>
    <x v="3"/>
    <x v="10"/>
    <x v="5"/>
    <s v="Footwear"/>
    <x v="33"/>
    <n v="1"/>
    <n v="3995.25"/>
    <n v="3395.96"/>
    <x v="1"/>
    <n v="625.4"/>
    <n v="198.14"/>
    <x v="0"/>
    <x v="2"/>
  </r>
  <r>
    <s v="ORD-10160"/>
    <x v="90"/>
    <x v="135"/>
    <x v="2"/>
    <x v="1"/>
    <x v="13"/>
    <x v="5"/>
    <s v="Kids Wear"/>
    <x v="65"/>
    <n v="3"/>
    <n v="1628.03"/>
    <n v="4639.8900000000003"/>
    <x v="3"/>
    <n v="807.56"/>
    <n v="248.26"/>
    <x v="3"/>
    <x v="2"/>
  </r>
  <r>
    <s v="ORD-10830"/>
    <x v="90"/>
    <x v="136"/>
    <x v="1"/>
    <x v="1"/>
    <x v="13"/>
    <x v="1"/>
    <s v="Cookware"/>
    <x v="78"/>
    <n v="3"/>
    <n v="4040.99"/>
    <n v="10304.52"/>
    <x v="1"/>
    <n v="1155.79"/>
    <n v="281.14"/>
    <x v="1"/>
    <x v="0"/>
  </r>
  <r>
    <s v="ORD-10172"/>
    <x v="91"/>
    <x v="137"/>
    <x v="0"/>
    <x v="1"/>
    <x v="13"/>
    <x v="0"/>
    <s v="Mobiles"/>
    <x v="4"/>
    <n v="1"/>
    <n v="26774.32"/>
    <n v="20080.740000000002"/>
    <x v="4"/>
    <n v="-644.41999999999996"/>
    <n v="177.84"/>
    <x v="0"/>
    <x v="1"/>
  </r>
  <r>
    <s v="ORD-10697"/>
    <x v="92"/>
    <x v="1"/>
    <x v="1"/>
    <x v="1"/>
    <x v="1"/>
    <x v="5"/>
    <s v="Kids Wear"/>
    <x v="52"/>
    <n v="3"/>
    <n v="535.94000000000005"/>
    <n v="1366.65"/>
    <x v="1"/>
    <n v="231.86"/>
    <n v="93.73"/>
    <x v="1"/>
    <x v="0"/>
  </r>
  <r>
    <s v="ORD-10717"/>
    <x v="93"/>
    <x v="43"/>
    <x v="2"/>
    <x v="3"/>
    <x v="5"/>
    <x v="4"/>
    <s v="Fragrances"/>
    <x v="79"/>
    <n v="1"/>
    <n v="1156.28"/>
    <n v="809.4"/>
    <x v="6"/>
    <n v="135.24"/>
    <n v="252.86"/>
    <x v="4"/>
    <x v="1"/>
  </r>
  <r>
    <s v="ORD-10968"/>
    <x v="93"/>
    <x v="138"/>
    <x v="0"/>
    <x v="1"/>
    <x v="13"/>
    <x v="4"/>
    <s v="Fragrances"/>
    <x v="79"/>
    <n v="2"/>
    <n v="1155.52"/>
    <n v="2311.04"/>
    <x v="0"/>
    <n v="807.29"/>
    <n v="52.68"/>
    <x v="0"/>
    <x v="2"/>
  </r>
  <r>
    <s v="ORD-10922"/>
    <x v="93"/>
    <x v="12"/>
    <x v="0"/>
    <x v="3"/>
    <x v="7"/>
    <x v="3"/>
    <s v="Footwear"/>
    <x v="37"/>
    <n v="2"/>
    <n v="1610.37"/>
    <n v="2898.67"/>
    <x v="2"/>
    <n v="263.45"/>
    <n v="63.25"/>
    <x v="0"/>
    <x v="0"/>
  </r>
  <r>
    <s v="ORD-10129"/>
    <x v="94"/>
    <x v="139"/>
    <x v="2"/>
    <x v="2"/>
    <x v="8"/>
    <x v="1"/>
    <s v="Appliances"/>
    <x v="45"/>
    <n v="1"/>
    <n v="11148.42"/>
    <n v="10033.58"/>
    <x v="2"/>
    <n v="349.48"/>
    <n v="176.92"/>
    <x v="0"/>
    <x v="0"/>
  </r>
  <r>
    <s v="ORD-10537"/>
    <x v="95"/>
    <x v="106"/>
    <x v="2"/>
    <x v="2"/>
    <x v="9"/>
    <x v="1"/>
    <s v="Appliances"/>
    <x v="16"/>
    <n v="1"/>
    <n v="2804.78"/>
    <n v="2804.78"/>
    <x v="0"/>
    <n v="604.48"/>
    <n v="126.16"/>
    <x v="3"/>
    <x v="1"/>
  </r>
  <r>
    <s v="ORD-10339"/>
    <x v="96"/>
    <x v="140"/>
    <x v="2"/>
    <x v="0"/>
    <x v="12"/>
    <x v="3"/>
    <s v="Footwear"/>
    <x v="11"/>
    <n v="1"/>
    <n v="9163.61"/>
    <n v="7789.07"/>
    <x v="1"/>
    <n v="875.83"/>
    <n v="102.99"/>
    <x v="3"/>
    <x v="3"/>
  </r>
  <r>
    <s v="ORD-10441"/>
    <x v="97"/>
    <x v="141"/>
    <x v="2"/>
    <x v="2"/>
    <x v="8"/>
    <x v="1"/>
    <s v="Appliances"/>
    <x v="7"/>
    <n v="1"/>
    <n v="8877.52"/>
    <n v="6214.26"/>
    <x v="6"/>
    <n v="-345.02"/>
    <n v="210.91"/>
    <x v="1"/>
    <x v="0"/>
  </r>
  <r>
    <s v="ORD-10998"/>
    <x v="98"/>
    <x v="66"/>
    <x v="2"/>
    <x v="2"/>
    <x v="11"/>
    <x v="1"/>
    <s v="Furniture"/>
    <x v="46"/>
    <n v="4"/>
    <n v="2183.89"/>
    <n v="8735.56"/>
    <x v="0"/>
    <n v="1437.37"/>
    <n v="358.57"/>
    <x v="1"/>
    <x v="3"/>
  </r>
  <r>
    <s v="ORD-10092"/>
    <x v="99"/>
    <x v="142"/>
    <x v="1"/>
    <x v="1"/>
    <x v="1"/>
    <x v="3"/>
    <s v="Apparel"/>
    <x v="5"/>
    <n v="1"/>
    <n v="6919.73"/>
    <n v="6919.73"/>
    <x v="0"/>
    <n v="2084.4699999999998"/>
    <n v="123.83"/>
    <x v="2"/>
    <x v="2"/>
  </r>
  <r>
    <s v="ORD-10955"/>
    <x v="99"/>
    <x v="143"/>
    <x v="1"/>
    <x v="1"/>
    <x v="1"/>
    <x v="1"/>
    <s v="Cookware"/>
    <x v="80"/>
    <n v="1"/>
    <n v="10448.99"/>
    <n v="9404.09"/>
    <x v="2"/>
    <n v="988.47"/>
    <n v="34.590000000000003"/>
    <x v="2"/>
    <x v="3"/>
  </r>
  <r>
    <s v="ORD-10120"/>
    <x v="100"/>
    <x v="110"/>
    <x v="2"/>
    <x v="3"/>
    <x v="6"/>
    <x v="3"/>
    <s v="Apparel"/>
    <x v="66"/>
    <n v="1"/>
    <n v="3881.89"/>
    <n v="3687.8"/>
    <x v="3"/>
    <n v="684.54"/>
    <n v="95.61"/>
    <x v="0"/>
    <x v="3"/>
  </r>
  <r>
    <s v="ORD-10318"/>
    <x v="100"/>
    <x v="144"/>
    <x v="1"/>
    <x v="3"/>
    <x v="10"/>
    <x v="5"/>
    <s v="Footwear"/>
    <x v="29"/>
    <n v="4"/>
    <n v="3789.68"/>
    <n v="12126.98"/>
    <x v="5"/>
    <n v="1433.99"/>
    <n v="351.67"/>
    <x v="3"/>
    <x v="3"/>
  </r>
  <r>
    <s v="ORD-10142"/>
    <x v="100"/>
    <x v="145"/>
    <x v="0"/>
    <x v="0"/>
    <x v="0"/>
    <x v="3"/>
    <s v="Apparel"/>
    <x v="18"/>
    <n v="1"/>
    <n v="5373.88"/>
    <n v="5373.88"/>
    <x v="0"/>
    <n v="784.17"/>
    <n v="181.67"/>
    <x v="2"/>
    <x v="0"/>
  </r>
  <r>
    <s v="ORD-10884"/>
    <x v="101"/>
    <x v="146"/>
    <x v="0"/>
    <x v="0"/>
    <x v="12"/>
    <x v="0"/>
    <s v="Cameras"/>
    <x v="0"/>
    <n v="1"/>
    <n v="4816.21"/>
    <n v="4816.21"/>
    <x v="0"/>
    <n v="591.41"/>
    <n v="41.1"/>
    <x v="3"/>
    <x v="0"/>
  </r>
  <r>
    <s v="ORD-10973"/>
    <x v="102"/>
    <x v="147"/>
    <x v="1"/>
    <x v="0"/>
    <x v="4"/>
    <x v="0"/>
    <s v="Headphones"/>
    <x v="81"/>
    <n v="2"/>
    <n v="64522.43"/>
    <n v="129044.86"/>
    <x v="0"/>
    <n v="16148.12"/>
    <n v="310.8"/>
    <x v="0"/>
    <x v="0"/>
  </r>
  <r>
    <s v="ORD-10960"/>
    <x v="102"/>
    <x v="148"/>
    <x v="2"/>
    <x v="0"/>
    <x v="4"/>
    <x v="3"/>
    <s v="Gym Equipment"/>
    <x v="51"/>
    <n v="1"/>
    <n v="13294.22"/>
    <n v="12629.51"/>
    <x v="3"/>
    <n v="1793.01"/>
    <n v="116.6"/>
    <x v="1"/>
    <x v="2"/>
  </r>
  <r>
    <s v="ORD-10397"/>
    <x v="103"/>
    <x v="149"/>
    <x v="2"/>
    <x v="2"/>
    <x v="9"/>
    <x v="3"/>
    <s v="Outdoor Gear"/>
    <x v="82"/>
    <n v="2"/>
    <n v="2184.67"/>
    <n v="4150.87"/>
    <x v="3"/>
    <n v="495.91"/>
    <n v="200.52"/>
    <x v="1"/>
    <x v="3"/>
  </r>
  <r>
    <s v="ORD-10296"/>
    <x v="104"/>
    <x v="150"/>
    <x v="1"/>
    <x v="0"/>
    <x v="0"/>
    <x v="4"/>
    <s v="Fragrances"/>
    <x v="19"/>
    <n v="1"/>
    <n v="1449.59"/>
    <n v="1304.6300000000001"/>
    <x v="2"/>
    <n v="191.5"/>
    <n v="194.48"/>
    <x v="2"/>
    <x v="0"/>
  </r>
  <r>
    <s v="ORD-10341"/>
    <x v="105"/>
    <x v="151"/>
    <x v="2"/>
    <x v="3"/>
    <x v="10"/>
    <x v="4"/>
    <s v="Skincare"/>
    <x v="67"/>
    <n v="5"/>
    <n v="787.98"/>
    <n v="3939.9"/>
    <x v="0"/>
    <n v="1313.93"/>
    <n v="362.38"/>
    <x v="3"/>
    <x v="0"/>
  </r>
  <r>
    <s v="ORD-10072"/>
    <x v="105"/>
    <x v="152"/>
    <x v="0"/>
    <x v="2"/>
    <x v="2"/>
    <x v="5"/>
    <s v="Women's Wear"/>
    <x v="42"/>
    <n v="4"/>
    <n v="1795.09"/>
    <n v="6462.32"/>
    <x v="2"/>
    <n v="1759.3"/>
    <n v="317.51"/>
    <x v="0"/>
    <x v="3"/>
  </r>
  <r>
    <s v="ORD-10480"/>
    <x v="105"/>
    <x v="153"/>
    <x v="0"/>
    <x v="3"/>
    <x v="10"/>
    <x v="2"/>
    <s v="Fiction"/>
    <x v="9"/>
    <n v="2"/>
    <n v="1164.56"/>
    <n v="2329.12"/>
    <x v="0"/>
    <n v="239.6"/>
    <n v="85.79"/>
    <x v="1"/>
    <x v="0"/>
  </r>
  <r>
    <s v="ORD-10806"/>
    <x v="106"/>
    <x v="154"/>
    <x v="2"/>
    <x v="2"/>
    <x v="11"/>
    <x v="1"/>
    <s v="Furniture"/>
    <x v="39"/>
    <n v="1"/>
    <n v="9222.68"/>
    <n v="8761.5499999999993"/>
    <x v="3"/>
    <n v="1393.79"/>
    <n v="79.44"/>
    <x v="4"/>
    <x v="1"/>
  </r>
  <r>
    <s v="ORD-10518"/>
    <x v="106"/>
    <x v="155"/>
    <x v="1"/>
    <x v="3"/>
    <x v="5"/>
    <x v="0"/>
    <s v="Headphones"/>
    <x v="60"/>
    <n v="4"/>
    <n v="38157.19"/>
    <n v="106840.13"/>
    <x v="6"/>
    <n v="-12847.48"/>
    <n v="317.99"/>
    <x v="3"/>
    <x v="2"/>
  </r>
  <r>
    <s v="ORD-10334"/>
    <x v="106"/>
    <x v="156"/>
    <x v="2"/>
    <x v="0"/>
    <x v="4"/>
    <x v="1"/>
    <s v="Appliances"/>
    <x v="7"/>
    <n v="1"/>
    <n v="6654.27"/>
    <n v="5656.13"/>
    <x v="1"/>
    <n v="230.69"/>
    <n v="129.62"/>
    <x v="0"/>
    <x v="2"/>
  </r>
  <r>
    <s v="ORD-10353"/>
    <x v="107"/>
    <x v="157"/>
    <x v="0"/>
    <x v="0"/>
    <x v="0"/>
    <x v="0"/>
    <s v="Cameras"/>
    <x v="8"/>
    <n v="2"/>
    <n v="35652.76"/>
    <n v="60609.69"/>
    <x v="1"/>
    <n v="1608.82"/>
    <n v="215.55"/>
    <x v="1"/>
    <x v="2"/>
  </r>
  <r>
    <s v="ORD-10193"/>
    <x v="108"/>
    <x v="158"/>
    <x v="2"/>
    <x v="0"/>
    <x v="12"/>
    <x v="4"/>
    <s v="Skincare"/>
    <x v="56"/>
    <n v="3"/>
    <n v="1140.0899999999999"/>
    <n v="2394.19"/>
    <x v="6"/>
    <n v="351.43"/>
    <n v="68.67"/>
    <x v="3"/>
    <x v="3"/>
  </r>
  <r>
    <s v="ORD-10279"/>
    <x v="109"/>
    <x v="159"/>
    <x v="2"/>
    <x v="1"/>
    <x v="13"/>
    <x v="5"/>
    <s v="Men's Wear"/>
    <x v="69"/>
    <n v="3"/>
    <n v="1524.98"/>
    <n v="4346.1899999999996"/>
    <x v="3"/>
    <n v="996.54"/>
    <n v="309.55"/>
    <x v="1"/>
    <x v="3"/>
  </r>
  <r>
    <s v="ORD-10858"/>
    <x v="110"/>
    <x v="105"/>
    <x v="0"/>
    <x v="2"/>
    <x v="8"/>
    <x v="4"/>
    <s v="Fragrances"/>
    <x v="19"/>
    <n v="2"/>
    <n v="803.39"/>
    <n v="1526.44"/>
    <x v="3"/>
    <n v="265.81"/>
    <n v="145.18"/>
    <x v="0"/>
    <x v="0"/>
  </r>
  <r>
    <s v="ORD-10389"/>
    <x v="111"/>
    <x v="109"/>
    <x v="2"/>
    <x v="1"/>
    <x v="3"/>
    <x v="5"/>
    <s v="Kids Wear"/>
    <x v="73"/>
    <n v="2"/>
    <n v="930.71"/>
    <n v="1768.35"/>
    <x v="3"/>
    <n v="343.82"/>
    <n v="262.67"/>
    <x v="0"/>
    <x v="2"/>
  </r>
  <r>
    <s v="ORD-10869"/>
    <x v="112"/>
    <x v="160"/>
    <x v="2"/>
    <x v="1"/>
    <x v="3"/>
    <x v="4"/>
    <s v="Haircare"/>
    <x v="53"/>
    <n v="2"/>
    <n v="1165.6500000000001"/>
    <n v="2098.17"/>
    <x v="2"/>
    <n v="551.02"/>
    <n v="293.41000000000003"/>
    <x v="4"/>
    <x v="2"/>
  </r>
  <r>
    <s v="ORD-10987"/>
    <x v="113"/>
    <x v="161"/>
    <x v="2"/>
    <x v="0"/>
    <x v="4"/>
    <x v="3"/>
    <s v="Apparel"/>
    <x v="75"/>
    <n v="3"/>
    <n v="2301.12"/>
    <n v="6558.19"/>
    <x v="3"/>
    <n v="940.62"/>
    <n v="251.78"/>
    <x v="4"/>
    <x v="3"/>
  </r>
  <r>
    <s v="ORD-10443"/>
    <x v="114"/>
    <x v="162"/>
    <x v="0"/>
    <x v="1"/>
    <x v="3"/>
    <x v="0"/>
    <s v="Mobiles"/>
    <x v="62"/>
    <n v="2"/>
    <n v="47136.51"/>
    <n v="89559.37"/>
    <x v="3"/>
    <n v="2583.2600000000002"/>
    <n v="263.8"/>
    <x v="3"/>
    <x v="2"/>
  </r>
  <r>
    <s v="ORD-10776"/>
    <x v="115"/>
    <x v="163"/>
    <x v="2"/>
    <x v="0"/>
    <x v="4"/>
    <x v="1"/>
    <s v="Decor"/>
    <x v="83"/>
    <n v="3"/>
    <n v="748.3"/>
    <n v="2132.66"/>
    <x v="3"/>
    <n v="266.22000000000003"/>
    <n v="347.16"/>
    <x v="2"/>
    <x v="0"/>
  </r>
  <r>
    <s v="ORD-10183"/>
    <x v="115"/>
    <x v="164"/>
    <x v="2"/>
    <x v="0"/>
    <x v="4"/>
    <x v="1"/>
    <s v="Furniture"/>
    <x v="46"/>
    <n v="5"/>
    <n v="3279.43"/>
    <n v="14757.44"/>
    <x v="2"/>
    <n v="889.67"/>
    <n v="100.84"/>
    <x v="0"/>
    <x v="3"/>
  </r>
  <r>
    <s v="ORD-10197"/>
    <x v="116"/>
    <x v="165"/>
    <x v="0"/>
    <x v="2"/>
    <x v="11"/>
    <x v="5"/>
    <s v="Men's Wear"/>
    <x v="21"/>
    <n v="1"/>
    <n v="1160.93"/>
    <n v="812.65"/>
    <x v="6"/>
    <n v="56.61"/>
    <n v="34.159999999999997"/>
    <x v="0"/>
    <x v="3"/>
  </r>
  <r>
    <s v="ORD-10230"/>
    <x v="117"/>
    <x v="148"/>
    <x v="2"/>
    <x v="0"/>
    <x v="12"/>
    <x v="1"/>
    <s v="Furniture"/>
    <x v="39"/>
    <n v="4"/>
    <n v="5092.03"/>
    <n v="17312.900000000001"/>
    <x v="1"/>
    <n v="2782.22"/>
    <n v="258.18"/>
    <x v="1"/>
    <x v="1"/>
  </r>
  <r>
    <s v="ORD-10789"/>
    <x v="118"/>
    <x v="166"/>
    <x v="0"/>
    <x v="1"/>
    <x v="3"/>
    <x v="3"/>
    <s v="Footwear"/>
    <x v="29"/>
    <n v="2"/>
    <n v="5679.81"/>
    <n v="8519.7199999999993"/>
    <x v="4"/>
    <n v="195.96"/>
    <n v="220.12"/>
    <x v="4"/>
    <x v="3"/>
  </r>
  <r>
    <s v="ORD-10820"/>
    <x v="118"/>
    <x v="64"/>
    <x v="2"/>
    <x v="1"/>
    <x v="13"/>
    <x v="3"/>
    <s v="Gym Equipment"/>
    <x v="13"/>
    <n v="1"/>
    <n v="5002.1000000000004"/>
    <n v="4501.8900000000003"/>
    <x v="2"/>
    <n v="1013.56"/>
    <n v="301.39"/>
    <x v="2"/>
    <x v="3"/>
  </r>
  <r>
    <s v="ORD-10899"/>
    <x v="119"/>
    <x v="167"/>
    <x v="2"/>
    <x v="0"/>
    <x v="0"/>
    <x v="5"/>
    <s v="Women's Wear"/>
    <x v="24"/>
    <n v="1"/>
    <n v="3867.67"/>
    <n v="3094.14"/>
    <x v="5"/>
    <n v="265.14"/>
    <n v="327.24"/>
    <x v="1"/>
    <x v="3"/>
  </r>
  <r>
    <s v="ORD-10696"/>
    <x v="119"/>
    <x v="154"/>
    <x v="1"/>
    <x v="1"/>
    <x v="3"/>
    <x v="2"/>
    <s v="Non-Fiction"/>
    <x v="64"/>
    <n v="1"/>
    <n v="361.15"/>
    <n v="361.15"/>
    <x v="0"/>
    <n v="69.69"/>
    <n v="218.87"/>
    <x v="1"/>
    <x v="2"/>
  </r>
  <r>
    <s v="ORD-10857"/>
    <x v="120"/>
    <x v="168"/>
    <x v="2"/>
    <x v="1"/>
    <x v="1"/>
    <x v="2"/>
    <s v="Academic"/>
    <x v="2"/>
    <n v="1"/>
    <n v="180.61"/>
    <n v="162.55000000000001"/>
    <x v="2"/>
    <n v="15.43"/>
    <n v="257.24"/>
    <x v="1"/>
    <x v="0"/>
  </r>
  <r>
    <s v="ORD-10794"/>
    <x v="120"/>
    <x v="75"/>
    <x v="1"/>
    <x v="3"/>
    <x v="6"/>
    <x v="0"/>
    <s v="Headphones"/>
    <x v="15"/>
    <n v="1"/>
    <n v="49844.12"/>
    <n v="42367.5"/>
    <x v="1"/>
    <n v="-131.97"/>
    <n v="70.319999999999993"/>
    <x v="2"/>
    <x v="2"/>
  </r>
  <r>
    <s v="ORD-10797"/>
    <x v="120"/>
    <x v="169"/>
    <x v="2"/>
    <x v="0"/>
    <x v="4"/>
    <x v="5"/>
    <s v="Kids Wear"/>
    <x v="52"/>
    <n v="2"/>
    <n v="893.14"/>
    <n v="1607.65"/>
    <x v="2"/>
    <n v="153.41"/>
    <n v="134.16999999999999"/>
    <x v="0"/>
    <x v="3"/>
  </r>
  <r>
    <s v="ORD-10891"/>
    <x v="120"/>
    <x v="170"/>
    <x v="2"/>
    <x v="1"/>
    <x v="13"/>
    <x v="4"/>
    <s v="Skincare"/>
    <x v="56"/>
    <n v="1"/>
    <n v="1145.74"/>
    <n v="1031.17"/>
    <x v="2"/>
    <n v="132.19"/>
    <n v="210.55"/>
    <x v="3"/>
    <x v="0"/>
  </r>
  <r>
    <s v="ORD-10764"/>
    <x v="121"/>
    <x v="171"/>
    <x v="2"/>
    <x v="1"/>
    <x v="1"/>
    <x v="1"/>
    <s v="Cookware"/>
    <x v="80"/>
    <n v="2"/>
    <n v="8227.52"/>
    <n v="13986.78"/>
    <x v="1"/>
    <n v="1759.09"/>
    <n v="261.81"/>
    <x v="0"/>
    <x v="0"/>
  </r>
  <r>
    <s v="ORD-10317"/>
    <x v="122"/>
    <x v="172"/>
    <x v="2"/>
    <x v="3"/>
    <x v="5"/>
    <x v="0"/>
    <s v="Cameras"/>
    <x v="8"/>
    <n v="1"/>
    <n v="54671.76"/>
    <n v="41003.82"/>
    <x v="4"/>
    <n v="-1741.8"/>
    <n v="189.1"/>
    <x v="3"/>
    <x v="3"/>
  </r>
  <r>
    <s v="ORD-10190"/>
    <x v="123"/>
    <x v="173"/>
    <x v="2"/>
    <x v="0"/>
    <x v="4"/>
    <x v="2"/>
    <s v="Fiction"/>
    <x v="76"/>
    <n v="2"/>
    <n v="711.18"/>
    <n v="1280.1199999999999"/>
    <x v="2"/>
    <n v="122.02"/>
    <n v="198.95"/>
    <x v="3"/>
    <x v="3"/>
  </r>
  <r>
    <s v="ORD-10557"/>
    <x v="123"/>
    <x v="110"/>
    <x v="0"/>
    <x v="2"/>
    <x v="8"/>
    <x v="0"/>
    <s v="Headphones"/>
    <x v="84"/>
    <n v="3"/>
    <n v="7860.98"/>
    <n v="18866.349999999999"/>
    <x v="5"/>
    <n v="1075.01"/>
    <n v="149.71"/>
    <x v="3"/>
    <x v="3"/>
  </r>
  <r>
    <s v="ORD-10838"/>
    <x v="124"/>
    <x v="174"/>
    <x v="2"/>
    <x v="2"/>
    <x v="9"/>
    <x v="4"/>
    <s v="Makeup"/>
    <x v="71"/>
    <n v="2"/>
    <n v="354.64"/>
    <n v="567.41999999999996"/>
    <x v="5"/>
    <n v="83.74"/>
    <n v="235.35"/>
    <x v="1"/>
    <x v="2"/>
  </r>
  <r>
    <s v="ORD-10037"/>
    <x v="125"/>
    <x v="89"/>
    <x v="2"/>
    <x v="2"/>
    <x v="8"/>
    <x v="3"/>
    <s v="Outdoor Gear"/>
    <x v="3"/>
    <n v="2"/>
    <n v="6192.78"/>
    <n v="11766.28"/>
    <x v="3"/>
    <n v="2301.73"/>
    <n v="93.23"/>
    <x v="1"/>
    <x v="3"/>
  </r>
  <r>
    <s v="ORD-10631"/>
    <x v="126"/>
    <x v="93"/>
    <x v="0"/>
    <x v="1"/>
    <x v="13"/>
    <x v="3"/>
    <s v="Apparel"/>
    <x v="75"/>
    <n v="2"/>
    <n v="13448.48"/>
    <n v="25552.11"/>
    <x v="3"/>
    <n v="6146.63"/>
    <n v="197.43"/>
    <x v="1"/>
    <x v="1"/>
  </r>
  <r>
    <s v="ORD-10921"/>
    <x v="127"/>
    <x v="153"/>
    <x v="0"/>
    <x v="1"/>
    <x v="3"/>
    <x v="1"/>
    <s v="Appliances"/>
    <x v="45"/>
    <n v="1"/>
    <n v="11576.37"/>
    <n v="10997.55"/>
    <x v="3"/>
    <n v="1619.99"/>
    <n v="217.38"/>
    <x v="2"/>
    <x v="0"/>
  </r>
  <r>
    <s v="ORD-10390"/>
    <x v="127"/>
    <x v="175"/>
    <x v="2"/>
    <x v="2"/>
    <x v="9"/>
    <x v="5"/>
    <s v="Women's Wear"/>
    <x v="22"/>
    <n v="2"/>
    <n v="656.13"/>
    <n v="1181.03"/>
    <x v="2"/>
    <n v="290.66000000000003"/>
    <n v="274.22000000000003"/>
    <x v="4"/>
    <x v="3"/>
  </r>
  <r>
    <s v="ORD-10388"/>
    <x v="127"/>
    <x v="176"/>
    <x v="2"/>
    <x v="2"/>
    <x v="9"/>
    <x v="0"/>
    <s v="Mobiles"/>
    <x v="72"/>
    <n v="2"/>
    <n v="15680.35"/>
    <n v="26656.6"/>
    <x v="1"/>
    <n v="1494.57"/>
    <n v="329.61"/>
    <x v="2"/>
    <x v="3"/>
  </r>
  <r>
    <s v="ORD-10556"/>
    <x v="128"/>
    <x v="124"/>
    <x v="2"/>
    <x v="0"/>
    <x v="0"/>
    <x v="4"/>
    <s v="Haircare"/>
    <x v="85"/>
    <n v="1"/>
    <n v="1962.07"/>
    <n v="1863.97"/>
    <x v="3"/>
    <n v="410.65"/>
    <n v="300.69"/>
    <x v="1"/>
    <x v="3"/>
  </r>
  <r>
    <s v="ORD-10792"/>
    <x v="128"/>
    <x v="177"/>
    <x v="0"/>
    <x v="0"/>
    <x v="0"/>
    <x v="3"/>
    <s v="Gym Equipment"/>
    <x v="13"/>
    <n v="1"/>
    <n v="7566.14"/>
    <n v="5296.3"/>
    <x v="6"/>
    <n v="12.7"/>
    <n v="184.62"/>
    <x v="3"/>
    <x v="0"/>
  </r>
  <r>
    <s v="ORD-10810"/>
    <x v="128"/>
    <x v="178"/>
    <x v="0"/>
    <x v="1"/>
    <x v="1"/>
    <x v="3"/>
    <s v="Apparel"/>
    <x v="75"/>
    <n v="3"/>
    <n v="7211.04"/>
    <n v="20551.46"/>
    <x v="3"/>
    <n v="1304.44"/>
    <n v="307.54000000000002"/>
    <x v="2"/>
    <x v="3"/>
  </r>
  <r>
    <s v="ORD-10342"/>
    <x v="129"/>
    <x v="57"/>
    <x v="2"/>
    <x v="2"/>
    <x v="11"/>
    <x v="3"/>
    <s v="Apparel"/>
    <x v="75"/>
    <n v="3"/>
    <n v="12209.61"/>
    <n v="36628.83"/>
    <x v="0"/>
    <n v="5653.76"/>
    <n v="305.33"/>
    <x v="3"/>
    <x v="2"/>
  </r>
  <r>
    <s v="ORD-10864"/>
    <x v="129"/>
    <x v="179"/>
    <x v="2"/>
    <x v="1"/>
    <x v="13"/>
    <x v="3"/>
    <s v="Gym Equipment"/>
    <x v="57"/>
    <n v="1"/>
    <n v="8745.07"/>
    <n v="8745.07"/>
    <x v="0"/>
    <n v="1043.8699999999999"/>
    <n v="134.07"/>
    <x v="1"/>
    <x v="3"/>
  </r>
  <r>
    <s v="ORD-10107"/>
    <x v="130"/>
    <x v="11"/>
    <x v="1"/>
    <x v="1"/>
    <x v="13"/>
    <x v="1"/>
    <s v="Appliances"/>
    <x v="40"/>
    <n v="1"/>
    <n v="11061.74"/>
    <n v="10508.65"/>
    <x v="3"/>
    <n v="2019.54"/>
    <n v="54.14"/>
    <x v="3"/>
    <x v="2"/>
  </r>
  <r>
    <s v="ORD-10918"/>
    <x v="131"/>
    <x v="180"/>
    <x v="2"/>
    <x v="2"/>
    <x v="2"/>
    <x v="1"/>
    <s v="Decor"/>
    <x v="61"/>
    <n v="1"/>
    <n v="7042.66"/>
    <n v="6690.53"/>
    <x v="3"/>
    <n v="1478.12"/>
    <n v="112.16"/>
    <x v="4"/>
    <x v="3"/>
  </r>
  <r>
    <s v="ORD-10719"/>
    <x v="132"/>
    <x v="181"/>
    <x v="1"/>
    <x v="2"/>
    <x v="11"/>
    <x v="3"/>
    <s v="Footwear"/>
    <x v="11"/>
    <n v="1"/>
    <n v="10555.59"/>
    <n v="10555.59"/>
    <x v="0"/>
    <n v="2511"/>
    <n v="170.51"/>
    <x v="3"/>
    <x v="0"/>
  </r>
  <r>
    <s v="ORD-10599"/>
    <x v="132"/>
    <x v="86"/>
    <x v="2"/>
    <x v="1"/>
    <x v="13"/>
    <x v="2"/>
    <s v="Comics"/>
    <x v="43"/>
    <n v="1"/>
    <n v="934.82"/>
    <n v="934.82"/>
    <x v="0"/>
    <n v="107.74"/>
    <n v="336.49"/>
    <x v="1"/>
    <x v="3"/>
  </r>
  <r>
    <s v="ORD-10910"/>
    <x v="133"/>
    <x v="182"/>
    <x v="0"/>
    <x v="3"/>
    <x v="10"/>
    <x v="4"/>
    <s v="Haircare"/>
    <x v="77"/>
    <n v="2"/>
    <n v="471.9"/>
    <n v="943.8"/>
    <x v="0"/>
    <n v="277.81"/>
    <n v="45.01"/>
    <x v="3"/>
    <x v="3"/>
  </r>
  <r>
    <s v="ORD-10477"/>
    <x v="134"/>
    <x v="77"/>
    <x v="2"/>
    <x v="1"/>
    <x v="13"/>
    <x v="1"/>
    <s v="Furniture"/>
    <x v="39"/>
    <n v="3"/>
    <n v="3419.33"/>
    <n v="8719.2900000000009"/>
    <x v="1"/>
    <n v="903.62"/>
    <n v="239.34"/>
    <x v="3"/>
    <x v="3"/>
  </r>
  <r>
    <s v="ORD-10671"/>
    <x v="135"/>
    <x v="183"/>
    <x v="1"/>
    <x v="3"/>
    <x v="5"/>
    <x v="3"/>
    <s v="Apparel"/>
    <x v="75"/>
    <n v="1"/>
    <n v="9589.76"/>
    <n v="8630.7800000000007"/>
    <x v="2"/>
    <n v="2016.04"/>
    <n v="76.06"/>
    <x v="3"/>
    <x v="3"/>
  </r>
  <r>
    <s v="ORD-10289"/>
    <x v="135"/>
    <x v="31"/>
    <x v="2"/>
    <x v="3"/>
    <x v="7"/>
    <x v="5"/>
    <s v="Men's Wear"/>
    <x v="21"/>
    <n v="3"/>
    <n v="2599.89"/>
    <n v="6629.72"/>
    <x v="1"/>
    <n v="796.24"/>
    <n v="265.94"/>
    <x v="2"/>
    <x v="2"/>
  </r>
  <r>
    <s v="ORD-10045"/>
    <x v="135"/>
    <x v="184"/>
    <x v="0"/>
    <x v="1"/>
    <x v="13"/>
    <x v="0"/>
    <s v="Cameras"/>
    <x v="0"/>
    <n v="1"/>
    <n v="58435.63"/>
    <n v="49670.29"/>
    <x v="1"/>
    <n v="1118.81"/>
    <n v="235.45"/>
    <x v="2"/>
    <x v="0"/>
  </r>
  <r>
    <s v="ORD-10355"/>
    <x v="136"/>
    <x v="185"/>
    <x v="2"/>
    <x v="2"/>
    <x v="9"/>
    <x v="3"/>
    <s v="Footwear"/>
    <x v="33"/>
    <n v="1"/>
    <n v="14933.79"/>
    <n v="12693.72"/>
    <x v="1"/>
    <n v="157.96"/>
    <n v="215.75"/>
    <x v="3"/>
    <x v="3"/>
  </r>
  <r>
    <s v="ORD-10793"/>
    <x v="137"/>
    <x v="186"/>
    <x v="2"/>
    <x v="1"/>
    <x v="1"/>
    <x v="1"/>
    <s v="Furniture"/>
    <x v="10"/>
    <n v="2"/>
    <n v="8033.76"/>
    <n v="13657.39"/>
    <x v="1"/>
    <n v="1369.34"/>
    <n v="84.43"/>
    <x v="1"/>
    <x v="0"/>
  </r>
  <r>
    <s v="ORD-10416"/>
    <x v="137"/>
    <x v="187"/>
    <x v="2"/>
    <x v="1"/>
    <x v="13"/>
    <x v="4"/>
    <s v="Haircare"/>
    <x v="77"/>
    <n v="1"/>
    <n v="2491.5700000000002"/>
    <n v="1868.68"/>
    <x v="4"/>
    <n v="202.05"/>
    <n v="147.86000000000001"/>
    <x v="4"/>
    <x v="0"/>
  </r>
  <r>
    <s v="ORD-10685"/>
    <x v="138"/>
    <x v="188"/>
    <x v="2"/>
    <x v="3"/>
    <x v="6"/>
    <x v="0"/>
    <s v="Mobiles"/>
    <x v="74"/>
    <n v="2"/>
    <n v="14216.77"/>
    <n v="21325.15"/>
    <x v="4"/>
    <n v="63.42"/>
    <n v="61.01"/>
    <x v="1"/>
    <x v="0"/>
  </r>
  <r>
    <s v="ORD-10515"/>
    <x v="139"/>
    <x v="189"/>
    <x v="2"/>
    <x v="3"/>
    <x v="5"/>
    <x v="3"/>
    <s v="Footwear"/>
    <x v="29"/>
    <n v="2"/>
    <n v="12187.53"/>
    <n v="24375.06"/>
    <x v="0"/>
    <n v="4662.17"/>
    <n v="306.35000000000002"/>
    <x v="2"/>
    <x v="2"/>
  </r>
  <r>
    <s v="ORD-10383"/>
    <x v="139"/>
    <x v="190"/>
    <x v="0"/>
    <x v="1"/>
    <x v="3"/>
    <x v="5"/>
    <s v="Women's Wear"/>
    <x v="86"/>
    <n v="1"/>
    <n v="1135.2"/>
    <n v="1078.44"/>
    <x v="3"/>
    <n v="130.06"/>
    <n v="236.75"/>
    <x v="0"/>
    <x v="2"/>
  </r>
  <r>
    <s v="ORD-10244"/>
    <x v="140"/>
    <x v="191"/>
    <x v="2"/>
    <x v="3"/>
    <x v="5"/>
    <x v="3"/>
    <s v="Apparel"/>
    <x v="75"/>
    <n v="1"/>
    <n v="13497.44"/>
    <n v="12822.57"/>
    <x v="3"/>
    <n v="1813.92"/>
    <n v="178.28"/>
    <x v="3"/>
    <x v="1"/>
  </r>
  <r>
    <s v="ORD-10545"/>
    <x v="140"/>
    <x v="192"/>
    <x v="1"/>
    <x v="0"/>
    <x v="12"/>
    <x v="1"/>
    <s v="Cookware"/>
    <x v="1"/>
    <n v="3"/>
    <n v="5518.2"/>
    <n v="14899.14"/>
    <x v="2"/>
    <n v="2340.7199999999998"/>
    <n v="175.93"/>
    <x v="1"/>
    <x v="0"/>
  </r>
  <r>
    <s v="ORD-10022"/>
    <x v="141"/>
    <x v="193"/>
    <x v="2"/>
    <x v="1"/>
    <x v="1"/>
    <x v="3"/>
    <s v="Apparel"/>
    <x v="5"/>
    <n v="2"/>
    <n v="3807.18"/>
    <n v="5710.77"/>
    <x v="4"/>
    <n v="101.33"/>
    <n v="126.94"/>
    <x v="1"/>
    <x v="0"/>
  </r>
  <r>
    <s v="ORD-10242"/>
    <x v="141"/>
    <x v="194"/>
    <x v="1"/>
    <x v="1"/>
    <x v="3"/>
    <x v="0"/>
    <s v="Mobiles"/>
    <x v="62"/>
    <n v="2"/>
    <n v="3543.5"/>
    <n v="7087"/>
    <x v="0"/>
    <n v="734.91"/>
    <n v="351.33"/>
    <x v="4"/>
    <x v="3"/>
  </r>
  <r>
    <s v="ORD-10575"/>
    <x v="141"/>
    <x v="195"/>
    <x v="2"/>
    <x v="3"/>
    <x v="5"/>
    <x v="2"/>
    <s v="Academic"/>
    <x v="38"/>
    <n v="1"/>
    <n v="742.86"/>
    <n v="705.72"/>
    <x v="3"/>
    <n v="54.96"/>
    <n v="111.35"/>
    <x v="2"/>
    <x v="3"/>
  </r>
  <r>
    <s v="ORD-10394"/>
    <x v="142"/>
    <x v="196"/>
    <x v="2"/>
    <x v="1"/>
    <x v="3"/>
    <x v="0"/>
    <s v="Headphones"/>
    <x v="81"/>
    <n v="2"/>
    <n v="58549.87"/>
    <n v="105389.77"/>
    <x v="2"/>
    <n v="8004.11"/>
    <n v="295.39999999999998"/>
    <x v="1"/>
    <x v="2"/>
  </r>
  <r>
    <s v="ORD-10103"/>
    <x v="142"/>
    <x v="197"/>
    <x v="0"/>
    <x v="3"/>
    <x v="7"/>
    <x v="4"/>
    <s v="Fragrances"/>
    <x v="35"/>
    <n v="3"/>
    <n v="1514.39"/>
    <n v="3861.69"/>
    <x v="1"/>
    <n v="898.22"/>
    <n v="323.29000000000002"/>
    <x v="3"/>
    <x v="3"/>
  </r>
  <r>
    <s v="ORD-10191"/>
    <x v="143"/>
    <x v="152"/>
    <x v="2"/>
    <x v="1"/>
    <x v="1"/>
    <x v="5"/>
    <s v="Kids Wear"/>
    <x v="52"/>
    <n v="1"/>
    <n v="2650.49"/>
    <n v="2650.49"/>
    <x v="0"/>
    <n v="537.69000000000005"/>
    <n v="305.77"/>
    <x v="0"/>
    <x v="0"/>
  </r>
  <r>
    <s v="ORD-10777"/>
    <x v="144"/>
    <x v="198"/>
    <x v="1"/>
    <x v="0"/>
    <x v="4"/>
    <x v="3"/>
    <s v="Footwear"/>
    <x v="29"/>
    <n v="4"/>
    <n v="14610.06"/>
    <n v="52596.22"/>
    <x v="2"/>
    <n v="10499.51"/>
    <n v="94.97"/>
    <x v="1"/>
    <x v="3"/>
  </r>
  <r>
    <s v="ORD-10075"/>
    <x v="144"/>
    <x v="199"/>
    <x v="0"/>
    <x v="1"/>
    <x v="3"/>
    <x v="1"/>
    <s v="Cookware"/>
    <x v="80"/>
    <n v="3"/>
    <n v="577.53"/>
    <n v="1299.44"/>
    <x v="4"/>
    <n v="39.1"/>
    <n v="232.6"/>
    <x v="1"/>
    <x v="0"/>
  </r>
  <r>
    <s v="ORD-10894"/>
    <x v="145"/>
    <x v="200"/>
    <x v="2"/>
    <x v="1"/>
    <x v="3"/>
    <x v="2"/>
    <s v="Non-Fiction"/>
    <x v="64"/>
    <n v="1"/>
    <n v="666.84"/>
    <n v="466.79"/>
    <x v="6"/>
    <n v="42.69"/>
    <n v="92.4"/>
    <x v="3"/>
    <x v="0"/>
  </r>
  <r>
    <s v="ORD-10201"/>
    <x v="146"/>
    <x v="201"/>
    <x v="1"/>
    <x v="0"/>
    <x v="12"/>
    <x v="4"/>
    <s v="Haircare"/>
    <x v="53"/>
    <n v="3"/>
    <n v="2180.46"/>
    <n v="6541.38"/>
    <x v="0"/>
    <n v="1715.47"/>
    <n v="241.05"/>
    <x v="3"/>
    <x v="2"/>
  </r>
  <r>
    <s v="ORD-10818"/>
    <x v="147"/>
    <x v="202"/>
    <x v="1"/>
    <x v="2"/>
    <x v="8"/>
    <x v="4"/>
    <s v="Skincare"/>
    <x v="26"/>
    <n v="4"/>
    <n v="1162.74"/>
    <n v="3255.67"/>
    <x v="6"/>
    <n v="192.34"/>
    <n v="168.61"/>
    <x v="3"/>
    <x v="1"/>
  </r>
  <r>
    <s v="ORD-10475"/>
    <x v="147"/>
    <x v="203"/>
    <x v="2"/>
    <x v="0"/>
    <x v="12"/>
    <x v="3"/>
    <s v="Apparel"/>
    <x v="5"/>
    <n v="4"/>
    <n v="11530.23"/>
    <n v="41508.83"/>
    <x v="2"/>
    <n v="8837.14"/>
    <n v="364.15"/>
    <x v="4"/>
    <x v="0"/>
  </r>
  <r>
    <s v="ORD-10882"/>
    <x v="148"/>
    <x v="204"/>
    <x v="2"/>
    <x v="2"/>
    <x v="8"/>
    <x v="4"/>
    <s v="Fragrances"/>
    <x v="79"/>
    <n v="4"/>
    <n v="1795.75"/>
    <n v="6464.7"/>
    <x v="2"/>
    <n v="1301.08"/>
    <n v="251.88"/>
    <x v="1"/>
    <x v="2"/>
  </r>
  <r>
    <s v="ORD-10544"/>
    <x v="148"/>
    <x v="205"/>
    <x v="2"/>
    <x v="3"/>
    <x v="7"/>
    <x v="1"/>
    <s v="Decor"/>
    <x v="83"/>
    <n v="1"/>
    <n v="3715.09"/>
    <n v="3529.34"/>
    <x v="3"/>
    <n v="819.08"/>
    <n v="95.03"/>
    <x v="3"/>
    <x v="0"/>
  </r>
  <r>
    <s v="ORD-10168"/>
    <x v="148"/>
    <x v="206"/>
    <x v="2"/>
    <x v="1"/>
    <x v="1"/>
    <x v="2"/>
    <s v="Fiction"/>
    <x v="87"/>
    <n v="1"/>
    <n v="629.85"/>
    <n v="535.37"/>
    <x v="1"/>
    <n v="39.1"/>
    <n v="223.27"/>
    <x v="3"/>
    <x v="0"/>
  </r>
  <r>
    <s v="ORD-10303"/>
    <x v="149"/>
    <x v="207"/>
    <x v="2"/>
    <x v="3"/>
    <x v="7"/>
    <x v="0"/>
    <s v="Laptops"/>
    <x v="88"/>
    <n v="2"/>
    <n v="1776.14"/>
    <n v="3552.28"/>
    <x v="0"/>
    <n v="660.15"/>
    <n v="171.93"/>
    <x v="0"/>
    <x v="0"/>
  </r>
  <r>
    <s v="ORD-10159"/>
    <x v="149"/>
    <x v="169"/>
    <x v="1"/>
    <x v="2"/>
    <x v="8"/>
    <x v="1"/>
    <s v="Decor"/>
    <x v="70"/>
    <n v="4"/>
    <n v="2738.88"/>
    <n v="9859.9699999999993"/>
    <x v="2"/>
    <n v="1026.19"/>
    <n v="335.66"/>
    <x v="0"/>
    <x v="3"/>
  </r>
  <r>
    <s v="ORD-10752"/>
    <x v="150"/>
    <x v="208"/>
    <x v="1"/>
    <x v="2"/>
    <x v="11"/>
    <x v="0"/>
    <s v="Accessories"/>
    <x v="89"/>
    <n v="3"/>
    <n v="7218.09"/>
    <n v="18406.13"/>
    <x v="1"/>
    <n v="-84.91"/>
    <n v="299.36"/>
    <x v="3"/>
    <x v="3"/>
  </r>
  <r>
    <s v="ORD-10097"/>
    <x v="150"/>
    <x v="209"/>
    <x v="0"/>
    <x v="3"/>
    <x v="6"/>
    <x v="1"/>
    <s v="Furniture"/>
    <x v="10"/>
    <n v="2"/>
    <n v="1375.64"/>
    <n v="2751.28"/>
    <x v="0"/>
    <n v="435.62"/>
    <n v="308"/>
    <x v="4"/>
    <x v="3"/>
  </r>
  <r>
    <s v="ORD-10860"/>
    <x v="150"/>
    <x v="177"/>
    <x v="1"/>
    <x v="0"/>
    <x v="0"/>
    <x v="5"/>
    <s v="Men's Wear"/>
    <x v="21"/>
    <n v="4"/>
    <n v="2531.4299999999998"/>
    <n v="9113.15"/>
    <x v="2"/>
    <n v="1773.75"/>
    <n v="291.77999999999997"/>
    <x v="1"/>
    <x v="0"/>
  </r>
  <r>
    <s v="ORD-10815"/>
    <x v="151"/>
    <x v="210"/>
    <x v="2"/>
    <x v="0"/>
    <x v="4"/>
    <x v="3"/>
    <s v="Apparel"/>
    <x v="5"/>
    <n v="1"/>
    <n v="3277.67"/>
    <n v="3113.79"/>
    <x v="3"/>
    <n v="544.78"/>
    <n v="238.49"/>
    <x v="3"/>
    <x v="0"/>
  </r>
  <r>
    <s v="ORD-10974"/>
    <x v="152"/>
    <x v="211"/>
    <x v="0"/>
    <x v="3"/>
    <x v="7"/>
    <x v="0"/>
    <s v="Accessories"/>
    <x v="27"/>
    <n v="1"/>
    <n v="41439.769999999997"/>
    <n v="41439.769999999997"/>
    <x v="0"/>
    <n v="3422.32"/>
    <n v="266.7"/>
    <x v="2"/>
    <x v="0"/>
  </r>
  <r>
    <s v="ORD-10868"/>
    <x v="152"/>
    <x v="22"/>
    <x v="2"/>
    <x v="0"/>
    <x v="12"/>
    <x v="3"/>
    <s v="Footwear"/>
    <x v="33"/>
    <n v="1"/>
    <n v="3252.1"/>
    <n v="2764.28"/>
    <x v="1"/>
    <n v="454.41"/>
    <n v="51.02"/>
    <x v="3"/>
    <x v="2"/>
  </r>
  <r>
    <s v="ORD-10108"/>
    <x v="152"/>
    <x v="212"/>
    <x v="2"/>
    <x v="3"/>
    <x v="7"/>
    <x v="0"/>
    <s v="Laptops"/>
    <x v="90"/>
    <n v="1"/>
    <n v="15032.42"/>
    <n v="11274.32"/>
    <x v="4"/>
    <n v="-1164.82"/>
    <n v="124.24"/>
    <x v="1"/>
    <x v="3"/>
  </r>
  <r>
    <s v="ORD-10576"/>
    <x v="153"/>
    <x v="34"/>
    <x v="2"/>
    <x v="0"/>
    <x v="0"/>
    <x v="5"/>
    <s v="Women's Wear"/>
    <x v="24"/>
    <n v="4"/>
    <n v="3098.82"/>
    <n v="10535.99"/>
    <x v="1"/>
    <n v="1585.92"/>
    <n v="384.14"/>
    <x v="1"/>
    <x v="0"/>
  </r>
  <r>
    <s v="ORD-10758"/>
    <x v="153"/>
    <x v="213"/>
    <x v="2"/>
    <x v="1"/>
    <x v="13"/>
    <x v="3"/>
    <s v="Outdoor Gear"/>
    <x v="3"/>
    <n v="1"/>
    <n v="428.32"/>
    <n v="428.32"/>
    <x v="0"/>
    <n v="109.51"/>
    <n v="330.29"/>
    <x v="3"/>
    <x v="2"/>
  </r>
  <r>
    <s v="ORD-10205"/>
    <x v="153"/>
    <x v="214"/>
    <x v="1"/>
    <x v="1"/>
    <x v="3"/>
    <x v="3"/>
    <s v="Gym Equipment"/>
    <x v="57"/>
    <n v="1"/>
    <n v="6527.96"/>
    <n v="5548.77"/>
    <x v="1"/>
    <n v="916.39"/>
    <n v="293.23"/>
    <x v="4"/>
    <x v="0"/>
  </r>
  <r>
    <s v="ORD-10837"/>
    <x v="154"/>
    <x v="215"/>
    <x v="2"/>
    <x v="1"/>
    <x v="13"/>
    <x v="0"/>
    <s v="Headphones"/>
    <x v="15"/>
    <n v="3"/>
    <n v="6027.18"/>
    <n v="17177.46"/>
    <x v="3"/>
    <n v="574.12"/>
    <n v="247.23"/>
    <x v="0"/>
    <x v="3"/>
  </r>
  <r>
    <s v="ORD-10870"/>
    <x v="154"/>
    <x v="216"/>
    <x v="2"/>
    <x v="2"/>
    <x v="2"/>
    <x v="5"/>
    <s v="Footwear"/>
    <x v="33"/>
    <n v="2"/>
    <n v="2674.76"/>
    <n v="4814.57"/>
    <x v="2"/>
    <n v="768.8"/>
    <n v="186.52"/>
    <x v="3"/>
    <x v="0"/>
  </r>
  <r>
    <s v="ORD-10775"/>
    <x v="155"/>
    <x v="217"/>
    <x v="2"/>
    <x v="0"/>
    <x v="4"/>
    <x v="1"/>
    <s v="Cookware"/>
    <x v="80"/>
    <n v="2"/>
    <n v="8328.06"/>
    <n v="16656.12"/>
    <x v="0"/>
    <n v="4008.15"/>
    <n v="328.07"/>
    <x v="0"/>
    <x v="3"/>
  </r>
  <r>
    <s v="ORD-10991"/>
    <x v="156"/>
    <x v="47"/>
    <x v="2"/>
    <x v="2"/>
    <x v="11"/>
    <x v="1"/>
    <s v="Appliances"/>
    <x v="45"/>
    <n v="1"/>
    <n v="4595.1099999999997"/>
    <n v="4135.6000000000004"/>
    <x v="2"/>
    <n v="421.26"/>
    <n v="235.47"/>
    <x v="3"/>
    <x v="0"/>
  </r>
  <r>
    <s v="ORD-10283"/>
    <x v="157"/>
    <x v="218"/>
    <x v="2"/>
    <x v="3"/>
    <x v="10"/>
    <x v="5"/>
    <s v="Footwear"/>
    <x v="37"/>
    <n v="1"/>
    <n v="1671.14"/>
    <n v="1253.3599999999999"/>
    <x v="4"/>
    <n v="32.82"/>
    <n v="142.19999999999999"/>
    <x v="4"/>
    <x v="3"/>
  </r>
  <r>
    <s v="ORD-10387"/>
    <x v="157"/>
    <x v="219"/>
    <x v="2"/>
    <x v="3"/>
    <x v="6"/>
    <x v="4"/>
    <s v="Haircare"/>
    <x v="53"/>
    <n v="1"/>
    <n v="288.38"/>
    <n v="259.54000000000002"/>
    <x v="2"/>
    <n v="55.95"/>
    <n v="233.9"/>
    <x v="3"/>
    <x v="0"/>
  </r>
  <r>
    <s v="ORD-10934"/>
    <x v="158"/>
    <x v="220"/>
    <x v="2"/>
    <x v="3"/>
    <x v="10"/>
    <x v="2"/>
    <s v="Fiction"/>
    <x v="76"/>
    <n v="3"/>
    <n v="830.65"/>
    <n v="2491.9499999999998"/>
    <x v="0"/>
    <n v="370.01"/>
    <n v="79.66"/>
    <x v="1"/>
    <x v="3"/>
  </r>
  <r>
    <s v="ORD-10799"/>
    <x v="159"/>
    <x v="134"/>
    <x v="1"/>
    <x v="3"/>
    <x v="5"/>
    <x v="1"/>
    <s v="Cookware"/>
    <x v="80"/>
    <n v="4"/>
    <n v="7026.62"/>
    <n v="25295.83"/>
    <x v="2"/>
    <n v="2592.8000000000002"/>
    <n v="330.27"/>
    <x v="1"/>
    <x v="2"/>
  </r>
  <r>
    <s v="ORD-10999"/>
    <x v="159"/>
    <x v="219"/>
    <x v="2"/>
    <x v="2"/>
    <x v="8"/>
    <x v="4"/>
    <s v="Haircare"/>
    <x v="77"/>
    <n v="3"/>
    <n v="1723.91"/>
    <n v="5171.7299999999996"/>
    <x v="0"/>
    <n v="1494.06"/>
    <n v="321.14999999999998"/>
    <x v="2"/>
    <x v="0"/>
  </r>
  <r>
    <s v="ORD-10623"/>
    <x v="159"/>
    <x v="133"/>
    <x v="2"/>
    <x v="1"/>
    <x v="3"/>
    <x v="4"/>
    <s v="Skincare"/>
    <x v="67"/>
    <n v="1"/>
    <n v="2314.92"/>
    <n v="2199.17"/>
    <x v="3"/>
    <n v="478.39"/>
    <n v="155.59"/>
    <x v="3"/>
    <x v="0"/>
  </r>
  <r>
    <s v="ORD-10297"/>
    <x v="160"/>
    <x v="221"/>
    <x v="2"/>
    <x v="3"/>
    <x v="6"/>
    <x v="3"/>
    <s v="Outdoor Gear"/>
    <x v="12"/>
    <n v="3"/>
    <n v="10975.02"/>
    <n v="26340.05"/>
    <x v="5"/>
    <n v="3527.83"/>
    <n v="348.22"/>
    <x v="3"/>
    <x v="3"/>
  </r>
  <r>
    <s v="ORD-10826"/>
    <x v="160"/>
    <x v="222"/>
    <x v="2"/>
    <x v="0"/>
    <x v="4"/>
    <x v="4"/>
    <s v="Fragrances"/>
    <x v="35"/>
    <n v="1"/>
    <n v="211.56"/>
    <n v="211.56"/>
    <x v="0"/>
    <n v="64.37"/>
    <n v="49.23"/>
    <x v="4"/>
    <x v="2"/>
  </r>
  <r>
    <s v="ORD-10232"/>
    <x v="161"/>
    <x v="189"/>
    <x v="2"/>
    <x v="0"/>
    <x v="0"/>
    <x v="4"/>
    <s v="Haircare"/>
    <x v="77"/>
    <n v="1"/>
    <n v="2211.81"/>
    <n v="2211.81"/>
    <x v="0"/>
    <n v="597.6"/>
    <n v="199.26"/>
    <x v="1"/>
    <x v="3"/>
  </r>
  <r>
    <s v="ORD-10722"/>
    <x v="161"/>
    <x v="91"/>
    <x v="2"/>
    <x v="3"/>
    <x v="10"/>
    <x v="1"/>
    <s v="Furniture"/>
    <x v="44"/>
    <n v="1"/>
    <n v="5901.36"/>
    <n v="5901.36"/>
    <x v="0"/>
    <n v="1455.97"/>
    <n v="209.42"/>
    <x v="1"/>
    <x v="2"/>
  </r>
  <r>
    <s v="ORD-10801"/>
    <x v="162"/>
    <x v="223"/>
    <x v="0"/>
    <x v="1"/>
    <x v="1"/>
    <x v="3"/>
    <s v="Gym Equipment"/>
    <x v="51"/>
    <n v="2"/>
    <n v="5296.56"/>
    <n v="10063.459999999999"/>
    <x v="3"/>
    <n v="1778.92"/>
    <n v="212.02"/>
    <x v="0"/>
    <x v="0"/>
  </r>
  <r>
    <s v="ORD-10115"/>
    <x v="163"/>
    <x v="224"/>
    <x v="1"/>
    <x v="1"/>
    <x v="3"/>
    <x v="1"/>
    <s v="Furniture"/>
    <x v="39"/>
    <n v="1"/>
    <n v="7141.49"/>
    <n v="6784.42"/>
    <x v="3"/>
    <n v="1065.8499999999999"/>
    <n v="82.75"/>
    <x v="0"/>
    <x v="2"/>
  </r>
  <r>
    <s v="ORD-10077"/>
    <x v="164"/>
    <x v="193"/>
    <x v="2"/>
    <x v="2"/>
    <x v="11"/>
    <x v="2"/>
    <s v="Comics"/>
    <x v="43"/>
    <n v="3"/>
    <n v="177.84"/>
    <n v="533.52"/>
    <x v="0"/>
    <n v="97.29"/>
    <n v="244.15"/>
    <x v="0"/>
    <x v="0"/>
  </r>
  <r>
    <s v="ORD-10873"/>
    <x v="164"/>
    <x v="225"/>
    <x v="1"/>
    <x v="0"/>
    <x v="0"/>
    <x v="2"/>
    <s v="Fiction"/>
    <x v="9"/>
    <n v="4"/>
    <n v="1122.79"/>
    <n v="3143.81"/>
    <x v="6"/>
    <n v="-187.67"/>
    <n v="87.61"/>
    <x v="2"/>
    <x v="0"/>
  </r>
  <r>
    <s v="ORD-10951"/>
    <x v="165"/>
    <x v="125"/>
    <x v="2"/>
    <x v="1"/>
    <x v="3"/>
    <x v="3"/>
    <s v="Apparel"/>
    <x v="66"/>
    <n v="2"/>
    <n v="3123.01"/>
    <n v="5309.12"/>
    <x v="1"/>
    <n v="1013.61"/>
    <n v="334.77"/>
    <x v="3"/>
    <x v="0"/>
  </r>
  <r>
    <s v="ORD-10567"/>
    <x v="166"/>
    <x v="221"/>
    <x v="2"/>
    <x v="2"/>
    <x v="8"/>
    <x v="1"/>
    <s v="Decor"/>
    <x v="23"/>
    <n v="1"/>
    <n v="2057.36"/>
    <n v="1851.62"/>
    <x v="2"/>
    <n v="153.80000000000001"/>
    <n v="188.94"/>
    <x v="1"/>
    <x v="3"/>
  </r>
  <r>
    <s v="ORD-10155"/>
    <x v="167"/>
    <x v="176"/>
    <x v="2"/>
    <x v="1"/>
    <x v="13"/>
    <x v="0"/>
    <s v="Accessories"/>
    <x v="50"/>
    <n v="5"/>
    <n v="5243.32"/>
    <n v="24905.77"/>
    <x v="3"/>
    <n v="993.78"/>
    <n v="308.08"/>
    <x v="1"/>
    <x v="1"/>
  </r>
  <r>
    <s v="ORD-10650"/>
    <x v="168"/>
    <x v="226"/>
    <x v="2"/>
    <x v="3"/>
    <x v="10"/>
    <x v="1"/>
    <s v="Furniture"/>
    <x v="44"/>
    <n v="2"/>
    <n v="8115.7"/>
    <n v="14608.26"/>
    <x v="2"/>
    <n v="2147.4299999999998"/>
    <n v="95.34"/>
    <x v="1"/>
    <x v="3"/>
  </r>
  <r>
    <s v="ORD-10875"/>
    <x v="168"/>
    <x v="227"/>
    <x v="2"/>
    <x v="3"/>
    <x v="6"/>
    <x v="5"/>
    <s v="Women's Wear"/>
    <x v="24"/>
    <n v="2"/>
    <n v="3582.79"/>
    <n v="6090.74"/>
    <x v="1"/>
    <n v="457.09"/>
    <n v="268.27"/>
    <x v="1"/>
    <x v="0"/>
  </r>
  <r>
    <s v="ORD-10251"/>
    <x v="168"/>
    <x v="228"/>
    <x v="0"/>
    <x v="3"/>
    <x v="6"/>
    <x v="2"/>
    <s v="Non-Fiction"/>
    <x v="64"/>
    <n v="3"/>
    <n v="697.32"/>
    <n v="1673.57"/>
    <x v="5"/>
    <n v="18.55"/>
    <n v="110.35"/>
    <x v="3"/>
    <x v="0"/>
  </r>
  <r>
    <s v="ORD-10528"/>
    <x v="168"/>
    <x v="57"/>
    <x v="2"/>
    <x v="2"/>
    <x v="11"/>
    <x v="2"/>
    <s v="Comics"/>
    <x v="43"/>
    <n v="2"/>
    <n v="944.02"/>
    <n v="1793.64"/>
    <x v="3"/>
    <n v="182.05"/>
    <n v="191.73"/>
    <x v="4"/>
    <x v="0"/>
  </r>
  <r>
    <s v="ORD-10336"/>
    <x v="169"/>
    <x v="229"/>
    <x v="0"/>
    <x v="1"/>
    <x v="13"/>
    <x v="5"/>
    <s v="Kids Wear"/>
    <x v="65"/>
    <n v="2"/>
    <n v="3160.69"/>
    <n v="6005.31"/>
    <x v="3"/>
    <n v="1121.07"/>
    <n v="103.06"/>
    <x v="3"/>
    <x v="0"/>
  </r>
  <r>
    <s v="ORD-10813"/>
    <x v="170"/>
    <x v="130"/>
    <x v="2"/>
    <x v="3"/>
    <x v="7"/>
    <x v="4"/>
    <s v="Makeup"/>
    <x v="59"/>
    <n v="3"/>
    <n v="972.82"/>
    <n v="2772.54"/>
    <x v="3"/>
    <n v="905.5"/>
    <n v="352.79"/>
    <x v="3"/>
    <x v="0"/>
  </r>
  <r>
    <s v="ORD-10627"/>
    <x v="171"/>
    <x v="203"/>
    <x v="0"/>
    <x v="2"/>
    <x v="11"/>
    <x v="2"/>
    <s v="Non-Fiction"/>
    <x v="36"/>
    <n v="5"/>
    <n v="1031.81"/>
    <n v="5159.05"/>
    <x v="0"/>
    <n v="566.47"/>
    <n v="396.02"/>
    <x v="2"/>
    <x v="3"/>
  </r>
  <r>
    <s v="ORD-10786"/>
    <x v="171"/>
    <x v="124"/>
    <x v="0"/>
    <x v="1"/>
    <x v="13"/>
    <x v="5"/>
    <s v="Men's Wear"/>
    <x v="21"/>
    <n v="1"/>
    <n v="2423.14"/>
    <n v="2301.98"/>
    <x v="3"/>
    <n v="479.31"/>
    <n v="76.11"/>
    <x v="3"/>
    <x v="2"/>
  </r>
  <r>
    <s v="ORD-10945"/>
    <x v="172"/>
    <x v="133"/>
    <x v="2"/>
    <x v="1"/>
    <x v="3"/>
    <x v="0"/>
    <s v="Accessories"/>
    <x v="89"/>
    <n v="1"/>
    <n v="54068.06"/>
    <n v="37847.64"/>
    <x v="6"/>
    <n v="-4365.21"/>
    <n v="331.08"/>
    <x v="1"/>
    <x v="2"/>
  </r>
  <r>
    <s v="ORD-10033"/>
    <x v="172"/>
    <x v="224"/>
    <x v="2"/>
    <x v="0"/>
    <x v="4"/>
    <x v="5"/>
    <s v="Kids Wear"/>
    <x v="73"/>
    <n v="1"/>
    <n v="1357.49"/>
    <n v="950.24"/>
    <x v="6"/>
    <n v="-53.16"/>
    <n v="121.15"/>
    <x v="3"/>
    <x v="2"/>
  </r>
  <r>
    <s v="ORD-10779"/>
    <x v="172"/>
    <x v="78"/>
    <x v="2"/>
    <x v="1"/>
    <x v="3"/>
    <x v="5"/>
    <s v="Footwear"/>
    <x v="33"/>
    <n v="1"/>
    <n v="3731.29"/>
    <n v="3544.73"/>
    <x v="3"/>
    <n v="637.01"/>
    <n v="52.73"/>
    <x v="0"/>
    <x v="0"/>
  </r>
  <r>
    <s v="ORD-10013"/>
    <x v="173"/>
    <x v="75"/>
    <x v="2"/>
    <x v="2"/>
    <x v="11"/>
    <x v="0"/>
    <s v="Headphones"/>
    <x v="68"/>
    <n v="1"/>
    <n v="47599.95"/>
    <n v="47599.95"/>
    <x v="0"/>
    <n v="6535.14"/>
    <n v="196.67"/>
    <x v="3"/>
    <x v="0"/>
  </r>
  <r>
    <s v="ORD-10634"/>
    <x v="174"/>
    <x v="230"/>
    <x v="2"/>
    <x v="3"/>
    <x v="10"/>
    <x v="2"/>
    <s v="Fiction"/>
    <x v="9"/>
    <n v="1"/>
    <n v="1073.47"/>
    <n v="912.45"/>
    <x v="1"/>
    <n v="58.69"/>
    <n v="177.2"/>
    <x v="3"/>
    <x v="3"/>
  </r>
  <r>
    <s v="ORD-10804"/>
    <x v="175"/>
    <x v="163"/>
    <x v="1"/>
    <x v="1"/>
    <x v="13"/>
    <x v="3"/>
    <s v="Gym Equipment"/>
    <x v="57"/>
    <n v="1"/>
    <n v="4656.3500000000004"/>
    <n v="3957.9"/>
    <x v="1"/>
    <n v="261.94"/>
    <n v="105.87"/>
    <x v="4"/>
    <x v="2"/>
  </r>
  <r>
    <s v="ORD-10616"/>
    <x v="175"/>
    <x v="231"/>
    <x v="2"/>
    <x v="3"/>
    <x v="5"/>
    <x v="3"/>
    <s v="Apparel"/>
    <x v="18"/>
    <n v="2"/>
    <n v="14415.99"/>
    <n v="23065.58"/>
    <x v="5"/>
    <n v="2721.03"/>
    <n v="211.87"/>
    <x v="3"/>
    <x v="3"/>
  </r>
  <r>
    <s v="ORD-10140"/>
    <x v="176"/>
    <x v="203"/>
    <x v="0"/>
    <x v="2"/>
    <x v="2"/>
    <x v="4"/>
    <s v="Makeup"/>
    <x v="71"/>
    <n v="2"/>
    <n v="1229.05"/>
    <n v="2212.29"/>
    <x v="2"/>
    <n v="377.42"/>
    <n v="215.44"/>
    <x v="3"/>
    <x v="3"/>
  </r>
  <r>
    <s v="ORD-10584"/>
    <x v="176"/>
    <x v="150"/>
    <x v="1"/>
    <x v="1"/>
    <x v="3"/>
    <x v="0"/>
    <s v="Mobiles"/>
    <x v="25"/>
    <n v="1"/>
    <n v="48226.76"/>
    <n v="43404.08"/>
    <x v="2"/>
    <n v="3511.15"/>
    <n v="341.87"/>
    <x v="0"/>
    <x v="2"/>
  </r>
  <r>
    <s v="ORD-10996"/>
    <x v="176"/>
    <x v="232"/>
    <x v="2"/>
    <x v="1"/>
    <x v="13"/>
    <x v="2"/>
    <s v="Comics"/>
    <x v="58"/>
    <n v="1"/>
    <n v="447.45"/>
    <n v="380.33"/>
    <x v="1"/>
    <n v="37.07"/>
    <n v="158.1"/>
    <x v="1"/>
    <x v="3"/>
  </r>
  <r>
    <s v="ORD-10780"/>
    <x v="177"/>
    <x v="174"/>
    <x v="1"/>
    <x v="2"/>
    <x v="2"/>
    <x v="5"/>
    <s v="Kids Wear"/>
    <x v="73"/>
    <n v="3"/>
    <n v="531.92999999999995"/>
    <n v="1595.79"/>
    <x v="0"/>
    <n v="291.5"/>
    <n v="361.56"/>
    <x v="4"/>
    <x v="0"/>
  </r>
  <r>
    <s v="ORD-10306"/>
    <x v="177"/>
    <x v="233"/>
    <x v="1"/>
    <x v="2"/>
    <x v="11"/>
    <x v="1"/>
    <s v="Cookware"/>
    <x v="6"/>
    <n v="2"/>
    <n v="7219.46"/>
    <n v="11551.14"/>
    <x v="5"/>
    <n v="839.87"/>
    <n v="348.55"/>
    <x v="3"/>
    <x v="2"/>
  </r>
  <r>
    <s v="ORD-10778"/>
    <x v="177"/>
    <x v="234"/>
    <x v="2"/>
    <x v="2"/>
    <x v="11"/>
    <x v="1"/>
    <s v="Furniture"/>
    <x v="46"/>
    <n v="1"/>
    <n v="4431.08"/>
    <n v="3987.97"/>
    <x v="2"/>
    <n v="454.61"/>
    <n v="169.33"/>
    <x v="3"/>
    <x v="3"/>
  </r>
  <r>
    <s v="ORD-10803"/>
    <x v="177"/>
    <x v="235"/>
    <x v="2"/>
    <x v="3"/>
    <x v="6"/>
    <x v="0"/>
    <s v="Mobiles"/>
    <x v="74"/>
    <n v="1"/>
    <n v="25222.63"/>
    <n v="23961.5"/>
    <x v="3"/>
    <n v="757.88"/>
    <n v="207.39"/>
    <x v="3"/>
    <x v="0"/>
  </r>
  <r>
    <s v="ORD-10469"/>
    <x v="178"/>
    <x v="160"/>
    <x v="1"/>
    <x v="1"/>
    <x v="13"/>
    <x v="0"/>
    <s v="Headphones"/>
    <x v="81"/>
    <n v="3"/>
    <n v="8405.7800000000007"/>
    <n v="25217.34"/>
    <x v="0"/>
    <n v="2828.92"/>
    <n v="194.44"/>
    <x v="3"/>
    <x v="3"/>
  </r>
  <r>
    <s v="ORD-10049"/>
    <x v="178"/>
    <x v="236"/>
    <x v="2"/>
    <x v="1"/>
    <x v="1"/>
    <x v="4"/>
    <s v="Makeup"/>
    <x v="63"/>
    <n v="1"/>
    <n v="611.29"/>
    <n v="611.29"/>
    <x v="0"/>
    <n v="212.21"/>
    <n v="260.7"/>
    <x v="1"/>
    <x v="0"/>
  </r>
  <r>
    <s v="ORD-10052"/>
    <x v="178"/>
    <x v="237"/>
    <x v="2"/>
    <x v="0"/>
    <x v="12"/>
    <x v="2"/>
    <s v="Comics"/>
    <x v="43"/>
    <n v="3"/>
    <n v="677.77"/>
    <n v="2033.31"/>
    <x v="0"/>
    <n v="280.64"/>
    <n v="244.61"/>
    <x v="1"/>
    <x v="3"/>
  </r>
  <r>
    <s v="ORD-10085"/>
    <x v="178"/>
    <x v="112"/>
    <x v="2"/>
    <x v="2"/>
    <x v="8"/>
    <x v="2"/>
    <s v="Non-Fiction"/>
    <x v="64"/>
    <n v="2"/>
    <n v="1165.96"/>
    <n v="2215.3200000000002"/>
    <x v="3"/>
    <n v="20.3"/>
    <n v="226.93"/>
    <x v="0"/>
    <x v="0"/>
  </r>
  <r>
    <s v="ORD-10532"/>
    <x v="179"/>
    <x v="196"/>
    <x v="2"/>
    <x v="3"/>
    <x v="5"/>
    <x v="0"/>
    <s v="Accessories"/>
    <x v="27"/>
    <n v="2"/>
    <n v="35741.81"/>
    <n v="60761.08"/>
    <x v="1"/>
    <n v="1609.68"/>
    <n v="94.33"/>
    <x v="4"/>
    <x v="3"/>
  </r>
  <r>
    <s v="ORD-10843"/>
    <x v="179"/>
    <x v="238"/>
    <x v="0"/>
    <x v="1"/>
    <x v="13"/>
    <x v="1"/>
    <s v="Appliances"/>
    <x v="45"/>
    <n v="2"/>
    <n v="3027.65"/>
    <n v="4541.4799999999996"/>
    <x v="4"/>
    <n v="-185.39"/>
    <n v="229.84"/>
    <x v="3"/>
    <x v="0"/>
  </r>
  <r>
    <s v="ORD-10407"/>
    <x v="179"/>
    <x v="239"/>
    <x v="1"/>
    <x v="1"/>
    <x v="3"/>
    <x v="0"/>
    <s v="Cameras"/>
    <x v="31"/>
    <n v="2"/>
    <n v="35794.730000000003"/>
    <n v="60851.040000000001"/>
    <x v="1"/>
    <n v="1341.01"/>
    <n v="140.22"/>
    <x v="0"/>
    <x v="3"/>
  </r>
  <r>
    <s v="ORD-10628"/>
    <x v="179"/>
    <x v="64"/>
    <x v="2"/>
    <x v="0"/>
    <x v="12"/>
    <x v="2"/>
    <s v="Non-Fiction"/>
    <x v="64"/>
    <n v="3"/>
    <n v="1060.1099999999999"/>
    <n v="2703.28"/>
    <x v="1"/>
    <n v="263.04000000000002"/>
    <n v="150.38999999999999"/>
    <x v="4"/>
    <x v="2"/>
  </r>
  <r>
    <s v="ORD-10471"/>
    <x v="180"/>
    <x v="240"/>
    <x v="0"/>
    <x v="1"/>
    <x v="3"/>
    <x v="0"/>
    <s v="Cameras"/>
    <x v="0"/>
    <n v="2"/>
    <n v="40815.24"/>
    <n v="69385.91"/>
    <x v="1"/>
    <n v="4157.29"/>
    <n v="195.81"/>
    <x v="1"/>
    <x v="0"/>
  </r>
  <r>
    <s v="ORD-10088"/>
    <x v="180"/>
    <x v="241"/>
    <x v="1"/>
    <x v="0"/>
    <x v="0"/>
    <x v="1"/>
    <s v="Cookware"/>
    <x v="1"/>
    <n v="3"/>
    <n v="9152.7000000000007"/>
    <n v="19220.669999999998"/>
    <x v="6"/>
    <n v="348.92"/>
    <n v="93"/>
    <x v="4"/>
    <x v="3"/>
  </r>
  <r>
    <s v="ORD-10635"/>
    <x v="181"/>
    <x v="242"/>
    <x v="1"/>
    <x v="1"/>
    <x v="1"/>
    <x v="0"/>
    <s v="Mobiles"/>
    <x v="25"/>
    <n v="1"/>
    <n v="53946.44"/>
    <n v="53946.44"/>
    <x v="0"/>
    <n v="3633.41"/>
    <n v="293.93"/>
    <x v="3"/>
    <x v="3"/>
  </r>
  <r>
    <s v="ORD-10536"/>
    <x v="181"/>
    <x v="243"/>
    <x v="0"/>
    <x v="3"/>
    <x v="6"/>
    <x v="5"/>
    <s v="Men's Wear"/>
    <x v="55"/>
    <n v="1"/>
    <n v="4498.8"/>
    <n v="4498.8"/>
    <x v="0"/>
    <n v="1157.97"/>
    <n v="78.17"/>
    <x v="3"/>
    <x v="0"/>
  </r>
  <r>
    <s v="ORD-10204"/>
    <x v="182"/>
    <x v="244"/>
    <x v="0"/>
    <x v="3"/>
    <x v="6"/>
    <x v="4"/>
    <s v="Haircare"/>
    <x v="53"/>
    <n v="3"/>
    <n v="793.14"/>
    <n v="1665.59"/>
    <x v="6"/>
    <n v="173.86"/>
    <n v="104.59"/>
    <x v="0"/>
    <x v="0"/>
  </r>
  <r>
    <s v="ORD-10720"/>
    <x v="183"/>
    <x v="245"/>
    <x v="1"/>
    <x v="0"/>
    <x v="12"/>
    <x v="5"/>
    <s v="Kids Wear"/>
    <x v="48"/>
    <n v="1"/>
    <n v="2451.6"/>
    <n v="1961.28"/>
    <x v="5"/>
    <n v="195.39"/>
    <n v="66.569999999999993"/>
    <x v="4"/>
    <x v="3"/>
  </r>
  <r>
    <s v="ORD-10630"/>
    <x v="183"/>
    <x v="77"/>
    <x v="1"/>
    <x v="1"/>
    <x v="3"/>
    <x v="1"/>
    <s v="Furniture"/>
    <x v="46"/>
    <n v="1"/>
    <n v="10140.049999999999"/>
    <n v="8112.04"/>
    <x v="5"/>
    <n v="-147.74"/>
    <n v="76.02"/>
    <x v="3"/>
    <x v="3"/>
  </r>
  <r>
    <s v="ORD-10827"/>
    <x v="183"/>
    <x v="160"/>
    <x v="2"/>
    <x v="0"/>
    <x v="0"/>
    <x v="4"/>
    <s v="Makeup"/>
    <x v="59"/>
    <n v="1"/>
    <n v="1689.29"/>
    <n v="1520.36"/>
    <x v="2"/>
    <n v="273.97000000000003"/>
    <n v="124.17"/>
    <x v="1"/>
    <x v="0"/>
  </r>
  <r>
    <s v="ORD-10117"/>
    <x v="183"/>
    <x v="66"/>
    <x v="2"/>
    <x v="2"/>
    <x v="8"/>
    <x v="3"/>
    <s v="Footwear"/>
    <x v="33"/>
    <n v="1"/>
    <n v="5930.05"/>
    <n v="5633.55"/>
    <x v="3"/>
    <n v="925.44"/>
    <n v="162.74"/>
    <x v="0"/>
    <x v="1"/>
  </r>
  <r>
    <s v="ORD-10674"/>
    <x v="184"/>
    <x v="229"/>
    <x v="2"/>
    <x v="2"/>
    <x v="9"/>
    <x v="1"/>
    <s v="Decor"/>
    <x v="23"/>
    <n v="3"/>
    <n v="8241.9"/>
    <n v="22253.13"/>
    <x v="2"/>
    <n v="3733.27"/>
    <n v="286.12"/>
    <x v="1"/>
    <x v="0"/>
  </r>
  <r>
    <s v="ORD-10941"/>
    <x v="184"/>
    <x v="152"/>
    <x v="0"/>
    <x v="0"/>
    <x v="4"/>
    <x v="1"/>
    <s v="Appliances"/>
    <x v="7"/>
    <n v="4"/>
    <n v="7276.14"/>
    <n v="29104.560000000001"/>
    <x v="0"/>
    <n v="4846.1400000000003"/>
    <n v="356.21"/>
    <x v="2"/>
    <x v="3"/>
  </r>
  <r>
    <s v="ORD-10661"/>
    <x v="184"/>
    <x v="81"/>
    <x v="2"/>
    <x v="3"/>
    <x v="5"/>
    <x v="0"/>
    <s v="Accessories"/>
    <x v="89"/>
    <n v="5"/>
    <n v="27463.62"/>
    <n v="116720.38"/>
    <x v="1"/>
    <n v="512.13"/>
    <n v="370.96"/>
    <x v="1"/>
    <x v="0"/>
  </r>
  <r>
    <s v="ORD-10828"/>
    <x v="184"/>
    <x v="99"/>
    <x v="0"/>
    <x v="3"/>
    <x v="6"/>
    <x v="3"/>
    <s v="Apparel"/>
    <x v="18"/>
    <n v="2"/>
    <n v="1164.6199999999999"/>
    <n v="2329.2399999999998"/>
    <x v="0"/>
    <n v="400.67"/>
    <n v="47.2"/>
    <x v="3"/>
    <x v="0"/>
  </r>
  <r>
    <s v="ORD-10458"/>
    <x v="184"/>
    <x v="246"/>
    <x v="2"/>
    <x v="1"/>
    <x v="13"/>
    <x v="0"/>
    <s v="Mobiles"/>
    <x v="4"/>
    <n v="2"/>
    <n v="18866.509999999998"/>
    <n v="37733.019999999997"/>
    <x v="0"/>
    <n v="4174.68"/>
    <n v="359.73"/>
    <x v="3"/>
    <x v="3"/>
  </r>
  <r>
    <s v="ORD-10539"/>
    <x v="185"/>
    <x v="247"/>
    <x v="0"/>
    <x v="0"/>
    <x v="4"/>
    <x v="2"/>
    <s v="Comics"/>
    <x v="58"/>
    <n v="4"/>
    <n v="1045.19"/>
    <n v="3135.57"/>
    <x v="4"/>
    <n v="82.11"/>
    <n v="117.36"/>
    <x v="2"/>
    <x v="0"/>
  </r>
  <r>
    <s v="ORD-10709"/>
    <x v="186"/>
    <x v="248"/>
    <x v="1"/>
    <x v="2"/>
    <x v="2"/>
    <x v="2"/>
    <s v="Non-Fiction"/>
    <x v="64"/>
    <n v="1"/>
    <n v="632.15"/>
    <n v="632.15"/>
    <x v="0"/>
    <n v="145.22999999999999"/>
    <n v="153.13999999999999"/>
    <x v="2"/>
    <x v="2"/>
  </r>
  <r>
    <s v="ORD-10184"/>
    <x v="186"/>
    <x v="249"/>
    <x v="0"/>
    <x v="0"/>
    <x v="0"/>
    <x v="4"/>
    <s v="Skincare"/>
    <x v="67"/>
    <n v="1"/>
    <n v="1535.35"/>
    <n v="1381.82"/>
    <x v="2"/>
    <n v="323.14999999999998"/>
    <n v="232.32"/>
    <x v="1"/>
    <x v="1"/>
  </r>
  <r>
    <s v="ORD-10485"/>
    <x v="187"/>
    <x v="250"/>
    <x v="0"/>
    <x v="1"/>
    <x v="3"/>
    <x v="2"/>
    <s v="Academic"/>
    <x v="91"/>
    <n v="3"/>
    <n v="198.43"/>
    <n v="595.29"/>
    <x v="0"/>
    <n v="38.69"/>
    <n v="323.85000000000002"/>
    <x v="0"/>
    <x v="1"/>
  </r>
  <r>
    <s v="ORD-10825"/>
    <x v="188"/>
    <x v="251"/>
    <x v="2"/>
    <x v="2"/>
    <x v="9"/>
    <x v="4"/>
    <s v="Makeup"/>
    <x v="20"/>
    <n v="2"/>
    <n v="546.09"/>
    <n v="982.96"/>
    <x v="2"/>
    <n v="213.54"/>
    <n v="205.49"/>
    <x v="2"/>
    <x v="0"/>
  </r>
  <r>
    <s v="ORD-10911"/>
    <x v="188"/>
    <x v="252"/>
    <x v="1"/>
    <x v="0"/>
    <x v="0"/>
    <x v="1"/>
    <s v="Cookware"/>
    <x v="78"/>
    <n v="1"/>
    <n v="4143.63"/>
    <n v="3936.45"/>
    <x v="3"/>
    <n v="363.69"/>
    <n v="59.47"/>
    <x v="1"/>
    <x v="0"/>
  </r>
  <r>
    <s v="ORD-10374"/>
    <x v="188"/>
    <x v="253"/>
    <x v="2"/>
    <x v="2"/>
    <x v="2"/>
    <x v="4"/>
    <s v="Fragrances"/>
    <x v="41"/>
    <n v="4"/>
    <n v="341.1"/>
    <n v="1227.96"/>
    <x v="2"/>
    <n v="255.99"/>
    <n v="324.83999999999997"/>
    <x v="1"/>
    <x v="0"/>
  </r>
  <r>
    <s v="ORD-10550"/>
    <x v="188"/>
    <x v="152"/>
    <x v="1"/>
    <x v="2"/>
    <x v="8"/>
    <x v="0"/>
    <s v="Cameras"/>
    <x v="47"/>
    <n v="1"/>
    <n v="48031.1"/>
    <n v="43227.99"/>
    <x v="2"/>
    <n v="-4626.2299999999996"/>
    <n v="274.02999999999997"/>
    <x v="3"/>
    <x v="3"/>
  </r>
  <r>
    <s v="ORD-10398"/>
    <x v="189"/>
    <x v="254"/>
    <x v="1"/>
    <x v="3"/>
    <x v="6"/>
    <x v="5"/>
    <s v="Kids Wear"/>
    <x v="48"/>
    <n v="3"/>
    <n v="2889.3"/>
    <n v="7801.11"/>
    <x v="2"/>
    <n v="1221.97"/>
    <n v="110.12"/>
    <x v="3"/>
    <x v="3"/>
  </r>
  <r>
    <s v="ORD-10863"/>
    <x v="189"/>
    <x v="255"/>
    <x v="1"/>
    <x v="0"/>
    <x v="4"/>
    <x v="3"/>
    <s v="Gym Equipment"/>
    <x v="92"/>
    <n v="1"/>
    <n v="6704.74"/>
    <n v="4693.32"/>
    <x v="6"/>
    <n v="165.58"/>
    <n v="117.8"/>
    <x v="3"/>
    <x v="3"/>
  </r>
  <r>
    <s v="ORD-10712"/>
    <x v="190"/>
    <x v="256"/>
    <x v="2"/>
    <x v="1"/>
    <x v="1"/>
    <x v="3"/>
    <s v="Gym Equipment"/>
    <x v="92"/>
    <n v="2"/>
    <n v="5407.62"/>
    <n v="9733.7199999999993"/>
    <x v="2"/>
    <n v="1441.1"/>
    <n v="177.54"/>
    <x v="1"/>
    <x v="0"/>
  </r>
  <r>
    <s v="ORD-10472"/>
    <x v="190"/>
    <x v="18"/>
    <x v="2"/>
    <x v="1"/>
    <x v="3"/>
    <x v="1"/>
    <s v="Decor"/>
    <x v="23"/>
    <n v="3"/>
    <n v="1864.67"/>
    <n v="5594.01"/>
    <x v="0"/>
    <n v="886.2"/>
    <n v="276.38"/>
    <x v="0"/>
    <x v="3"/>
  </r>
  <r>
    <s v="ORD-10165"/>
    <x v="190"/>
    <x v="257"/>
    <x v="2"/>
    <x v="2"/>
    <x v="9"/>
    <x v="1"/>
    <s v="Appliances"/>
    <x v="7"/>
    <n v="1"/>
    <n v="6588.15"/>
    <n v="5270.52"/>
    <x v="5"/>
    <n v="364.16"/>
    <n v="78.540000000000006"/>
    <x v="3"/>
    <x v="3"/>
  </r>
  <r>
    <s v="ORD-10444"/>
    <x v="190"/>
    <x v="258"/>
    <x v="1"/>
    <x v="2"/>
    <x v="11"/>
    <x v="5"/>
    <s v="Kids Wear"/>
    <x v="65"/>
    <n v="2"/>
    <n v="2498.2399999999998"/>
    <n v="4996.4799999999996"/>
    <x v="0"/>
    <n v="1058.21"/>
    <n v="81.73"/>
    <x v="1"/>
    <x v="3"/>
  </r>
  <r>
    <s v="ORD-10664"/>
    <x v="190"/>
    <x v="234"/>
    <x v="2"/>
    <x v="1"/>
    <x v="3"/>
    <x v="1"/>
    <s v="Appliances"/>
    <x v="16"/>
    <n v="3"/>
    <n v="7844.12"/>
    <n v="16472.650000000001"/>
    <x v="6"/>
    <n v="-134.52000000000001"/>
    <n v="274.87"/>
    <x v="3"/>
    <x v="0"/>
  </r>
  <r>
    <s v="ORD-10369"/>
    <x v="190"/>
    <x v="259"/>
    <x v="0"/>
    <x v="1"/>
    <x v="1"/>
    <x v="4"/>
    <s v="Skincare"/>
    <x v="26"/>
    <n v="1"/>
    <n v="2322.34"/>
    <n v="2206.2199999999998"/>
    <x v="3"/>
    <n v="823.46"/>
    <n v="274.74"/>
    <x v="3"/>
    <x v="2"/>
  </r>
  <r>
    <s v="ORD-10568"/>
    <x v="191"/>
    <x v="120"/>
    <x v="2"/>
    <x v="3"/>
    <x v="7"/>
    <x v="0"/>
    <s v="Headphones"/>
    <x v="15"/>
    <n v="1"/>
    <n v="9738.25"/>
    <n v="8764.43"/>
    <x v="2"/>
    <n v="740.56"/>
    <n v="231.46"/>
    <x v="2"/>
    <x v="0"/>
  </r>
  <r>
    <s v="ORD-10636"/>
    <x v="191"/>
    <x v="260"/>
    <x v="2"/>
    <x v="2"/>
    <x v="8"/>
    <x v="0"/>
    <s v="Mobiles"/>
    <x v="74"/>
    <n v="2"/>
    <n v="57081.34"/>
    <n v="97038.28"/>
    <x v="1"/>
    <n v="6857.61"/>
    <n v="217.51"/>
    <x v="1"/>
    <x v="3"/>
  </r>
  <r>
    <s v="ORD-10912"/>
    <x v="192"/>
    <x v="261"/>
    <x v="2"/>
    <x v="3"/>
    <x v="7"/>
    <x v="3"/>
    <s v="Gym Equipment"/>
    <x v="13"/>
    <n v="2"/>
    <n v="13517.24"/>
    <n v="27034.48"/>
    <x v="0"/>
    <n v="5647.54"/>
    <n v="222"/>
    <x v="3"/>
    <x v="3"/>
  </r>
  <r>
    <s v="ORD-10500"/>
    <x v="192"/>
    <x v="262"/>
    <x v="1"/>
    <x v="1"/>
    <x v="3"/>
    <x v="3"/>
    <s v="Footwear"/>
    <x v="33"/>
    <n v="3"/>
    <n v="6905.41"/>
    <n v="15537.17"/>
    <x v="4"/>
    <n v="-414.28"/>
    <n v="211.77"/>
    <x v="2"/>
    <x v="2"/>
  </r>
  <r>
    <s v="ORD-10940"/>
    <x v="193"/>
    <x v="263"/>
    <x v="2"/>
    <x v="2"/>
    <x v="9"/>
    <x v="3"/>
    <s v="Gym Equipment"/>
    <x v="51"/>
    <n v="1"/>
    <n v="8265.09"/>
    <n v="8265.09"/>
    <x v="0"/>
    <n v="2077.42"/>
    <n v="55.37"/>
    <x v="3"/>
    <x v="0"/>
  </r>
  <r>
    <s v="ORD-10171"/>
    <x v="193"/>
    <x v="106"/>
    <x v="0"/>
    <x v="3"/>
    <x v="5"/>
    <x v="3"/>
    <s v="Outdoor Gear"/>
    <x v="34"/>
    <n v="1"/>
    <n v="10842.02"/>
    <n v="7589.41"/>
    <x v="6"/>
    <n v="600.30999999999995"/>
    <n v="336.9"/>
    <x v="2"/>
    <x v="2"/>
  </r>
  <r>
    <s v="ORD-10821"/>
    <x v="194"/>
    <x v="260"/>
    <x v="0"/>
    <x v="1"/>
    <x v="3"/>
    <x v="4"/>
    <s v="Haircare"/>
    <x v="77"/>
    <n v="2"/>
    <n v="2235.17"/>
    <n v="4023.31"/>
    <x v="2"/>
    <n v="706.24"/>
    <n v="135.12"/>
    <x v="4"/>
    <x v="0"/>
  </r>
  <r>
    <s v="ORD-10833"/>
    <x v="195"/>
    <x v="264"/>
    <x v="0"/>
    <x v="3"/>
    <x v="6"/>
    <x v="0"/>
    <s v="Cameras"/>
    <x v="47"/>
    <n v="2"/>
    <n v="44721.37"/>
    <n v="89442.74"/>
    <x v="0"/>
    <n v="12413.61"/>
    <n v="231.75"/>
    <x v="3"/>
    <x v="3"/>
  </r>
  <r>
    <s v="ORD-10516"/>
    <x v="195"/>
    <x v="265"/>
    <x v="1"/>
    <x v="1"/>
    <x v="13"/>
    <x v="5"/>
    <s v="Footwear"/>
    <x v="37"/>
    <n v="1"/>
    <n v="3851.54"/>
    <n v="3273.81"/>
    <x v="1"/>
    <n v="182.51"/>
    <n v="251.6"/>
    <x v="0"/>
    <x v="3"/>
  </r>
  <r>
    <s v="ORD-10449"/>
    <x v="195"/>
    <x v="266"/>
    <x v="2"/>
    <x v="3"/>
    <x v="10"/>
    <x v="5"/>
    <s v="Women's Wear"/>
    <x v="24"/>
    <n v="2"/>
    <n v="3686.9"/>
    <n v="7373.8"/>
    <x v="0"/>
    <n v="1383.6"/>
    <n v="296.61"/>
    <x v="0"/>
    <x v="0"/>
  </r>
  <r>
    <s v="ORD-10036"/>
    <x v="195"/>
    <x v="267"/>
    <x v="2"/>
    <x v="2"/>
    <x v="2"/>
    <x v="4"/>
    <s v="Fragrances"/>
    <x v="41"/>
    <n v="1"/>
    <n v="1045.9000000000001"/>
    <n v="993.61"/>
    <x v="3"/>
    <n v="190.34"/>
    <n v="232.34"/>
    <x v="0"/>
    <x v="3"/>
  </r>
  <r>
    <s v="ORD-10978"/>
    <x v="195"/>
    <x v="68"/>
    <x v="2"/>
    <x v="1"/>
    <x v="13"/>
    <x v="0"/>
    <s v="Accessories"/>
    <x v="27"/>
    <n v="1"/>
    <n v="26894.78"/>
    <n v="21515.82"/>
    <x v="5"/>
    <n v="-824.32"/>
    <n v="196.28"/>
    <x v="1"/>
    <x v="3"/>
  </r>
  <r>
    <s v="ORD-10907"/>
    <x v="195"/>
    <x v="123"/>
    <x v="1"/>
    <x v="0"/>
    <x v="0"/>
    <x v="1"/>
    <s v="Appliances"/>
    <x v="40"/>
    <n v="2"/>
    <n v="3831.56"/>
    <n v="6896.81"/>
    <x v="2"/>
    <n v="1052.68"/>
    <n v="247.79"/>
    <x v="0"/>
    <x v="3"/>
  </r>
  <r>
    <s v="ORD-10298"/>
    <x v="196"/>
    <x v="268"/>
    <x v="2"/>
    <x v="3"/>
    <x v="6"/>
    <x v="0"/>
    <s v="Cameras"/>
    <x v="0"/>
    <n v="1"/>
    <n v="18861.61"/>
    <n v="17918.53"/>
    <x v="3"/>
    <n v="1219.8"/>
    <n v="219.55"/>
    <x v="1"/>
    <x v="2"/>
  </r>
  <r>
    <s v="ORD-10432"/>
    <x v="196"/>
    <x v="269"/>
    <x v="2"/>
    <x v="2"/>
    <x v="8"/>
    <x v="0"/>
    <s v="Cameras"/>
    <x v="8"/>
    <n v="2"/>
    <n v="32874.22"/>
    <n v="65748.44"/>
    <x v="0"/>
    <n v="11269.39"/>
    <n v="184.79"/>
    <x v="4"/>
    <x v="0"/>
  </r>
  <r>
    <s v="ORD-10692"/>
    <x v="196"/>
    <x v="53"/>
    <x v="2"/>
    <x v="1"/>
    <x v="1"/>
    <x v="3"/>
    <s v="Apparel"/>
    <x v="66"/>
    <n v="1"/>
    <n v="4288.7"/>
    <n v="4288.7"/>
    <x v="0"/>
    <n v="784.92"/>
    <n v="147.9"/>
    <x v="1"/>
    <x v="3"/>
  </r>
  <r>
    <s v="ORD-10672"/>
    <x v="196"/>
    <x v="270"/>
    <x v="0"/>
    <x v="3"/>
    <x v="10"/>
    <x v="0"/>
    <s v="Accessories"/>
    <x v="50"/>
    <n v="2"/>
    <n v="12180.66"/>
    <n v="20707.12"/>
    <x v="1"/>
    <n v="713.63"/>
    <n v="341.17"/>
    <x v="1"/>
    <x v="2"/>
  </r>
  <r>
    <s v="ORD-10161"/>
    <x v="197"/>
    <x v="115"/>
    <x v="2"/>
    <x v="1"/>
    <x v="1"/>
    <x v="4"/>
    <s v="Haircare"/>
    <x v="53"/>
    <n v="2"/>
    <n v="1239.48"/>
    <n v="1859.22"/>
    <x v="4"/>
    <n v="293.06"/>
    <n v="244.71"/>
    <x v="4"/>
    <x v="0"/>
  </r>
  <r>
    <s v="ORD-10781"/>
    <x v="197"/>
    <x v="271"/>
    <x v="0"/>
    <x v="0"/>
    <x v="0"/>
    <x v="0"/>
    <s v="Headphones"/>
    <x v="84"/>
    <n v="2"/>
    <n v="1755.45"/>
    <n v="2808.72"/>
    <x v="5"/>
    <n v="-113.95"/>
    <n v="246.79"/>
    <x v="1"/>
    <x v="3"/>
  </r>
  <r>
    <s v="ORD-10896"/>
    <x v="197"/>
    <x v="31"/>
    <x v="2"/>
    <x v="2"/>
    <x v="8"/>
    <x v="2"/>
    <s v="Comics"/>
    <x v="43"/>
    <n v="3"/>
    <n v="247.94"/>
    <n v="706.63"/>
    <x v="3"/>
    <n v="114.13"/>
    <n v="368.42"/>
    <x v="1"/>
    <x v="2"/>
  </r>
  <r>
    <s v="ORD-10014"/>
    <x v="197"/>
    <x v="272"/>
    <x v="0"/>
    <x v="3"/>
    <x v="6"/>
    <x v="1"/>
    <s v="Appliances"/>
    <x v="16"/>
    <n v="4"/>
    <n v="10196.59"/>
    <n v="36707.72"/>
    <x v="2"/>
    <n v="1034.0899999999999"/>
    <n v="314.14"/>
    <x v="1"/>
    <x v="3"/>
  </r>
  <r>
    <s v="ORD-10889"/>
    <x v="198"/>
    <x v="273"/>
    <x v="0"/>
    <x v="2"/>
    <x v="2"/>
    <x v="1"/>
    <s v="Cookware"/>
    <x v="80"/>
    <n v="2"/>
    <n v="1342.26"/>
    <n v="2550.29"/>
    <x v="3"/>
    <n v="459.72"/>
    <n v="229.9"/>
    <x v="3"/>
    <x v="2"/>
  </r>
  <r>
    <s v="ORD-10493"/>
    <x v="199"/>
    <x v="274"/>
    <x v="2"/>
    <x v="1"/>
    <x v="13"/>
    <x v="2"/>
    <s v="Comics"/>
    <x v="43"/>
    <n v="1"/>
    <n v="879.17"/>
    <n v="879.17"/>
    <x v="0"/>
    <n v="82.62"/>
    <n v="139.06"/>
    <x v="4"/>
    <x v="0"/>
  </r>
  <r>
    <s v="ORD-10507"/>
    <x v="199"/>
    <x v="121"/>
    <x v="1"/>
    <x v="3"/>
    <x v="7"/>
    <x v="4"/>
    <s v="Fragrances"/>
    <x v="19"/>
    <n v="3"/>
    <n v="1852.39"/>
    <n v="4167.88"/>
    <x v="4"/>
    <n v="710.77"/>
    <n v="72.98"/>
    <x v="0"/>
    <x v="2"/>
  </r>
  <r>
    <s v="ORD-10100"/>
    <x v="199"/>
    <x v="275"/>
    <x v="2"/>
    <x v="2"/>
    <x v="2"/>
    <x v="4"/>
    <s v="Fragrances"/>
    <x v="41"/>
    <n v="4"/>
    <n v="1932.77"/>
    <n v="7344.53"/>
    <x v="3"/>
    <n v="1660.83"/>
    <n v="195.4"/>
    <x v="3"/>
    <x v="3"/>
  </r>
  <r>
    <s v="ORD-10173"/>
    <x v="200"/>
    <x v="94"/>
    <x v="0"/>
    <x v="1"/>
    <x v="3"/>
    <x v="1"/>
    <s v="Furniture"/>
    <x v="10"/>
    <n v="2"/>
    <n v="7533.42"/>
    <n v="14313.5"/>
    <x v="3"/>
    <n v="1954.63"/>
    <n v="277.35000000000002"/>
    <x v="3"/>
    <x v="2"/>
  </r>
  <r>
    <s v="ORD-10403"/>
    <x v="200"/>
    <x v="276"/>
    <x v="2"/>
    <x v="0"/>
    <x v="4"/>
    <x v="0"/>
    <s v="Accessories"/>
    <x v="50"/>
    <n v="2"/>
    <n v="47677.71"/>
    <n v="85819.88"/>
    <x v="2"/>
    <n v="6277.21"/>
    <n v="101.78"/>
    <x v="1"/>
    <x v="1"/>
  </r>
  <r>
    <s v="ORD-10430"/>
    <x v="200"/>
    <x v="277"/>
    <x v="1"/>
    <x v="3"/>
    <x v="5"/>
    <x v="4"/>
    <s v="Haircare"/>
    <x v="53"/>
    <n v="1"/>
    <n v="718.75"/>
    <n v="718.75"/>
    <x v="0"/>
    <n v="195.95"/>
    <n v="150.61000000000001"/>
    <x v="1"/>
    <x v="0"/>
  </r>
  <r>
    <s v="ORD-10984"/>
    <x v="201"/>
    <x v="266"/>
    <x v="1"/>
    <x v="3"/>
    <x v="7"/>
    <x v="0"/>
    <s v="Laptops"/>
    <x v="90"/>
    <n v="1"/>
    <n v="2807.7"/>
    <n v="2246.16"/>
    <x v="5"/>
    <n v="-125.14"/>
    <n v="143.55000000000001"/>
    <x v="1"/>
    <x v="0"/>
  </r>
  <r>
    <s v="ORD-10898"/>
    <x v="201"/>
    <x v="278"/>
    <x v="0"/>
    <x v="2"/>
    <x v="11"/>
    <x v="4"/>
    <s v="Fragrances"/>
    <x v="79"/>
    <n v="4"/>
    <n v="337.87"/>
    <n v="1148.76"/>
    <x v="1"/>
    <n v="215.08"/>
    <n v="116.91"/>
    <x v="3"/>
    <x v="2"/>
  </r>
  <r>
    <s v="ORD-10304"/>
    <x v="201"/>
    <x v="279"/>
    <x v="2"/>
    <x v="1"/>
    <x v="13"/>
    <x v="1"/>
    <s v="Decor"/>
    <x v="83"/>
    <n v="1"/>
    <n v="3122.22"/>
    <n v="2966.11"/>
    <x v="3"/>
    <n v="672.95"/>
    <n v="312.79000000000002"/>
    <x v="1"/>
    <x v="0"/>
  </r>
  <r>
    <s v="ORD-10701"/>
    <x v="201"/>
    <x v="280"/>
    <x v="1"/>
    <x v="3"/>
    <x v="5"/>
    <x v="0"/>
    <s v="Accessories"/>
    <x v="89"/>
    <n v="1"/>
    <n v="44911.57"/>
    <n v="44911.57"/>
    <x v="0"/>
    <n v="3747.18"/>
    <n v="129.13999999999999"/>
    <x v="1"/>
    <x v="0"/>
  </r>
  <r>
    <s v="ORD-10543"/>
    <x v="202"/>
    <x v="281"/>
    <x v="2"/>
    <x v="1"/>
    <x v="3"/>
    <x v="5"/>
    <s v="Women's Wear"/>
    <x v="86"/>
    <n v="1"/>
    <n v="693.42"/>
    <n v="485.39"/>
    <x v="6"/>
    <n v="18.149999999999999"/>
    <n v="126.78"/>
    <x v="0"/>
    <x v="0"/>
  </r>
  <r>
    <s v="ORD-10320"/>
    <x v="202"/>
    <x v="178"/>
    <x v="2"/>
    <x v="0"/>
    <x v="12"/>
    <x v="1"/>
    <s v="Cookware"/>
    <x v="78"/>
    <n v="3"/>
    <n v="7954.3"/>
    <n v="22669.759999999998"/>
    <x v="3"/>
    <n v="3560.33"/>
    <n v="94.11"/>
    <x v="0"/>
    <x v="0"/>
  </r>
  <r>
    <s v="ORD-10756"/>
    <x v="202"/>
    <x v="200"/>
    <x v="2"/>
    <x v="1"/>
    <x v="13"/>
    <x v="3"/>
    <s v="Gym Equipment"/>
    <x v="92"/>
    <n v="1"/>
    <n v="4923.68"/>
    <n v="4923.68"/>
    <x v="0"/>
    <n v="837.62"/>
    <n v="35.04"/>
    <x v="1"/>
    <x v="0"/>
  </r>
  <r>
    <s v="ORD-10929"/>
    <x v="203"/>
    <x v="282"/>
    <x v="0"/>
    <x v="2"/>
    <x v="11"/>
    <x v="1"/>
    <s v="Furniture"/>
    <x v="39"/>
    <n v="3"/>
    <n v="8242.82"/>
    <n v="21019.19"/>
    <x v="1"/>
    <n v="863.41"/>
    <n v="236.15"/>
    <x v="3"/>
    <x v="1"/>
  </r>
  <r>
    <s v="ORD-10064"/>
    <x v="203"/>
    <x v="206"/>
    <x v="2"/>
    <x v="1"/>
    <x v="1"/>
    <x v="2"/>
    <s v="Academic"/>
    <x v="2"/>
    <n v="4"/>
    <n v="189.22"/>
    <n v="605.5"/>
    <x v="5"/>
    <n v="28.98"/>
    <n v="338.23"/>
    <x v="2"/>
    <x v="0"/>
  </r>
  <r>
    <s v="ORD-10533"/>
    <x v="203"/>
    <x v="283"/>
    <x v="1"/>
    <x v="3"/>
    <x v="5"/>
    <x v="3"/>
    <s v="Footwear"/>
    <x v="37"/>
    <n v="1"/>
    <n v="8147.57"/>
    <n v="7740.19"/>
    <x v="3"/>
    <n v="1116.04"/>
    <n v="298.33999999999997"/>
    <x v="3"/>
    <x v="0"/>
  </r>
  <r>
    <s v="ORD-10721"/>
    <x v="203"/>
    <x v="183"/>
    <x v="2"/>
    <x v="3"/>
    <x v="6"/>
    <x v="4"/>
    <s v="Fragrances"/>
    <x v="79"/>
    <n v="3"/>
    <n v="1761.46"/>
    <n v="4755.9399999999996"/>
    <x v="2"/>
    <n v="1174.08"/>
    <n v="334.34"/>
    <x v="2"/>
    <x v="2"/>
  </r>
  <r>
    <s v="ORD-10640"/>
    <x v="204"/>
    <x v="188"/>
    <x v="1"/>
    <x v="0"/>
    <x v="0"/>
    <x v="2"/>
    <s v="Academic"/>
    <x v="2"/>
    <n v="3"/>
    <n v="1090.8399999999999"/>
    <n v="2454.39"/>
    <x v="4"/>
    <n v="-140.97999999999999"/>
    <n v="321.77"/>
    <x v="3"/>
    <x v="3"/>
  </r>
  <r>
    <s v="ORD-10937"/>
    <x v="204"/>
    <x v="284"/>
    <x v="2"/>
    <x v="1"/>
    <x v="3"/>
    <x v="3"/>
    <s v="Outdoor Gear"/>
    <x v="12"/>
    <n v="2"/>
    <n v="6231.42"/>
    <n v="11216.56"/>
    <x v="2"/>
    <n v="1102.94"/>
    <n v="170.36"/>
    <x v="1"/>
    <x v="0"/>
  </r>
  <r>
    <s v="ORD-10263"/>
    <x v="204"/>
    <x v="207"/>
    <x v="0"/>
    <x v="1"/>
    <x v="3"/>
    <x v="1"/>
    <s v="Furniture"/>
    <x v="39"/>
    <n v="1"/>
    <n v="11885.72"/>
    <n v="10697.15"/>
    <x v="2"/>
    <n v="969.94"/>
    <n v="237.22"/>
    <x v="1"/>
    <x v="0"/>
  </r>
  <r>
    <s v="ORD-10470"/>
    <x v="205"/>
    <x v="257"/>
    <x v="2"/>
    <x v="1"/>
    <x v="1"/>
    <x v="2"/>
    <s v="Non-Fiction"/>
    <x v="28"/>
    <n v="5"/>
    <n v="622.87"/>
    <n v="2802.91"/>
    <x v="2"/>
    <n v="187.92"/>
    <n v="329.62"/>
    <x v="0"/>
    <x v="1"/>
  </r>
  <r>
    <s v="ORD-10455"/>
    <x v="205"/>
    <x v="285"/>
    <x v="0"/>
    <x v="3"/>
    <x v="10"/>
    <x v="3"/>
    <s v="Apparel"/>
    <x v="5"/>
    <n v="2"/>
    <n v="3215.68"/>
    <n v="5788.22"/>
    <x v="2"/>
    <n v="1178.0899999999999"/>
    <n v="133.46"/>
    <x v="3"/>
    <x v="0"/>
  </r>
  <r>
    <s v="ORD-10596"/>
    <x v="205"/>
    <x v="119"/>
    <x v="2"/>
    <x v="3"/>
    <x v="6"/>
    <x v="4"/>
    <s v="Fragrances"/>
    <x v="35"/>
    <n v="1"/>
    <n v="254.27"/>
    <n v="241.56"/>
    <x v="3"/>
    <n v="84.44"/>
    <n v="317.54000000000002"/>
    <x v="3"/>
    <x v="2"/>
  </r>
  <r>
    <s v="ORD-10315"/>
    <x v="206"/>
    <x v="209"/>
    <x v="0"/>
    <x v="1"/>
    <x v="13"/>
    <x v="5"/>
    <s v="Women's Wear"/>
    <x v="24"/>
    <n v="3"/>
    <n v="3259.66"/>
    <n v="9778.98"/>
    <x v="0"/>
    <n v="2450.9899999999998"/>
    <n v="370.37"/>
    <x v="3"/>
    <x v="0"/>
  </r>
  <r>
    <s v="ORD-10384"/>
    <x v="206"/>
    <x v="218"/>
    <x v="1"/>
    <x v="2"/>
    <x v="9"/>
    <x v="5"/>
    <s v="Footwear"/>
    <x v="29"/>
    <n v="4"/>
    <n v="1417.28"/>
    <n v="5385.66"/>
    <x v="3"/>
    <n v="818.02"/>
    <n v="122.76"/>
    <x v="4"/>
    <x v="3"/>
  </r>
  <r>
    <s v="ORD-10643"/>
    <x v="207"/>
    <x v="286"/>
    <x v="0"/>
    <x v="0"/>
    <x v="0"/>
    <x v="2"/>
    <s v="Non-Fiction"/>
    <x v="64"/>
    <n v="1"/>
    <n v="770.17"/>
    <n v="577.63"/>
    <x v="4"/>
    <n v="-17.28"/>
    <n v="204.24"/>
    <x v="2"/>
    <x v="3"/>
  </r>
  <r>
    <s v="ORD-10979"/>
    <x v="207"/>
    <x v="188"/>
    <x v="1"/>
    <x v="1"/>
    <x v="1"/>
    <x v="3"/>
    <s v="Gym Equipment"/>
    <x v="57"/>
    <n v="2"/>
    <n v="1216.94"/>
    <n v="2068.8000000000002"/>
    <x v="1"/>
    <n v="360.18"/>
    <n v="363.11"/>
    <x v="3"/>
    <x v="2"/>
  </r>
  <r>
    <s v="ORD-10241"/>
    <x v="207"/>
    <x v="153"/>
    <x v="2"/>
    <x v="0"/>
    <x v="0"/>
    <x v="1"/>
    <s v="Decor"/>
    <x v="83"/>
    <n v="2"/>
    <n v="7449.75"/>
    <n v="13409.55"/>
    <x v="2"/>
    <n v="556.52"/>
    <n v="101.49"/>
    <x v="1"/>
    <x v="0"/>
  </r>
  <r>
    <s v="ORD-10514"/>
    <x v="208"/>
    <x v="287"/>
    <x v="2"/>
    <x v="2"/>
    <x v="9"/>
    <x v="2"/>
    <s v="Non-Fiction"/>
    <x v="93"/>
    <n v="2"/>
    <n v="756.06"/>
    <n v="1360.91"/>
    <x v="2"/>
    <n v="108.32"/>
    <n v="59"/>
    <x v="1"/>
    <x v="1"/>
  </r>
  <r>
    <s v="ORD-10363"/>
    <x v="208"/>
    <x v="210"/>
    <x v="0"/>
    <x v="0"/>
    <x v="12"/>
    <x v="3"/>
    <s v="Footwear"/>
    <x v="33"/>
    <n v="1"/>
    <n v="2719.85"/>
    <n v="2311.87"/>
    <x v="1"/>
    <n v="296.52999999999997"/>
    <n v="211.3"/>
    <x v="2"/>
    <x v="0"/>
  </r>
  <r>
    <s v="ORD-10615"/>
    <x v="208"/>
    <x v="36"/>
    <x v="2"/>
    <x v="2"/>
    <x v="8"/>
    <x v="5"/>
    <s v="Footwear"/>
    <x v="33"/>
    <n v="1"/>
    <n v="1198.6199999999999"/>
    <n v="1198.6199999999999"/>
    <x v="0"/>
    <n v="295.77"/>
    <n v="143.61000000000001"/>
    <x v="0"/>
    <x v="3"/>
  </r>
  <r>
    <s v="ORD-10704"/>
    <x v="208"/>
    <x v="288"/>
    <x v="0"/>
    <x v="0"/>
    <x v="0"/>
    <x v="1"/>
    <s v="Decor"/>
    <x v="70"/>
    <n v="4"/>
    <n v="2906.3"/>
    <n v="9300.16"/>
    <x v="5"/>
    <n v="340.94"/>
    <n v="333.98"/>
    <x v="3"/>
    <x v="0"/>
  </r>
  <r>
    <s v="ORD-10215"/>
    <x v="209"/>
    <x v="289"/>
    <x v="0"/>
    <x v="0"/>
    <x v="4"/>
    <x v="2"/>
    <s v="Non-Fiction"/>
    <x v="93"/>
    <n v="4"/>
    <n v="375.69"/>
    <n v="1277.3499999999999"/>
    <x v="1"/>
    <n v="39.880000000000003"/>
    <n v="233.84"/>
    <x v="1"/>
    <x v="2"/>
  </r>
  <r>
    <s v="ORD-10337"/>
    <x v="209"/>
    <x v="81"/>
    <x v="0"/>
    <x v="1"/>
    <x v="1"/>
    <x v="1"/>
    <s v="Decor"/>
    <x v="61"/>
    <n v="3"/>
    <n v="9603.52"/>
    <n v="27370.03"/>
    <x v="3"/>
    <n v="2979.75"/>
    <n v="321.04000000000002"/>
    <x v="0"/>
    <x v="3"/>
  </r>
  <r>
    <s v="ORD-10307"/>
    <x v="210"/>
    <x v="290"/>
    <x v="2"/>
    <x v="3"/>
    <x v="7"/>
    <x v="4"/>
    <s v="Fragrances"/>
    <x v="41"/>
    <n v="3"/>
    <n v="584.20000000000005"/>
    <n v="1489.71"/>
    <x v="1"/>
    <n v="346.14"/>
    <n v="211.88"/>
    <x v="0"/>
    <x v="3"/>
  </r>
  <r>
    <s v="ORD-10433"/>
    <x v="210"/>
    <x v="27"/>
    <x v="0"/>
    <x v="1"/>
    <x v="1"/>
    <x v="1"/>
    <s v="Cookware"/>
    <x v="6"/>
    <n v="1"/>
    <n v="481.54"/>
    <n v="457.46"/>
    <x v="3"/>
    <n v="62.35"/>
    <n v="325.24"/>
    <x v="2"/>
    <x v="0"/>
  </r>
  <r>
    <s v="ORD-10658"/>
    <x v="210"/>
    <x v="291"/>
    <x v="1"/>
    <x v="1"/>
    <x v="13"/>
    <x v="3"/>
    <s v="Gym Equipment"/>
    <x v="13"/>
    <n v="2"/>
    <n v="12021.38"/>
    <n v="22840.62"/>
    <x v="3"/>
    <n v="5041.97"/>
    <n v="125.15"/>
    <x v="1"/>
    <x v="0"/>
  </r>
  <r>
    <s v="ORD-10983"/>
    <x v="210"/>
    <x v="292"/>
    <x v="2"/>
    <x v="2"/>
    <x v="11"/>
    <x v="3"/>
    <s v="Apparel"/>
    <x v="5"/>
    <n v="2"/>
    <n v="3262.63"/>
    <n v="5872.73"/>
    <x v="2"/>
    <n v="509.95"/>
    <n v="67.13"/>
    <x v="1"/>
    <x v="3"/>
  </r>
  <r>
    <s v="ORD-10649"/>
    <x v="210"/>
    <x v="242"/>
    <x v="0"/>
    <x v="3"/>
    <x v="6"/>
    <x v="2"/>
    <s v="Comics"/>
    <x v="43"/>
    <n v="4"/>
    <n v="437.78"/>
    <n v="1751.12"/>
    <x v="0"/>
    <n v="215.74"/>
    <n v="185.51"/>
    <x v="3"/>
    <x v="3"/>
  </r>
  <r>
    <s v="ORD-10736"/>
    <x v="211"/>
    <x v="166"/>
    <x v="1"/>
    <x v="3"/>
    <x v="5"/>
    <x v="4"/>
    <s v="Fragrances"/>
    <x v="79"/>
    <n v="1"/>
    <n v="1998.51"/>
    <n v="1898.58"/>
    <x v="3"/>
    <n v="419.68"/>
    <n v="270.56"/>
    <x v="3"/>
    <x v="0"/>
  </r>
  <r>
    <s v="ORD-10905"/>
    <x v="211"/>
    <x v="1"/>
    <x v="0"/>
    <x v="2"/>
    <x v="2"/>
    <x v="4"/>
    <s v="Makeup"/>
    <x v="63"/>
    <n v="1"/>
    <n v="1135.1600000000001"/>
    <n v="964.89"/>
    <x v="1"/>
    <n v="204.62"/>
    <n v="123.87"/>
    <x v="3"/>
    <x v="0"/>
  </r>
  <r>
    <s v="ORD-10677"/>
    <x v="212"/>
    <x v="240"/>
    <x v="2"/>
    <x v="1"/>
    <x v="13"/>
    <x v="1"/>
    <s v="Decor"/>
    <x v="61"/>
    <n v="1"/>
    <n v="8943.81"/>
    <n v="6260.67"/>
    <x v="6"/>
    <n v="-67.27"/>
    <n v="218.03"/>
    <x v="3"/>
    <x v="3"/>
  </r>
  <r>
    <s v="ORD-10654"/>
    <x v="212"/>
    <x v="192"/>
    <x v="2"/>
    <x v="2"/>
    <x v="11"/>
    <x v="2"/>
    <s v="Comics"/>
    <x v="43"/>
    <n v="3"/>
    <n v="676.14"/>
    <n v="2028.42"/>
    <x v="0"/>
    <n v="350.39"/>
    <n v="285.98"/>
    <x v="3"/>
    <x v="3"/>
  </r>
  <r>
    <s v="ORD-10249"/>
    <x v="213"/>
    <x v="223"/>
    <x v="1"/>
    <x v="2"/>
    <x v="2"/>
    <x v="2"/>
    <s v="Non-Fiction"/>
    <x v="64"/>
    <n v="1"/>
    <n v="264.94"/>
    <n v="264.94"/>
    <x v="0"/>
    <n v="51.76"/>
    <n v="212.82"/>
    <x v="3"/>
    <x v="1"/>
  </r>
  <r>
    <s v="ORD-10855"/>
    <x v="214"/>
    <x v="138"/>
    <x v="0"/>
    <x v="0"/>
    <x v="0"/>
    <x v="4"/>
    <s v="Fragrances"/>
    <x v="41"/>
    <n v="5"/>
    <n v="1207.81"/>
    <n v="6039.05"/>
    <x v="0"/>
    <n v="2172.86"/>
    <n v="260.13"/>
    <x v="4"/>
    <x v="0"/>
  </r>
  <r>
    <s v="ORD-10909"/>
    <x v="214"/>
    <x v="293"/>
    <x v="1"/>
    <x v="2"/>
    <x v="11"/>
    <x v="1"/>
    <s v="Cookware"/>
    <x v="80"/>
    <n v="2"/>
    <n v="4375.68"/>
    <n v="8313.7900000000009"/>
    <x v="3"/>
    <n v="931.07"/>
    <n v="173.65"/>
    <x v="2"/>
    <x v="2"/>
  </r>
  <r>
    <s v="ORD-10926"/>
    <x v="214"/>
    <x v="294"/>
    <x v="0"/>
    <x v="2"/>
    <x v="9"/>
    <x v="4"/>
    <s v="Fragrances"/>
    <x v="41"/>
    <n v="1"/>
    <n v="2492.1"/>
    <n v="2367.4899999999998"/>
    <x v="3"/>
    <n v="753.59"/>
    <n v="254.14"/>
    <x v="3"/>
    <x v="2"/>
  </r>
  <r>
    <s v="ORD-10735"/>
    <x v="214"/>
    <x v="295"/>
    <x v="0"/>
    <x v="2"/>
    <x v="8"/>
    <x v="2"/>
    <s v="Academic"/>
    <x v="91"/>
    <n v="4"/>
    <n v="258.86"/>
    <n v="776.58"/>
    <x v="4"/>
    <n v="4.04"/>
    <n v="211.34"/>
    <x v="1"/>
    <x v="0"/>
  </r>
  <r>
    <s v="ORD-10188"/>
    <x v="215"/>
    <x v="15"/>
    <x v="2"/>
    <x v="2"/>
    <x v="11"/>
    <x v="4"/>
    <s v="Haircare"/>
    <x v="77"/>
    <n v="2"/>
    <n v="671.82"/>
    <n v="1142.0899999999999"/>
    <x v="1"/>
    <n v="124.95"/>
    <n v="106.02"/>
    <x v="3"/>
    <x v="0"/>
  </r>
  <r>
    <s v="ORD-10156"/>
    <x v="215"/>
    <x v="296"/>
    <x v="2"/>
    <x v="1"/>
    <x v="3"/>
    <x v="5"/>
    <s v="Footwear"/>
    <x v="33"/>
    <n v="3"/>
    <n v="3433.09"/>
    <n v="8754.3799999999992"/>
    <x v="1"/>
    <n v="1470.85"/>
    <n v="190.73"/>
    <x v="1"/>
    <x v="3"/>
  </r>
  <r>
    <s v="ORD-10030"/>
    <x v="215"/>
    <x v="297"/>
    <x v="0"/>
    <x v="2"/>
    <x v="2"/>
    <x v="2"/>
    <s v="Fiction"/>
    <x v="76"/>
    <n v="1"/>
    <n v="383.21"/>
    <n v="287.41000000000003"/>
    <x v="4"/>
    <n v="-7.28"/>
    <n v="68.36"/>
    <x v="3"/>
    <x v="3"/>
  </r>
  <r>
    <s v="ORD-10669"/>
    <x v="215"/>
    <x v="298"/>
    <x v="2"/>
    <x v="0"/>
    <x v="4"/>
    <x v="3"/>
    <s v="Apparel"/>
    <x v="18"/>
    <n v="2"/>
    <n v="8488.01"/>
    <n v="16127.22"/>
    <x v="3"/>
    <n v="3016.7"/>
    <n v="110.42"/>
    <x v="0"/>
    <x v="3"/>
  </r>
  <r>
    <s v="ORD-10221"/>
    <x v="215"/>
    <x v="299"/>
    <x v="0"/>
    <x v="0"/>
    <x v="12"/>
    <x v="3"/>
    <s v="Gym Equipment"/>
    <x v="57"/>
    <n v="1"/>
    <n v="14387.2"/>
    <n v="12948.48"/>
    <x v="2"/>
    <n v="2260.56"/>
    <n v="272.89"/>
    <x v="1"/>
    <x v="3"/>
  </r>
  <r>
    <s v="ORD-10502"/>
    <x v="215"/>
    <x v="79"/>
    <x v="2"/>
    <x v="0"/>
    <x v="0"/>
    <x v="5"/>
    <s v="Kids Wear"/>
    <x v="73"/>
    <n v="1"/>
    <n v="1966.55"/>
    <n v="1966.55"/>
    <x v="0"/>
    <n v="358.68"/>
    <n v="44.2"/>
    <x v="4"/>
    <x v="3"/>
  </r>
  <r>
    <s v="ORD-10158"/>
    <x v="216"/>
    <x v="103"/>
    <x v="2"/>
    <x v="2"/>
    <x v="9"/>
    <x v="5"/>
    <s v="Kids Wear"/>
    <x v="73"/>
    <n v="2"/>
    <n v="2712.79"/>
    <n v="4611.74"/>
    <x v="1"/>
    <n v="313.17"/>
    <n v="314.39"/>
    <x v="0"/>
    <x v="0"/>
  </r>
  <r>
    <s v="ORD-10347"/>
    <x v="216"/>
    <x v="85"/>
    <x v="2"/>
    <x v="0"/>
    <x v="12"/>
    <x v="3"/>
    <s v="Apparel"/>
    <x v="75"/>
    <n v="1"/>
    <n v="2348.84"/>
    <n v="2113.96"/>
    <x v="2"/>
    <n v="211.01"/>
    <n v="167.02"/>
    <x v="3"/>
    <x v="0"/>
  </r>
  <r>
    <s v="ORD-10278"/>
    <x v="216"/>
    <x v="300"/>
    <x v="2"/>
    <x v="3"/>
    <x v="6"/>
    <x v="4"/>
    <s v="Fragrances"/>
    <x v="19"/>
    <n v="2"/>
    <n v="1109.75"/>
    <n v="2219.5"/>
    <x v="0"/>
    <n v="616.92999999999995"/>
    <n v="356.9"/>
    <x v="2"/>
    <x v="0"/>
  </r>
  <r>
    <s v="ORD-10563"/>
    <x v="217"/>
    <x v="301"/>
    <x v="0"/>
    <x v="3"/>
    <x v="6"/>
    <x v="3"/>
    <s v="Gym Equipment"/>
    <x v="92"/>
    <n v="1"/>
    <n v="8392.56"/>
    <n v="6294.42"/>
    <x v="4"/>
    <n v="186.8"/>
    <n v="273.08"/>
    <x v="3"/>
    <x v="2"/>
  </r>
  <r>
    <s v="ORD-10668"/>
    <x v="218"/>
    <x v="302"/>
    <x v="2"/>
    <x v="0"/>
    <x v="12"/>
    <x v="5"/>
    <s v="Kids Wear"/>
    <x v="65"/>
    <n v="1"/>
    <n v="4376.84"/>
    <n v="3939.16"/>
    <x v="2"/>
    <n v="577.63"/>
    <n v="66.260000000000005"/>
    <x v="1"/>
    <x v="0"/>
  </r>
  <r>
    <s v="ORD-10621"/>
    <x v="218"/>
    <x v="102"/>
    <x v="0"/>
    <x v="2"/>
    <x v="2"/>
    <x v="0"/>
    <s v="Accessories"/>
    <x v="89"/>
    <n v="5"/>
    <n v="34036.81"/>
    <n v="144656.44"/>
    <x v="1"/>
    <n v="-2947.57"/>
    <n v="168.66"/>
    <x v="0"/>
    <x v="3"/>
  </r>
  <r>
    <s v="ORD-10731"/>
    <x v="219"/>
    <x v="188"/>
    <x v="2"/>
    <x v="2"/>
    <x v="9"/>
    <x v="3"/>
    <s v="Outdoor Gear"/>
    <x v="82"/>
    <n v="4"/>
    <n v="3574.63"/>
    <n v="10723.89"/>
    <x v="4"/>
    <n v="-136.35"/>
    <n v="96.99"/>
    <x v="3"/>
    <x v="0"/>
  </r>
  <r>
    <s v="ORD-10056"/>
    <x v="219"/>
    <x v="303"/>
    <x v="0"/>
    <x v="0"/>
    <x v="4"/>
    <x v="0"/>
    <s v="Mobiles"/>
    <x v="62"/>
    <n v="3"/>
    <n v="12013.64"/>
    <n v="27030.69"/>
    <x v="4"/>
    <n v="-301.32"/>
    <n v="238.18"/>
    <x v="0"/>
    <x v="3"/>
  </r>
  <r>
    <s v="ORD-10332"/>
    <x v="220"/>
    <x v="304"/>
    <x v="0"/>
    <x v="2"/>
    <x v="2"/>
    <x v="2"/>
    <s v="Non-Fiction"/>
    <x v="36"/>
    <n v="2"/>
    <n v="1131.1600000000001"/>
    <n v="2036.09"/>
    <x v="2"/>
    <n v="223.16"/>
    <n v="157.52000000000001"/>
    <x v="3"/>
    <x v="3"/>
  </r>
  <r>
    <s v="ORD-10492"/>
    <x v="220"/>
    <x v="305"/>
    <x v="2"/>
    <x v="2"/>
    <x v="8"/>
    <x v="2"/>
    <s v="Non-Fiction"/>
    <x v="93"/>
    <n v="1"/>
    <n v="1061.98"/>
    <n v="902.68"/>
    <x v="1"/>
    <n v="-14.51"/>
    <n v="50.7"/>
    <x v="3"/>
    <x v="3"/>
  </r>
  <r>
    <s v="ORD-10175"/>
    <x v="220"/>
    <x v="306"/>
    <x v="2"/>
    <x v="0"/>
    <x v="12"/>
    <x v="2"/>
    <s v="Non-Fiction"/>
    <x v="93"/>
    <n v="2"/>
    <n v="979.59"/>
    <n v="1665.3"/>
    <x v="1"/>
    <n v="49.74"/>
    <n v="67.05"/>
    <x v="1"/>
    <x v="3"/>
  </r>
  <r>
    <s v="ORD-10322"/>
    <x v="220"/>
    <x v="307"/>
    <x v="1"/>
    <x v="2"/>
    <x v="8"/>
    <x v="1"/>
    <s v="Cookware"/>
    <x v="78"/>
    <n v="3"/>
    <n v="7945.94"/>
    <n v="21454.04"/>
    <x v="2"/>
    <n v="2303.7600000000002"/>
    <n v="304.86"/>
    <x v="3"/>
    <x v="0"/>
  </r>
  <r>
    <s v="ORD-10491"/>
    <x v="221"/>
    <x v="308"/>
    <x v="2"/>
    <x v="0"/>
    <x v="0"/>
    <x v="4"/>
    <s v="Skincare"/>
    <x v="67"/>
    <n v="1"/>
    <n v="780.31"/>
    <n v="741.29"/>
    <x v="3"/>
    <n v="182.98"/>
    <n v="266.02"/>
    <x v="3"/>
    <x v="0"/>
  </r>
  <r>
    <s v="ORD-10038"/>
    <x v="222"/>
    <x v="309"/>
    <x v="1"/>
    <x v="3"/>
    <x v="10"/>
    <x v="2"/>
    <s v="Fiction"/>
    <x v="76"/>
    <n v="4"/>
    <n v="880.6"/>
    <n v="3346.28"/>
    <x v="3"/>
    <n v="492.49"/>
    <n v="349.67"/>
    <x v="3"/>
    <x v="3"/>
  </r>
  <r>
    <s v="ORD-10917"/>
    <x v="222"/>
    <x v="116"/>
    <x v="1"/>
    <x v="2"/>
    <x v="8"/>
    <x v="5"/>
    <s v="Women's Wear"/>
    <x v="86"/>
    <n v="2"/>
    <n v="2787.67"/>
    <n v="4739.04"/>
    <x v="1"/>
    <n v="382.39"/>
    <n v="281.32"/>
    <x v="4"/>
    <x v="0"/>
  </r>
  <r>
    <s v="ORD-10675"/>
    <x v="222"/>
    <x v="278"/>
    <x v="0"/>
    <x v="3"/>
    <x v="10"/>
    <x v="4"/>
    <s v="Fragrances"/>
    <x v="79"/>
    <n v="1"/>
    <n v="919.69"/>
    <n v="873.71"/>
    <x v="3"/>
    <n v="247.07"/>
    <n v="307.14999999999998"/>
    <x v="1"/>
    <x v="2"/>
  </r>
  <r>
    <s v="ORD-10330"/>
    <x v="222"/>
    <x v="310"/>
    <x v="2"/>
    <x v="2"/>
    <x v="11"/>
    <x v="3"/>
    <s v="Outdoor Gear"/>
    <x v="82"/>
    <n v="1"/>
    <n v="11291.73"/>
    <n v="10162.56"/>
    <x v="2"/>
    <n v="1509.63"/>
    <n v="258.95999999999998"/>
    <x v="1"/>
    <x v="0"/>
  </r>
  <r>
    <s v="ORD-10482"/>
    <x v="223"/>
    <x v="103"/>
    <x v="0"/>
    <x v="2"/>
    <x v="11"/>
    <x v="4"/>
    <s v="Skincare"/>
    <x v="67"/>
    <n v="2"/>
    <n v="1629.09"/>
    <n v="2769.45"/>
    <x v="1"/>
    <n v="648.71"/>
    <n v="223.94"/>
    <x v="2"/>
    <x v="0"/>
  </r>
  <r>
    <s v="ORD-10328"/>
    <x v="224"/>
    <x v="201"/>
    <x v="2"/>
    <x v="0"/>
    <x v="4"/>
    <x v="2"/>
    <s v="Non-Fiction"/>
    <x v="36"/>
    <n v="1"/>
    <n v="695.04"/>
    <n v="625.54"/>
    <x v="2"/>
    <n v="87.88"/>
    <n v="183.34"/>
    <x v="3"/>
    <x v="0"/>
  </r>
  <r>
    <s v="ORD-10194"/>
    <x v="224"/>
    <x v="311"/>
    <x v="2"/>
    <x v="1"/>
    <x v="13"/>
    <x v="5"/>
    <s v="Men's Wear"/>
    <x v="32"/>
    <n v="1"/>
    <n v="737.26"/>
    <n v="663.53"/>
    <x v="2"/>
    <n v="148.35"/>
    <n v="285.97000000000003"/>
    <x v="1"/>
    <x v="3"/>
  </r>
  <r>
    <s v="ORD-10248"/>
    <x v="224"/>
    <x v="312"/>
    <x v="0"/>
    <x v="1"/>
    <x v="3"/>
    <x v="5"/>
    <s v="Men's Wear"/>
    <x v="32"/>
    <n v="3"/>
    <n v="3222"/>
    <n v="7732.8"/>
    <x v="5"/>
    <n v="695.68"/>
    <n v="75.61"/>
    <x v="2"/>
    <x v="0"/>
  </r>
  <r>
    <s v="ORD-10925"/>
    <x v="224"/>
    <x v="313"/>
    <x v="2"/>
    <x v="1"/>
    <x v="3"/>
    <x v="4"/>
    <s v="Makeup"/>
    <x v="20"/>
    <n v="1"/>
    <n v="1541.2"/>
    <n v="1541.2"/>
    <x v="0"/>
    <n v="369.72"/>
    <n v="235.11"/>
    <x v="1"/>
    <x v="3"/>
  </r>
  <r>
    <s v="ORD-10245"/>
    <x v="225"/>
    <x v="128"/>
    <x v="2"/>
    <x v="2"/>
    <x v="8"/>
    <x v="1"/>
    <s v="Cookware"/>
    <x v="80"/>
    <n v="4"/>
    <n v="10781.09"/>
    <n v="34499.49"/>
    <x v="5"/>
    <n v="1840.45"/>
    <n v="200.17"/>
    <x v="3"/>
    <x v="3"/>
  </r>
  <r>
    <s v="ORD-10548"/>
    <x v="225"/>
    <x v="171"/>
    <x v="0"/>
    <x v="1"/>
    <x v="13"/>
    <x v="1"/>
    <s v="Furniture"/>
    <x v="39"/>
    <n v="1"/>
    <n v="1089.8699999999999"/>
    <n v="980.88"/>
    <x v="2"/>
    <n v="122.1"/>
    <n v="31.01"/>
    <x v="1"/>
    <x v="2"/>
  </r>
  <r>
    <s v="ORD-10395"/>
    <x v="225"/>
    <x v="297"/>
    <x v="2"/>
    <x v="1"/>
    <x v="1"/>
    <x v="3"/>
    <s v="Apparel"/>
    <x v="75"/>
    <n v="2"/>
    <n v="5945.42"/>
    <n v="10701.76"/>
    <x v="2"/>
    <n v="1325.58"/>
    <n v="241.8"/>
    <x v="2"/>
    <x v="3"/>
  </r>
  <r>
    <s v="ORD-10997"/>
    <x v="225"/>
    <x v="120"/>
    <x v="2"/>
    <x v="2"/>
    <x v="11"/>
    <x v="3"/>
    <s v="Apparel"/>
    <x v="75"/>
    <n v="1"/>
    <n v="9210.9"/>
    <n v="8750.35"/>
    <x v="3"/>
    <n v="1924.39"/>
    <n v="128.82"/>
    <x v="3"/>
    <x v="3"/>
  </r>
  <r>
    <s v="ORD-10936"/>
    <x v="226"/>
    <x v="98"/>
    <x v="2"/>
    <x v="2"/>
    <x v="2"/>
    <x v="0"/>
    <s v="Laptops"/>
    <x v="94"/>
    <n v="2"/>
    <n v="31659.15"/>
    <n v="47488.73"/>
    <x v="4"/>
    <n v="-1399.58"/>
    <n v="237.58"/>
    <x v="1"/>
    <x v="0"/>
  </r>
  <r>
    <s v="ORD-11000"/>
    <x v="226"/>
    <x v="157"/>
    <x v="2"/>
    <x v="3"/>
    <x v="5"/>
    <x v="0"/>
    <s v="Mobiles"/>
    <x v="74"/>
    <n v="1"/>
    <n v="14495.89"/>
    <n v="10871.92"/>
    <x v="4"/>
    <n v="-466.54"/>
    <n v="72.540000000000006"/>
    <x v="0"/>
    <x v="2"/>
  </r>
  <r>
    <s v="ORD-10688"/>
    <x v="227"/>
    <x v="314"/>
    <x v="0"/>
    <x v="2"/>
    <x v="11"/>
    <x v="3"/>
    <s v="Footwear"/>
    <x v="11"/>
    <n v="1"/>
    <n v="9063.8700000000008"/>
    <n v="8157.48"/>
    <x v="2"/>
    <n v="1019.36"/>
    <n v="149.1"/>
    <x v="4"/>
    <x v="3"/>
  </r>
  <r>
    <s v="ORD-10324"/>
    <x v="227"/>
    <x v="315"/>
    <x v="2"/>
    <x v="1"/>
    <x v="3"/>
    <x v="5"/>
    <s v="Kids Wear"/>
    <x v="73"/>
    <n v="2"/>
    <n v="1877.82"/>
    <n v="3380.08"/>
    <x v="2"/>
    <n v="659.31"/>
    <n v="140"/>
    <x v="3"/>
    <x v="3"/>
  </r>
  <r>
    <s v="ORD-10247"/>
    <x v="228"/>
    <x v="316"/>
    <x v="2"/>
    <x v="0"/>
    <x v="12"/>
    <x v="3"/>
    <s v="Gym Equipment"/>
    <x v="57"/>
    <n v="1"/>
    <n v="868.94"/>
    <n v="825.49"/>
    <x v="3"/>
    <n v="161.25"/>
    <n v="265.27"/>
    <x v="3"/>
    <x v="2"/>
  </r>
  <r>
    <s v="ORD-10510"/>
    <x v="228"/>
    <x v="317"/>
    <x v="1"/>
    <x v="0"/>
    <x v="0"/>
    <x v="2"/>
    <s v="Fiction"/>
    <x v="76"/>
    <n v="4"/>
    <n v="234.19"/>
    <n v="843.08"/>
    <x v="2"/>
    <n v="34.26"/>
    <n v="188.53"/>
    <x v="0"/>
    <x v="2"/>
  </r>
  <r>
    <s v="ORD-10301"/>
    <x v="229"/>
    <x v="282"/>
    <x v="1"/>
    <x v="0"/>
    <x v="0"/>
    <x v="5"/>
    <s v="Kids Wear"/>
    <x v="48"/>
    <n v="1"/>
    <n v="2452.98"/>
    <n v="2452.98"/>
    <x v="0"/>
    <n v="453.35"/>
    <n v="169.89"/>
    <x v="3"/>
    <x v="3"/>
  </r>
  <r>
    <s v="ORD-10486"/>
    <x v="229"/>
    <x v="158"/>
    <x v="0"/>
    <x v="3"/>
    <x v="10"/>
    <x v="3"/>
    <s v="Apparel"/>
    <x v="18"/>
    <n v="1"/>
    <n v="11237.78"/>
    <n v="10114"/>
    <x v="2"/>
    <n v="1683.12"/>
    <n v="45.41"/>
    <x v="3"/>
    <x v="0"/>
  </r>
  <r>
    <s v="ORD-10932"/>
    <x v="229"/>
    <x v="19"/>
    <x v="2"/>
    <x v="3"/>
    <x v="6"/>
    <x v="4"/>
    <s v="Skincare"/>
    <x v="26"/>
    <n v="2"/>
    <n v="340.54"/>
    <n v="612.97"/>
    <x v="2"/>
    <n v="175.93"/>
    <n v="204.78"/>
    <x v="3"/>
    <x v="0"/>
  </r>
  <r>
    <s v="ORD-10963"/>
    <x v="229"/>
    <x v="100"/>
    <x v="0"/>
    <x v="0"/>
    <x v="12"/>
    <x v="5"/>
    <s v="Footwear"/>
    <x v="11"/>
    <n v="5"/>
    <n v="4331.12"/>
    <n v="20572.82"/>
    <x v="3"/>
    <n v="6072.76"/>
    <n v="104.59"/>
    <x v="1"/>
    <x v="2"/>
  </r>
  <r>
    <s v="ORD-10333"/>
    <x v="229"/>
    <x v="318"/>
    <x v="2"/>
    <x v="2"/>
    <x v="8"/>
    <x v="0"/>
    <s v="Accessories"/>
    <x v="14"/>
    <n v="1"/>
    <n v="32198.62"/>
    <n v="28978.76"/>
    <x v="2"/>
    <n v="-102.26"/>
    <n v="128.33000000000001"/>
    <x v="0"/>
    <x v="3"/>
  </r>
  <r>
    <s v="ORD-10695"/>
    <x v="230"/>
    <x v="319"/>
    <x v="1"/>
    <x v="0"/>
    <x v="4"/>
    <x v="4"/>
    <s v="Skincare"/>
    <x v="54"/>
    <n v="2"/>
    <n v="347.21"/>
    <n v="624.98"/>
    <x v="2"/>
    <n v="120.32"/>
    <n v="187.05"/>
    <x v="4"/>
    <x v="0"/>
  </r>
  <r>
    <s v="ORD-10729"/>
    <x v="230"/>
    <x v="320"/>
    <x v="0"/>
    <x v="1"/>
    <x v="3"/>
    <x v="1"/>
    <s v="Appliances"/>
    <x v="40"/>
    <n v="1"/>
    <n v="1172.1500000000001"/>
    <n v="937.72"/>
    <x v="5"/>
    <n v="27.82"/>
    <n v="150.15"/>
    <x v="1"/>
    <x v="2"/>
  </r>
  <r>
    <s v="ORD-10226"/>
    <x v="230"/>
    <x v="162"/>
    <x v="2"/>
    <x v="2"/>
    <x v="8"/>
    <x v="1"/>
    <s v="Cookware"/>
    <x v="1"/>
    <n v="1"/>
    <n v="8490.08"/>
    <n v="6367.56"/>
    <x v="4"/>
    <n v="1020.71"/>
    <n v="125.15"/>
    <x v="0"/>
    <x v="0"/>
  </r>
  <r>
    <s v="ORD-10260"/>
    <x v="230"/>
    <x v="296"/>
    <x v="0"/>
    <x v="2"/>
    <x v="11"/>
    <x v="1"/>
    <s v="Cookware"/>
    <x v="80"/>
    <n v="2"/>
    <n v="11211.53"/>
    <n v="16817.3"/>
    <x v="4"/>
    <n v="305.77999999999997"/>
    <n v="77.8"/>
    <x v="2"/>
    <x v="2"/>
  </r>
  <r>
    <s v="ORD-10128"/>
    <x v="230"/>
    <x v="321"/>
    <x v="2"/>
    <x v="0"/>
    <x v="0"/>
    <x v="0"/>
    <s v="Mobiles"/>
    <x v="74"/>
    <n v="1"/>
    <n v="26499.43"/>
    <n v="23849.49"/>
    <x v="2"/>
    <n v="1809.63"/>
    <n v="229.07"/>
    <x v="3"/>
    <x v="0"/>
  </r>
  <r>
    <s v="ORD-10127"/>
    <x v="230"/>
    <x v="295"/>
    <x v="0"/>
    <x v="3"/>
    <x v="7"/>
    <x v="5"/>
    <s v="Kids Wear"/>
    <x v="73"/>
    <n v="1"/>
    <n v="2137.39"/>
    <n v="1923.65"/>
    <x v="2"/>
    <n v="281.87"/>
    <n v="194.48"/>
    <x v="3"/>
    <x v="3"/>
  </r>
  <r>
    <s v="ORD-10725"/>
    <x v="231"/>
    <x v="322"/>
    <x v="2"/>
    <x v="3"/>
    <x v="6"/>
    <x v="0"/>
    <s v="Headphones"/>
    <x v="15"/>
    <n v="1"/>
    <n v="14179.25"/>
    <n v="13470.29"/>
    <x v="3"/>
    <n v="681.81"/>
    <n v="200.1"/>
    <x v="3"/>
    <x v="0"/>
  </r>
  <r>
    <s v="ORD-10655"/>
    <x v="232"/>
    <x v="323"/>
    <x v="1"/>
    <x v="2"/>
    <x v="8"/>
    <x v="2"/>
    <s v="Non-Fiction"/>
    <x v="28"/>
    <n v="1"/>
    <n v="601.08000000000004"/>
    <n v="601.08000000000004"/>
    <x v="0"/>
    <n v="84.73"/>
    <n v="67.92"/>
    <x v="2"/>
    <x v="3"/>
  </r>
  <r>
    <s v="ORD-10748"/>
    <x v="233"/>
    <x v="11"/>
    <x v="1"/>
    <x v="2"/>
    <x v="2"/>
    <x v="2"/>
    <s v="Fiction"/>
    <x v="76"/>
    <n v="2"/>
    <n v="962.35"/>
    <n v="1539.76"/>
    <x v="5"/>
    <n v="104.67"/>
    <n v="284.31"/>
    <x v="0"/>
    <x v="2"/>
  </r>
  <r>
    <s v="ORD-10903"/>
    <x v="233"/>
    <x v="136"/>
    <x v="2"/>
    <x v="0"/>
    <x v="4"/>
    <x v="5"/>
    <s v="Footwear"/>
    <x v="37"/>
    <n v="2"/>
    <n v="2668.46"/>
    <n v="4803.2299999999996"/>
    <x v="2"/>
    <n v="582.85"/>
    <n v="73.760000000000005"/>
    <x v="3"/>
    <x v="2"/>
  </r>
  <r>
    <s v="ORD-10535"/>
    <x v="234"/>
    <x v="263"/>
    <x v="1"/>
    <x v="1"/>
    <x v="13"/>
    <x v="3"/>
    <s v="Footwear"/>
    <x v="29"/>
    <n v="2"/>
    <n v="5366.86"/>
    <n v="9123.66"/>
    <x v="1"/>
    <n v="100.68"/>
    <n v="230.75"/>
    <x v="2"/>
    <x v="3"/>
  </r>
  <r>
    <s v="ORD-10208"/>
    <x v="235"/>
    <x v="146"/>
    <x v="0"/>
    <x v="3"/>
    <x v="7"/>
    <x v="5"/>
    <s v="Women's Wear"/>
    <x v="24"/>
    <n v="3"/>
    <n v="874.92"/>
    <n v="2624.76"/>
    <x v="0"/>
    <n v="574.71"/>
    <n v="348.01"/>
    <x v="0"/>
    <x v="0"/>
  </r>
  <r>
    <s v="ORD-10186"/>
    <x v="235"/>
    <x v="285"/>
    <x v="1"/>
    <x v="2"/>
    <x v="2"/>
    <x v="0"/>
    <s v="Cameras"/>
    <x v="47"/>
    <n v="1"/>
    <n v="6645.31"/>
    <n v="5316.25"/>
    <x v="5"/>
    <n v="7.83"/>
    <n v="349"/>
    <x v="3"/>
    <x v="0"/>
  </r>
  <r>
    <s v="ORD-10915"/>
    <x v="236"/>
    <x v="260"/>
    <x v="0"/>
    <x v="1"/>
    <x v="13"/>
    <x v="5"/>
    <s v="Women's Wear"/>
    <x v="22"/>
    <n v="1"/>
    <n v="1999.85"/>
    <n v="1599.88"/>
    <x v="5"/>
    <n v="152.76"/>
    <n v="132.41"/>
    <x v="0"/>
    <x v="3"/>
  </r>
  <r>
    <s v="ORD-10503"/>
    <x v="236"/>
    <x v="324"/>
    <x v="0"/>
    <x v="3"/>
    <x v="6"/>
    <x v="5"/>
    <s v="Kids Wear"/>
    <x v="73"/>
    <n v="1"/>
    <n v="665.79"/>
    <n v="599.21"/>
    <x v="2"/>
    <n v="69.319999999999993"/>
    <n v="140.47"/>
    <x v="3"/>
    <x v="0"/>
  </r>
  <r>
    <s v="ORD-10017"/>
    <x v="236"/>
    <x v="76"/>
    <x v="2"/>
    <x v="3"/>
    <x v="5"/>
    <x v="5"/>
    <s v="Women's Wear"/>
    <x v="24"/>
    <n v="1"/>
    <n v="1958.5"/>
    <n v="1958.5"/>
    <x v="0"/>
    <n v="493.18"/>
    <n v="282.86"/>
    <x v="0"/>
    <x v="1"/>
  </r>
  <r>
    <s v="ORD-10375"/>
    <x v="237"/>
    <x v="325"/>
    <x v="0"/>
    <x v="0"/>
    <x v="4"/>
    <x v="2"/>
    <s v="Fiction"/>
    <x v="87"/>
    <n v="4"/>
    <n v="211.07"/>
    <n v="802.07"/>
    <x v="3"/>
    <n v="73.64"/>
    <n v="113.84"/>
    <x v="1"/>
    <x v="0"/>
  </r>
  <r>
    <s v="ORD-10039"/>
    <x v="238"/>
    <x v="251"/>
    <x v="0"/>
    <x v="2"/>
    <x v="2"/>
    <x v="2"/>
    <s v="Comics"/>
    <x v="30"/>
    <n v="3"/>
    <n v="687.7"/>
    <n v="1753.63"/>
    <x v="1"/>
    <n v="162.13"/>
    <n v="115.8"/>
    <x v="4"/>
    <x v="2"/>
  </r>
  <r>
    <s v="ORD-10042"/>
    <x v="238"/>
    <x v="326"/>
    <x v="2"/>
    <x v="3"/>
    <x v="6"/>
    <x v="5"/>
    <s v="Men's Wear"/>
    <x v="55"/>
    <n v="1"/>
    <n v="4425.1099999999997"/>
    <n v="3318.83"/>
    <x v="4"/>
    <n v="298.08999999999997"/>
    <n v="195.32"/>
    <x v="3"/>
    <x v="0"/>
  </r>
  <r>
    <s v="ORD-10028"/>
    <x v="239"/>
    <x v="193"/>
    <x v="2"/>
    <x v="0"/>
    <x v="4"/>
    <x v="1"/>
    <s v="Decor"/>
    <x v="23"/>
    <n v="1"/>
    <n v="4533.05"/>
    <n v="3626.44"/>
    <x v="5"/>
    <n v="393.22"/>
    <n v="320.19"/>
    <x v="1"/>
    <x v="3"/>
  </r>
  <r>
    <s v="ORD-10359"/>
    <x v="239"/>
    <x v="327"/>
    <x v="2"/>
    <x v="3"/>
    <x v="10"/>
    <x v="3"/>
    <s v="Footwear"/>
    <x v="33"/>
    <n v="2"/>
    <n v="14621.51"/>
    <n v="29243.02"/>
    <x v="0"/>
    <n v="4747.17"/>
    <n v="259.89999999999998"/>
    <x v="2"/>
    <x v="3"/>
  </r>
  <r>
    <s v="ORD-10067"/>
    <x v="240"/>
    <x v="28"/>
    <x v="1"/>
    <x v="0"/>
    <x v="0"/>
    <x v="4"/>
    <s v="Fragrances"/>
    <x v="35"/>
    <n v="1"/>
    <n v="1443.46"/>
    <n v="1443.46"/>
    <x v="0"/>
    <n v="502.57"/>
    <n v="342.27"/>
    <x v="3"/>
    <x v="1"/>
  </r>
  <r>
    <s v="ORD-10148"/>
    <x v="240"/>
    <x v="328"/>
    <x v="0"/>
    <x v="0"/>
    <x v="4"/>
    <x v="0"/>
    <s v="Headphones"/>
    <x v="15"/>
    <n v="4"/>
    <n v="12261.24"/>
    <n v="46592.71"/>
    <x v="3"/>
    <n v="3165.26"/>
    <n v="361.96"/>
    <x v="3"/>
    <x v="0"/>
  </r>
  <r>
    <s v="ORD-10137"/>
    <x v="240"/>
    <x v="329"/>
    <x v="2"/>
    <x v="1"/>
    <x v="13"/>
    <x v="3"/>
    <s v="Outdoor Gear"/>
    <x v="34"/>
    <n v="2"/>
    <n v="2649.72"/>
    <n v="4769.5"/>
    <x v="2"/>
    <n v="710.21"/>
    <n v="216.71"/>
    <x v="4"/>
    <x v="0"/>
  </r>
  <r>
    <s v="ORD-10513"/>
    <x v="240"/>
    <x v="156"/>
    <x v="2"/>
    <x v="0"/>
    <x v="12"/>
    <x v="5"/>
    <s v="Men's Wear"/>
    <x v="69"/>
    <n v="1"/>
    <n v="896.98"/>
    <n v="717.58"/>
    <x v="5"/>
    <n v="70.569999999999993"/>
    <n v="124.41"/>
    <x v="3"/>
    <x v="0"/>
  </r>
  <r>
    <s v="ORD-10294"/>
    <x v="241"/>
    <x v="188"/>
    <x v="2"/>
    <x v="1"/>
    <x v="3"/>
    <x v="1"/>
    <s v="Furniture"/>
    <x v="10"/>
    <n v="1"/>
    <n v="10149.25"/>
    <n v="7611.94"/>
    <x v="4"/>
    <n v="443.12"/>
    <n v="85.74"/>
    <x v="3"/>
    <x v="3"/>
  </r>
  <r>
    <s v="ORD-10942"/>
    <x v="242"/>
    <x v="226"/>
    <x v="2"/>
    <x v="2"/>
    <x v="11"/>
    <x v="0"/>
    <s v="Laptops"/>
    <x v="94"/>
    <n v="1"/>
    <n v="10862.22"/>
    <n v="9776"/>
    <x v="2"/>
    <n v="249.6"/>
    <n v="168.49"/>
    <x v="3"/>
    <x v="0"/>
  </r>
  <r>
    <s v="ORD-10990"/>
    <x v="242"/>
    <x v="246"/>
    <x v="2"/>
    <x v="3"/>
    <x v="6"/>
    <x v="1"/>
    <s v="Decor"/>
    <x v="83"/>
    <n v="2"/>
    <n v="1106.46"/>
    <n v="2102.27"/>
    <x v="3"/>
    <n v="282.61"/>
    <n v="54.9"/>
    <x v="1"/>
    <x v="0"/>
  </r>
  <r>
    <s v="ORD-10558"/>
    <x v="242"/>
    <x v="236"/>
    <x v="2"/>
    <x v="2"/>
    <x v="11"/>
    <x v="4"/>
    <s v="Haircare"/>
    <x v="53"/>
    <n v="2"/>
    <n v="1463"/>
    <n v="2340.8000000000002"/>
    <x v="5"/>
    <n v="293.05"/>
    <n v="247.27"/>
    <x v="1"/>
    <x v="0"/>
  </r>
  <r>
    <s v="ORD-10614"/>
    <x v="243"/>
    <x v="136"/>
    <x v="0"/>
    <x v="1"/>
    <x v="3"/>
    <x v="2"/>
    <s v="Fiction"/>
    <x v="87"/>
    <n v="1"/>
    <n v="608.85"/>
    <n v="517.52"/>
    <x v="1"/>
    <n v="47.19"/>
    <n v="219.94"/>
    <x v="3"/>
    <x v="3"/>
  </r>
  <r>
    <s v="ORD-10074"/>
    <x v="243"/>
    <x v="330"/>
    <x v="2"/>
    <x v="1"/>
    <x v="13"/>
    <x v="3"/>
    <s v="Apparel"/>
    <x v="5"/>
    <n v="5"/>
    <n v="6188.09"/>
    <n v="24752.36"/>
    <x v="5"/>
    <n v="2722.63"/>
    <n v="287.07"/>
    <x v="3"/>
    <x v="1"/>
  </r>
  <r>
    <s v="ORD-10111"/>
    <x v="244"/>
    <x v="331"/>
    <x v="2"/>
    <x v="2"/>
    <x v="8"/>
    <x v="0"/>
    <s v="Headphones"/>
    <x v="60"/>
    <n v="1"/>
    <n v="30270.9"/>
    <n v="25730.26"/>
    <x v="1"/>
    <n v="-1611.81"/>
    <n v="90.2"/>
    <x v="3"/>
    <x v="0"/>
  </r>
  <r>
    <s v="ORD-10604"/>
    <x v="245"/>
    <x v="9"/>
    <x v="2"/>
    <x v="3"/>
    <x v="7"/>
    <x v="5"/>
    <s v="Women's Wear"/>
    <x v="42"/>
    <n v="2"/>
    <n v="4106.97"/>
    <n v="7803.24"/>
    <x v="3"/>
    <n v="1578.79"/>
    <n v="97.44"/>
    <x v="1"/>
    <x v="3"/>
  </r>
  <r>
    <s v="ORD-10497"/>
    <x v="246"/>
    <x v="332"/>
    <x v="1"/>
    <x v="0"/>
    <x v="12"/>
    <x v="2"/>
    <s v="Non-Fiction"/>
    <x v="64"/>
    <n v="2"/>
    <n v="681.58"/>
    <n v="1295"/>
    <x v="3"/>
    <n v="115.08"/>
    <n v="126.41"/>
    <x v="1"/>
    <x v="1"/>
  </r>
  <r>
    <s v="ORD-10952"/>
    <x v="247"/>
    <x v="65"/>
    <x v="1"/>
    <x v="3"/>
    <x v="10"/>
    <x v="5"/>
    <s v="Men's Wear"/>
    <x v="21"/>
    <n v="1"/>
    <n v="503.12"/>
    <n v="402.5"/>
    <x v="5"/>
    <n v="35"/>
    <n v="292.56"/>
    <x v="1"/>
    <x v="3"/>
  </r>
  <r>
    <s v="ORD-10216"/>
    <x v="248"/>
    <x v="70"/>
    <x v="2"/>
    <x v="3"/>
    <x v="6"/>
    <x v="0"/>
    <s v="Cameras"/>
    <x v="0"/>
    <n v="5"/>
    <n v="11068.08"/>
    <n v="55340.4"/>
    <x v="0"/>
    <n v="5871.64"/>
    <n v="289.47000000000003"/>
    <x v="4"/>
    <x v="2"/>
  </r>
  <r>
    <s v="ORD-10258"/>
    <x v="248"/>
    <x v="188"/>
    <x v="0"/>
    <x v="2"/>
    <x v="11"/>
    <x v="0"/>
    <s v="Accessories"/>
    <x v="14"/>
    <n v="2"/>
    <n v="50954.14"/>
    <n v="86622.04"/>
    <x v="1"/>
    <n v="1534.97"/>
    <n v="79.23"/>
    <x v="2"/>
    <x v="0"/>
  </r>
  <r>
    <s v="ORD-10754"/>
    <x v="248"/>
    <x v="333"/>
    <x v="2"/>
    <x v="3"/>
    <x v="7"/>
    <x v="0"/>
    <s v="Accessories"/>
    <x v="27"/>
    <n v="3"/>
    <n v="30919.68"/>
    <n v="88121.09"/>
    <x v="3"/>
    <n v="8867.0499999999993"/>
    <n v="242.77"/>
    <x v="2"/>
    <x v="2"/>
  </r>
  <r>
    <s v="ORD-10687"/>
    <x v="249"/>
    <x v="334"/>
    <x v="2"/>
    <x v="0"/>
    <x v="4"/>
    <x v="4"/>
    <s v="Fragrances"/>
    <x v="79"/>
    <n v="3"/>
    <n v="822.85"/>
    <n v="2468.5500000000002"/>
    <x v="0"/>
    <n v="901.64"/>
    <n v="254.15"/>
    <x v="3"/>
    <x v="2"/>
  </r>
  <r>
    <s v="ORD-10751"/>
    <x v="249"/>
    <x v="218"/>
    <x v="2"/>
    <x v="0"/>
    <x v="4"/>
    <x v="0"/>
    <s v="Headphones"/>
    <x v="68"/>
    <n v="2"/>
    <n v="57861.94"/>
    <n v="109937.69"/>
    <x v="3"/>
    <n v="11382.62"/>
    <n v="363.77"/>
    <x v="1"/>
    <x v="0"/>
  </r>
  <r>
    <s v="ORD-10409"/>
    <x v="250"/>
    <x v="201"/>
    <x v="2"/>
    <x v="0"/>
    <x v="12"/>
    <x v="2"/>
    <s v="Non-Fiction"/>
    <x v="93"/>
    <n v="1"/>
    <n v="1071"/>
    <n v="963.9"/>
    <x v="2"/>
    <n v="29.25"/>
    <n v="208.57"/>
    <x v="0"/>
    <x v="3"/>
  </r>
  <r>
    <s v="ORD-10812"/>
    <x v="250"/>
    <x v="300"/>
    <x v="2"/>
    <x v="3"/>
    <x v="5"/>
    <x v="1"/>
    <s v="Decor"/>
    <x v="61"/>
    <n v="1"/>
    <n v="2263.88"/>
    <n v="2263.88"/>
    <x v="0"/>
    <n v="356.14"/>
    <n v="37.99"/>
    <x v="1"/>
    <x v="3"/>
  </r>
  <r>
    <s v="ORD-10971"/>
    <x v="250"/>
    <x v="335"/>
    <x v="2"/>
    <x v="0"/>
    <x v="0"/>
    <x v="0"/>
    <s v="Mobiles"/>
    <x v="25"/>
    <n v="1"/>
    <n v="14456.58"/>
    <n v="14456.58"/>
    <x v="0"/>
    <n v="770.05"/>
    <n v="136.24"/>
    <x v="2"/>
    <x v="2"/>
  </r>
  <r>
    <s v="ORD-10673"/>
    <x v="250"/>
    <x v="78"/>
    <x v="1"/>
    <x v="2"/>
    <x v="11"/>
    <x v="0"/>
    <s v="Headphones"/>
    <x v="60"/>
    <n v="1"/>
    <n v="36505.58"/>
    <n v="34680.300000000003"/>
    <x v="3"/>
    <n v="4811.08"/>
    <n v="149.44"/>
    <x v="0"/>
    <x v="0"/>
  </r>
  <r>
    <s v="ORD-10931"/>
    <x v="250"/>
    <x v="336"/>
    <x v="2"/>
    <x v="1"/>
    <x v="3"/>
    <x v="2"/>
    <s v="Fiction"/>
    <x v="49"/>
    <n v="1"/>
    <n v="512.91"/>
    <n v="487.26"/>
    <x v="3"/>
    <n v="55.03"/>
    <n v="54.55"/>
    <x v="1"/>
    <x v="3"/>
  </r>
  <r>
    <s v="ORD-10144"/>
    <x v="251"/>
    <x v="337"/>
    <x v="2"/>
    <x v="0"/>
    <x v="12"/>
    <x v="1"/>
    <s v="Cookware"/>
    <x v="6"/>
    <n v="3"/>
    <n v="6947.72"/>
    <n v="16674.53"/>
    <x v="5"/>
    <n v="997.72"/>
    <n v="181.21"/>
    <x v="1"/>
    <x v="1"/>
  </r>
  <r>
    <s v="ORD-10965"/>
    <x v="251"/>
    <x v="240"/>
    <x v="1"/>
    <x v="3"/>
    <x v="10"/>
    <x v="2"/>
    <s v="Comics"/>
    <x v="95"/>
    <n v="2"/>
    <n v="231.05"/>
    <n v="415.89"/>
    <x v="2"/>
    <n v="35.53"/>
    <n v="84.45"/>
    <x v="2"/>
    <x v="1"/>
  </r>
  <r>
    <s v="ORD-10531"/>
    <x v="251"/>
    <x v="254"/>
    <x v="2"/>
    <x v="3"/>
    <x v="7"/>
    <x v="2"/>
    <s v="Comics"/>
    <x v="30"/>
    <n v="5"/>
    <n v="242.61"/>
    <n v="1031.0899999999999"/>
    <x v="1"/>
    <n v="6.43"/>
    <n v="99.9"/>
    <x v="0"/>
    <x v="0"/>
  </r>
  <r>
    <s v="ORD-10924"/>
    <x v="251"/>
    <x v="338"/>
    <x v="2"/>
    <x v="0"/>
    <x v="12"/>
    <x v="4"/>
    <s v="Skincare"/>
    <x v="26"/>
    <n v="3"/>
    <n v="1611.37"/>
    <n v="4108.99"/>
    <x v="1"/>
    <n v="936.13"/>
    <n v="347.34"/>
    <x v="4"/>
    <x v="0"/>
  </r>
  <r>
    <s v="ORD-10287"/>
    <x v="252"/>
    <x v="302"/>
    <x v="0"/>
    <x v="0"/>
    <x v="0"/>
    <x v="0"/>
    <s v="Headphones"/>
    <x v="84"/>
    <n v="2"/>
    <n v="60865.88"/>
    <n v="115645.17"/>
    <x v="3"/>
    <n v="8940.81"/>
    <n v="295.7"/>
    <x v="3"/>
    <x v="2"/>
  </r>
  <r>
    <s v="ORD-10442"/>
    <x v="253"/>
    <x v="339"/>
    <x v="0"/>
    <x v="3"/>
    <x v="5"/>
    <x v="1"/>
    <s v="Furniture"/>
    <x v="46"/>
    <n v="1"/>
    <n v="11675.26"/>
    <n v="8756.44"/>
    <x v="4"/>
    <n v="510.96"/>
    <n v="224.73"/>
    <x v="1"/>
    <x v="0"/>
  </r>
  <r>
    <s v="ORD-10228"/>
    <x v="254"/>
    <x v="315"/>
    <x v="0"/>
    <x v="2"/>
    <x v="2"/>
    <x v="1"/>
    <s v="Appliances"/>
    <x v="16"/>
    <n v="1"/>
    <n v="10196.77"/>
    <n v="9686.93"/>
    <x v="3"/>
    <n v="1278.95"/>
    <n v="132.11000000000001"/>
    <x v="0"/>
    <x v="3"/>
  </r>
  <r>
    <s v="ORD-10116"/>
    <x v="255"/>
    <x v="56"/>
    <x v="2"/>
    <x v="3"/>
    <x v="6"/>
    <x v="1"/>
    <s v="Decor"/>
    <x v="70"/>
    <n v="3"/>
    <n v="9802.42"/>
    <n v="27936.9"/>
    <x v="3"/>
    <n v="5639.28"/>
    <n v="375.93"/>
    <x v="0"/>
    <x v="3"/>
  </r>
  <r>
    <s v="ORD-10785"/>
    <x v="256"/>
    <x v="340"/>
    <x v="1"/>
    <x v="2"/>
    <x v="8"/>
    <x v="2"/>
    <s v="Academic"/>
    <x v="2"/>
    <n v="2"/>
    <n v="892.01"/>
    <n v="1516.42"/>
    <x v="1"/>
    <n v="9.92"/>
    <n v="198.12"/>
    <x v="0"/>
    <x v="3"/>
  </r>
  <r>
    <s v="ORD-10483"/>
    <x v="256"/>
    <x v="341"/>
    <x v="2"/>
    <x v="3"/>
    <x v="6"/>
    <x v="4"/>
    <s v="Fragrances"/>
    <x v="35"/>
    <n v="2"/>
    <n v="1425.15"/>
    <n v="2850.3"/>
    <x v="0"/>
    <n v="687.42"/>
    <n v="114.9"/>
    <x v="4"/>
    <x v="1"/>
  </r>
  <r>
    <s v="ORD-10526"/>
    <x v="257"/>
    <x v="315"/>
    <x v="1"/>
    <x v="0"/>
    <x v="0"/>
    <x v="3"/>
    <s v="Gym Equipment"/>
    <x v="92"/>
    <n v="1"/>
    <n v="14669.67"/>
    <n v="12469.22"/>
    <x v="1"/>
    <n v="1460.06"/>
    <n v="200.21"/>
    <x v="3"/>
    <x v="1"/>
  </r>
  <r>
    <s v="ORD-10338"/>
    <x v="257"/>
    <x v="342"/>
    <x v="1"/>
    <x v="2"/>
    <x v="2"/>
    <x v="1"/>
    <s v="Decor"/>
    <x v="23"/>
    <n v="1"/>
    <n v="6507.39"/>
    <n v="6182.02"/>
    <x v="3"/>
    <n v="880.83"/>
    <n v="65.94"/>
    <x v="3"/>
    <x v="0"/>
  </r>
  <r>
    <s v="ORD-10157"/>
    <x v="257"/>
    <x v="132"/>
    <x v="2"/>
    <x v="3"/>
    <x v="6"/>
    <x v="5"/>
    <s v="Men's Wear"/>
    <x v="32"/>
    <n v="2"/>
    <n v="4461.8999999999996"/>
    <n v="7139.04"/>
    <x v="5"/>
    <n v="532.42999999999995"/>
    <n v="341.46"/>
    <x v="1"/>
    <x v="0"/>
  </r>
  <r>
    <s v="ORD-10784"/>
    <x v="257"/>
    <x v="343"/>
    <x v="2"/>
    <x v="2"/>
    <x v="11"/>
    <x v="4"/>
    <s v="Makeup"/>
    <x v="20"/>
    <n v="1"/>
    <n v="390.29"/>
    <n v="390.29"/>
    <x v="0"/>
    <n v="114.88"/>
    <n v="185.05"/>
    <x v="1"/>
    <x v="2"/>
  </r>
  <r>
    <s v="ORD-10029"/>
    <x v="258"/>
    <x v="344"/>
    <x v="2"/>
    <x v="1"/>
    <x v="13"/>
    <x v="3"/>
    <s v="Apparel"/>
    <x v="75"/>
    <n v="4"/>
    <n v="9838.66"/>
    <n v="39354.639999999999"/>
    <x v="0"/>
    <n v="6158.4"/>
    <n v="245.91"/>
    <x v="1"/>
    <x v="3"/>
  </r>
  <r>
    <s v="ORD-10146"/>
    <x v="258"/>
    <x v="45"/>
    <x v="2"/>
    <x v="1"/>
    <x v="3"/>
    <x v="4"/>
    <s v="Fragrances"/>
    <x v="35"/>
    <n v="3"/>
    <n v="745.62"/>
    <n v="2013.17"/>
    <x v="2"/>
    <n v="635.1"/>
    <n v="92.57"/>
    <x v="3"/>
    <x v="0"/>
  </r>
  <r>
    <s v="ORD-10591"/>
    <x v="259"/>
    <x v="345"/>
    <x v="2"/>
    <x v="0"/>
    <x v="4"/>
    <x v="4"/>
    <s v="Skincare"/>
    <x v="26"/>
    <n v="2"/>
    <n v="1393.77"/>
    <n v="2369.41"/>
    <x v="1"/>
    <n v="310.3"/>
    <n v="292.68"/>
    <x v="1"/>
    <x v="0"/>
  </r>
  <r>
    <s v="ORD-10454"/>
    <x v="260"/>
    <x v="346"/>
    <x v="1"/>
    <x v="1"/>
    <x v="1"/>
    <x v="3"/>
    <s v="Gym Equipment"/>
    <x v="51"/>
    <n v="1"/>
    <n v="5923.15"/>
    <n v="5034.68"/>
    <x v="1"/>
    <n v="552.46"/>
    <n v="278.2"/>
    <x v="0"/>
    <x v="3"/>
  </r>
  <r>
    <s v="ORD-10018"/>
    <x v="260"/>
    <x v="347"/>
    <x v="2"/>
    <x v="1"/>
    <x v="13"/>
    <x v="2"/>
    <s v="Comics"/>
    <x v="95"/>
    <n v="1"/>
    <n v="227.75"/>
    <n v="193.59"/>
    <x v="1"/>
    <n v="2.84"/>
    <n v="144.71"/>
    <x v="1"/>
    <x v="0"/>
  </r>
  <r>
    <s v="ORD-10520"/>
    <x v="261"/>
    <x v="17"/>
    <x v="2"/>
    <x v="1"/>
    <x v="3"/>
    <x v="0"/>
    <s v="Headphones"/>
    <x v="84"/>
    <n v="1"/>
    <n v="45120.24"/>
    <n v="31584.17"/>
    <x v="6"/>
    <n v="-677.09"/>
    <n v="149.86000000000001"/>
    <x v="3"/>
    <x v="1"/>
  </r>
  <r>
    <s v="ORD-10560"/>
    <x v="261"/>
    <x v="6"/>
    <x v="1"/>
    <x v="3"/>
    <x v="6"/>
    <x v="5"/>
    <s v="Footwear"/>
    <x v="11"/>
    <n v="1"/>
    <n v="3269.76"/>
    <n v="2615.81"/>
    <x v="5"/>
    <n v="365.29"/>
    <n v="46.07"/>
    <x v="3"/>
    <x v="0"/>
  </r>
  <r>
    <s v="ORD-10370"/>
    <x v="262"/>
    <x v="23"/>
    <x v="2"/>
    <x v="0"/>
    <x v="4"/>
    <x v="2"/>
    <s v="Comics"/>
    <x v="95"/>
    <n v="1"/>
    <n v="483.41"/>
    <n v="459.24"/>
    <x v="3"/>
    <n v="48.22"/>
    <n v="334.9"/>
    <x v="3"/>
    <x v="3"/>
  </r>
  <r>
    <s v="ORD-10302"/>
    <x v="262"/>
    <x v="40"/>
    <x v="2"/>
    <x v="2"/>
    <x v="2"/>
    <x v="5"/>
    <s v="Footwear"/>
    <x v="37"/>
    <n v="3"/>
    <n v="2170.2800000000002"/>
    <n v="6510.84"/>
    <x v="0"/>
    <n v="1386.15"/>
    <n v="224.74"/>
    <x v="1"/>
    <x v="2"/>
  </r>
  <r>
    <s v="ORD-10354"/>
    <x v="262"/>
    <x v="327"/>
    <x v="0"/>
    <x v="1"/>
    <x v="3"/>
    <x v="3"/>
    <s v="Apparel"/>
    <x v="5"/>
    <n v="2"/>
    <n v="7042.98"/>
    <n v="11973.07"/>
    <x v="1"/>
    <n v="1816.03"/>
    <n v="105.9"/>
    <x v="1"/>
    <x v="0"/>
  </r>
  <r>
    <s v="ORD-10946"/>
    <x v="263"/>
    <x v="348"/>
    <x v="2"/>
    <x v="2"/>
    <x v="11"/>
    <x v="3"/>
    <s v="Outdoor Gear"/>
    <x v="34"/>
    <n v="3"/>
    <n v="13170.71"/>
    <n v="35560.92"/>
    <x v="2"/>
    <n v="6576.37"/>
    <n v="370.7"/>
    <x v="3"/>
    <x v="0"/>
  </r>
  <r>
    <s v="ORD-10954"/>
    <x v="263"/>
    <x v="349"/>
    <x v="2"/>
    <x v="3"/>
    <x v="7"/>
    <x v="3"/>
    <s v="Apparel"/>
    <x v="66"/>
    <n v="2"/>
    <n v="9600.8700000000008"/>
    <n v="18241.650000000001"/>
    <x v="3"/>
    <n v="1518.68"/>
    <n v="296.01"/>
    <x v="0"/>
    <x v="0"/>
  </r>
  <r>
    <s v="ORD-10802"/>
    <x v="263"/>
    <x v="350"/>
    <x v="2"/>
    <x v="0"/>
    <x v="12"/>
    <x v="5"/>
    <s v="Kids Wear"/>
    <x v="65"/>
    <n v="1"/>
    <n v="1405.64"/>
    <n v="1405.64"/>
    <x v="0"/>
    <n v="191.98"/>
    <n v="30.21"/>
    <x v="0"/>
    <x v="2"/>
  </r>
  <r>
    <s v="ORD-10852"/>
    <x v="264"/>
    <x v="177"/>
    <x v="2"/>
    <x v="2"/>
    <x v="11"/>
    <x v="3"/>
    <s v="Gym Equipment"/>
    <x v="51"/>
    <n v="2"/>
    <n v="3853.44"/>
    <n v="7706.88"/>
    <x v="0"/>
    <n v="1459.96"/>
    <n v="208.94"/>
    <x v="0"/>
    <x v="3"/>
  </r>
  <r>
    <s v="ORD-10699"/>
    <x v="265"/>
    <x v="113"/>
    <x v="2"/>
    <x v="3"/>
    <x v="6"/>
    <x v="5"/>
    <s v="Men's Wear"/>
    <x v="21"/>
    <n v="5"/>
    <n v="4180.91"/>
    <n v="15678.41"/>
    <x v="4"/>
    <n v="1130.79"/>
    <n v="341.69"/>
    <x v="1"/>
    <x v="2"/>
  </r>
  <r>
    <s v="ORD-10035"/>
    <x v="265"/>
    <x v="54"/>
    <x v="1"/>
    <x v="2"/>
    <x v="9"/>
    <x v="2"/>
    <s v="Non-Fiction"/>
    <x v="64"/>
    <n v="2"/>
    <n v="401.54"/>
    <n v="602.30999999999995"/>
    <x v="4"/>
    <n v="-1.05"/>
    <n v="360.41"/>
    <x v="2"/>
    <x v="3"/>
  </r>
  <r>
    <s v="ORD-10118"/>
    <x v="265"/>
    <x v="351"/>
    <x v="2"/>
    <x v="0"/>
    <x v="12"/>
    <x v="0"/>
    <s v="Mobiles"/>
    <x v="4"/>
    <n v="2"/>
    <n v="2072.27"/>
    <n v="3937.31"/>
    <x v="3"/>
    <n v="519.29999999999995"/>
    <n v="69.11"/>
    <x v="3"/>
    <x v="3"/>
  </r>
  <r>
    <s v="ORD-10059"/>
    <x v="266"/>
    <x v="177"/>
    <x v="1"/>
    <x v="3"/>
    <x v="10"/>
    <x v="1"/>
    <s v="Appliances"/>
    <x v="7"/>
    <n v="1"/>
    <n v="4141.59"/>
    <n v="3520.35"/>
    <x v="1"/>
    <n v="396"/>
    <n v="124.88"/>
    <x v="0"/>
    <x v="1"/>
  </r>
  <r>
    <s v="ORD-10200"/>
    <x v="266"/>
    <x v="352"/>
    <x v="0"/>
    <x v="1"/>
    <x v="13"/>
    <x v="4"/>
    <s v="Skincare"/>
    <x v="67"/>
    <n v="2"/>
    <n v="1035.04"/>
    <n v="1656.06"/>
    <x v="5"/>
    <n v="286.66000000000003"/>
    <n v="55.95"/>
    <x v="4"/>
    <x v="3"/>
  </r>
  <r>
    <s v="ORD-10004"/>
    <x v="266"/>
    <x v="121"/>
    <x v="0"/>
    <x v="0"/>
    <x v="0"/>
    <x v="5"/>
    <s v="Men's Wear"/>
    <x v="32"/>
    <n v="5"/>
    <n v="1063.6600000000001"/>
    <n v="4254.6400000000003"/>
    <x v="5"/>
    <n v="460.39"/>
    <n v="148.69"/>
    <x v="2"/>
    <x v="3"/>
  </r>
  <r>
    <s v="ORD-10800"/>
    <x v="267"/>
    <x v="93"/>
    <x v="0"/>
    <x v="1"/>
    <x v="1"/>
    <x v="5"/>
    <s v="Kids Wear"/>
    <x v="65"/>
    <n v="3"/>
    <n v="4054.74"/>
    <n v="12164.22"/>
    <x v="0"/>
    <n v="2070.3200000000002"/>
    <n v="167.99"/>
    <x v="2"/>
    <x v="0"/>
  </r>
  <r>
    <s v="ORD-10271"/>
    <x v="267"/>
    <x v="353"/>
    <x v="2"/>
    <x v="2"/>
    <x v="9"/>
    <x v="4"/>
    <s v="Fragrances"/>
    <x v="41"/>
    <n v="1"/>
    <n v="917.49"/>
    <n v="779.87"/>
    <x v="1"/>
    <n v="193.54"/>
    <n v="268.67"/>
    <x v="2"/>
    <x v="2"/>
  </r>
  <r>
    <s v="ORD-10009"/>
    <x v="268"/>
    <x v="354"/>
    <x v="0"/>
    <x v="0"/>
    <x v="0"/>
    <x v="0"/>
    <s v="Mobiles"/>
    <x v="25"/>
    <n v="1"/>
    <n v="61312.47"/>
    <n v="58246.85"/>
    <x v="3"/>
    <n v="-1825.22"/>
    <n v="35.11"/>
    <x v="1"/>
    <x v="0"/>
  </r>
  <r>
    <s v="ORD-10124"/>
    <x v="269"/>
    <x v="81"/>
    <x v="0"/>
    <x v="2"/>
    <x v="11"/>
    <x v="5"/>
    <s v="Footwear"/>
    <x v="11"/>
    <n v="2"/>
    <n v="671.31"/>
    <n v="939.83"/>
    <x v="6"/>
    <n v="79.55"/>
    <n v="298.38"/>
    <x v="1"/>
    <x v="2"/>
  </r>
  <r>
    <s v="ORD-10705"/>
    <x v="269"/>
    <x v="355"/>
    <x v="1"/>
    <x v="2"/>
    <x v="11"/>
    <x v="1"/>
    <s v="Furniture"/>
    <x v="46"/>
    <n v="1"/>
    <n v="4190.21"/>
    <n v="3980.7"/>
    <x v="3"/>
    <n v="614.20000000000005"/>
    <n v="331.16"/>
    <x v="3"/>
    <x v="0"/>
  </r>
  <r>
    <s v="ORD-10234"/>
    <x v="269"/>
    <x v="356"/>
    <x v="1"/>
    <x v="1"/>
    <x v="1"/>
    <x v="0"/>
    <s v="Headphones"/>
    <x v="81"/>
    <n v="3"/>
    <n v="47918.94"/>
    <n v="136568.98000000001"/>
    <x v="3"/>
    <n v="5768.51"/>
    <n v="61.07"/>
    <x v="3"/>
    <x v="3"/>
  </r>
  <r>
    <s v="ORD-10609"/>
    <x v="270"/>
    <x v="189"/>
    <x v="2"/>
    <x v="2"/>
    <x v="11"/>
    <x v="5"/>
    <s v="Kids Wear"/>
    <x v="65"/>
    <n v="2"/>
    <n v="1453.76"/>
    <n v="2762.14"/>
    <x v="3"/>
    <n v="499.89"/>
    <n v="219.9"/>
    <x v="1"/>
    <x v="2"/>
  </r>
  <r>
    <s v="ORD-10795"/>
    <x v="270"/>
    <x v="174"/>
    <x v="1"/>
    <x v="2"/>
    <x v="8"/>
    <x v="4"/>
    <s v="Makeup"/>
    <x v="63"/>
    <n v="3"/>
    <n v="1505.77"/>
    <n v="4291.4399999999996"/>
    <x v="3"/>
    <n v="997.5"/>
    <n v="266.32"/>
    <x v="3"/>
    <x v="2"/>
  </r>
  <r>
    <s v="ORD-10373"/>
    <x v="270"/>
    <x v="357"/>
    <x v="0"/>
    <x v="3"/>
    <x v="6"/>
    <x v="4"/>
    <s v="Haircare"/>
    <x v="85"/>
    <n v="1"/>
    <n v="200.76"/>
    <n v="180.68"/>
    <x v="2"/>
    <n v="40.19"/>
    <n v="146.74"/>
    <x v="1"/>
    <x v="0"/>
  </r>
  <r>
    <s v="ORD-10817"/>
    <x v="270"/>
    <x v="358"/>
    <x v="2"/>
    <x v="2"/>
    <x v="2"/>
    <x v="0"/>
    <s v="Headphones"/>
    <x v="60"/>
    <n v="2"/>
    <n v="24543.51"/>
    <n v="39269.620000000003"/>
    <x v="5"/>
    <n v="1417.45"/>
    <n v="182.96"/>
    <x v="3"/>
    <x v="2"/>
  </r>
  <r>
    <s v="ORD-10947"/>
    <x v="270"/>
    <x v="359"/>
    <x v="0"/>
    <x v="2"/>
    <x v="11"/>
    <x v="1"/>
    <s v="Furniture"/>
    <x v="39"/>
    <n v="3"/>
    <n v="8775.9699999999993"/>
    <n v="26327.91"/>
    <x v="0"/>
    <n v="4605.57"/>
    <n v="225.21"/>
    <x v="2"/>
    <x v="2"/>
  </r>
  <r>
    <s v="ORD-10571"/>
    <x v="270"/>
    <x v="135"/>
    <x v="0"/>
    <x v="0"/>
    <x v="0"/>
    <x v="5"/>
    <s v="Kids Wear"/>
    <x v="52"/>
    <n v="1"/>
    <n v="1336.66"/>
    <n v="1269.83"/>
    <x v="3"/>
    <n v="186.76"/>
    <n v="62.61"/>
    <x v="1"/>
    <x v="0"/>
  </r>
  <r>
    <s v="ORD-10280"/>
    <x v="271"/>
    <x v="7"/>
    <x v="0"/>
    <x v="3"/>
    <x v="10"/>
    <x v="2"/>
    <s v="Fiction"/>
    <x v="87"/>
    <n v="5"/>
    <n v="910.5"/>
    <n v="4097.25"/>
    <x v="2"/>
    <n v="455.91"/>
    <n v="329.73"/>
    <x v="2"/>
    <x v="3"/>
  </r>
  <r>
    <s v="ORD-10749"/>
    <x v="271"/>
    <x v="181"/>
    <x v="2"/>
    <x v="1"/>
    <x v="3"/>
    <x v="4"/>
    <s v="Makeup"/>
    <x v="63"/>
    <n v="4"/>
    <n v="271.64"/>
    <n v="814.92"/>
    <x v="4"/>
    <n v="92.39"/>
    <n v="253.35"/>
    <x v="1"/>
    <x v="3"/>
  </r>
  <r>
    <s v="ORD-10151"/>
    <x v="271"/>
    <x v="358"/>
    <x v="2"/>
    <x v="3"/>
    <x v="10"/>
    <x v="4"/>
    <s v="Makeup"/>
    <x v="59"/>
    <n v="3"/>
    <n v="1296.22"/>
    <n v="2916.49"/>
    <x v="4"/>
    <n v="316.32"/>
    <n v="369.76"/>
    <x v="1"/>
    <x v="3"/>
  </r>
  <r>
    <s v="ORD-10867"/>
    <x v="272"/>
    <x v="289"/>
    <x v="2"/>
    <x v="2"/>
    <x v="2"/>
    <x v="0"/>
    <s v="Cameras"/>
    <x v="0"/>
    <n v="1"/>
    <n v="39705.14"/>
    <n v="39705.14"/>
    <x v="0"/>
    <n v="6516.34"/>
    <n v="68.52"/>
    <x v="1"/>
    <x v="2"/>
  </r>
  <r>
    <s v="ORD-10023"/>
    <x v="272"/>
    <x v="49"/>
    <x v="2"/>
    <x v="2"/>
    <x v="2"/>
    <x v="1"/>
    <s v="Furniture"/>
    <x v="44"/>
    <n v="1"/>
    <n v="8643.69"/>
    <n v="6482.77"/>
    <x v="4"/>
    <n v="145.69"/>
    <n v="94.55"/>
    <x v="1"/>
    <x v="3"/>
  </r>
  <r>
    <s v="ORD-10600"/>
    <x v="272"/>
    <x v="360"/>
    <x v="2"/>
    <x v="3"/>
    <x v="7"/>
    <x v="4"/>
    <s v="Skincare"/>
    <x v="56"/>
    <n v="1"/>
    <n v="750.07"/>
    <n v="750.07"/>
    <x v="0"/>
    <n v="208.48"/>
    <n v="199.84"/>
    <x v="1"/>
    <x v="0"/>
  </r>
  <r>
    <s v="ORD-10143"/>
    <x v="273"/>
    <x v="152"/>
    <x v="2"/>
    <x v="3"/>
    <x v="10"/>
    <x v="1"/>
    <s v="Appliances"/>
    <x v="45"/>
    <n v="2"/>
    <n v="9554.39"/>
    <n v="14331.58"/>
    <x v="4"/>
    <n v="-196.32"/>
    <n v="216.87"/>
    <x v="0"/>
    <x v="1"/>
  </r>
  <r>
    <s v="ORD-10467"/>
    <x v="274"/>
    <x v="361"/>
    <x v="2"/>
    <x v="3"/>
    <x v="7"/>
    <x v="0"/>
    <s v="Accessories"/>
    <x v="50"/>
    <n v="4"/>
    <n v="58702.69"/>
    <n v="223070.22"/>
    <x v="3"/>
    <n v="803.76"/>
    <n v="156.38"/>
    <x v="1"/>
    <x v="3"/>
  </r>
  <r>
    <s v="ORD-10367"/>
    <x v="275"/>
    <x v="230"/>
    <x v="2"/>
    <x v="1"/>
    <x v="3"/>
    <x v="0"/>
    <s v="Headphones"/>
    <x v="81"/>
    <n v="3"/>
    <n v="26910.14"/>
    <n v="64584.34"/>
    <x v="5"/>
    <n v="440.82"/>
    <n v="170.75"/>
    <x v="1"/>
    <x v="3"/>
  </r>
  <r>
    <s v="ORD-10790"/>
    <x v="275"/>
    <x v="362"/>
    <x v="2"/>
    <x v="0"/>
    <x v="0"/>
    <x v="4"/>
    <s v="Makeup"/>
    <x v="20"/>
    <n v="3"/>
    <n v="658.27"/>
    <n v="1974.81"/>
    <x v="0"/>
    <n v="445.12"/>
    <n v="74.39"/>
    <x v="3"/>
    <x v="3"/>
  </r>
  <r>
    <s v="ORD-10632"/>
    <x v="275"/>
    <x v="363"/>
    <x v="0"/>
    <x v="2"/>
    <x v="11"/>
    <x v="2"/>
    <s v="Academic"/>
    <x v="2"/>
    <n v="1"/>
    <n v="721.73"/>
    <n v="721.73"/>
    <x v="0"/>
    <n v="93.63"/>
    <n v="95.43"/>
    <x v="0"/>
    <x v="3"/>
  </r>
  <r>
    <s v="ORD-10755"/>
    <x v="276"/>
    <x v="364"/>
    <x v="2"/>
    <x v="3"/>
    <x v="5"/>
    <x v="2"/>
    <s v="Fiction"/>
    <x v="49"/>
    <n v="3"/>
    <n v="581.75"/>
    <n v="1657.99"/>
    <x v="3"/>
    <n v="299.66000000000003"/>
    <n v="241.18"/>
    <x v="3"/>
    <x v="0"/>
  </r>
  <r>
    <s v="ORD-10476"/>
    <x v="277"/>
    <x v="365"/>
    <x v="2"/>
    <x v="2"/>
    <x v="2"/>
    <x v="1"/>
    <s v="Decor"/>
    <x v="61"/>
    <n v="2"/>
    <n v="9286.35"/>
    <n v="14858.16"/>
    <x v="5"/>
    <n v="508.4"/>
    <n v="297.3"/>
    <x v="1"/>
    <x v="3"/>
  </r>
  <r>
    <s v="ORD-10739"/>
    <x v="277"/>
    <x v="322"/>
    <x v="1"/>
    <x v="3"/>
    <x v="6"/>
    <x v="1"/>
    <s v="Decor"/>
    <x v="61"/>
    <n v="1"/>
    <n v="3395.48"/>
    <n v="2376.84"/>
    <x v="6"/>
    <n v="-149.94"/>
    <n v="277.77999999999997"/>
    <x v="1"/>
    <x v="3"/>
  </r>
  <r>
    <s v="ORD-10125"/>
    <x v="277"/>
    <x v="260"/>
    <x v="1"/>
    <x v="1"/>
    <x v="1"/>
    <x v="3"/>
    <s v="Footwear"/>
    <x v="29"/>
    <n v="1"/>
    <n v="2313.3200000000002"/>
    <n v="1619.32"/>
    <x v="6"/>
    <n v="152.94999999999999"/>
    <n v="98.15"/>
    <x v="3"/>
    <x v="3"/>
  </r>
  <r>
    <s v="ORD-10399"/>
    <x v="278"/>
    <x v="122"/>
    <x v="0"/>
    <x v="1"/>
    <x v="1"/>
    <x v="0"/>
    <s v="Accessories"/>
    <x v="89"/>
    <n v="1"/>
    <n v="15530.48"/>
    <n v="13977.43"/>
    <x v="2"/>
    <n v="-171.09"/>
    <n v="170.61"/>
    <x v="0"/>
    <x v="2"/>
  </r>
  <r>
    <s v="ORD-10666"/>
    <x v="279"/>
    <x v="354"/>
    <x v="2"/>
    <x v="0"/>
    <x v="0"/>
    <x v="0"/>
    <s v="Headphones"/>
    <x v="81"/>
    <n v="3"/>
    <n v="18927.009999999998"/>
    <n v="53941.98"/>
    <x v="3"/>
    <n v="5559.86"/>
    <n v="148.41999999999999"/>
    <x v="1"/>
    <x v="1"/>
  </r>
  <r>
    <s v="ORD-10769"/>
    <x v="279"/>
    <x v="302"/>
    <x v="2"/>
    <x v="3"/>
    <x v="6"/>
    <x v="3"/>
    <s v="Gym Equipment"/>
    <x v="92"/>
    <n v="3"/>
    <n v="10391.040000000001"/>
    <n v="28055.81"/>
    <x v="2"/>
    <n v="1131.74"/>
    <n v="279.42"/>
    <x v="1"/>
    <x v="0"/>
  </r>
  <r>
    <s v="ORD-10135"/>
    <x v="280"/>
    <x v="86"/>
    <x v="2"/>
    <x v="3"/>
    <x v="5"/>
    <x v="0"/>
    <s v="Laptops"/>
    <x v="90"/>
    <n v="1"/>
    <n v="36208.04"/>
    <n v="28966.43"/>
    <x v="5"/>
    <n v="-3687.22"/>
    <n v="316.14999999999998"/>
    <x v="1"/>
    <x v="1"/>
  </r>
  <r>
    <s v="ORD-10494"/>
    <x v="281"/>
    <x v="366"/>
    <x v="2"/>
    <x v="0"/>
    <x v="12"/>
    <x v="0"/>
    <s v="Cameras"/>
    <x v="0"/>
    <n v="2"/>
    <n v="39932.32"/>
    <n v="79864.639999999999"/>
    <x v="0"/>
    <n v="7547.46"/>
    <n v="247.02"/>
    <x v="3"/>
    <x v="3"/>
  </r>
  <r>
    <s v="ORD-10177"/>
    <x v="282"/>
    <x v="367"/>
    <x v="2"/>
    <x v="2"/>
    <x v="8"/>
    <x v="2"/>
    <s v="Comics"/>
    <x v="30"/>
    <n v="1"/>
    <n v="278.95"/>
    <n v="251.06"/>
    <x v="2"/>
    <n v="14.72"/>
    <n v="89.62"/>
    <x v="0"/>
    <x v="3"/>
  </r>
  <r>
    <s v="ORD-10566"/>
    <x v="283"/>
    <x v="240"/>
    <x v="2"/>
    <x v="2"/>
    <x v="2"/>
    <x v="0"/>
    <s v="Laptops"/>
    <x v="90"/>
    <n v="5"/>
    <n v="19700.09"/>
    <n v="98500.45"/>
    <x v="0"/>
    <n v="20777.39"/>
    <n v="270.25"/>
    <x v="3"/>
    <x v="0"/>
  </r>
  <r>
    <s v="ORD-10166"/>
    <x v="284"/>
    <x v="339"/>
    <x v="2"/>
    <x v="1"/>
    <x v="1"/>
    <x v="3"/>
    <s v="Footwear"/>
    <x v="29"/>
    <n v="2"/>
    <n v="11248.81"/>
    <n v="20247.86"/>
    <x v="2"/>
    <n v="3086"/>
    <n v="55.73"/>
    <x v="2"/>
    <x v="3"/>
  </r>
  <r>
    <s v="ORD-10716"/>
    <x v="285"/>
    <x v="368"/>
    <x v="2"/>
    <x v="0"/>
    <x v="4"/>
    <x v="4"/>
    <s v="Skincare"/>
    <x v="67"/>
    <n v="4"/>
    <n v="1515.4"/>
    <n v="6061.6"/>
    <x v="0"/>
    <n v="1526.08"/>
    <n v="390.6"/>
    <x v="1"/>
    <x v="1"/>
  </r>
  <r>
    <s v="ORD-10259"/>
    <x v="286"/>
    <x v="68"/>
    <x v="0"/>
    <x v="1"/>
    <x v="1"/>
    <x v="0"/>
    <s v="Accessories"/>
    <x v="50"/>
    <n v="2"/>
    <n v="2375.69"/>
    <n v="4276.24"/>
    <x v="2"/>
    <n v="424.71"/>
    <n v="170.49"/>
    <x v="2"/>
    <x v="3"/>
  </r>
  <r>
    <s v="ORD-10708"/>
    <x v="286"/>
    <x v="369"/>
    <x v="1"/>
    <x v="0"/>
    <x v="4"/>
    <x v="5"/>
    <s v="Men's Wear"/>
    <x v="21"/>
    <n v="4"/>
    <n v="2144.6799999999998"/>
    <n v="8578.7199999999993"/>
    <x v="0"/>
    <n v="1980.75"/>
    <n v="270.37"/>
    <x v="0"/>
    <x v="2"/>
  </r>
  <r>
    <s v="ORD-10400"/>
    <x v="286"/>
    <x v="370"/>
    <x v="1"/>
    <x v="2"/>
    <x v="2"/>
    <x v="0"/>
    <s v="Headphones"/>
    <x v="15"/>
    <n v="2"/>
    <n v="60426.66"/>
    <n v="114810.65"/>
    <x v="3"/>
    <n v="-3251.19"/>
    <n v="261.31"/>
    <x v="3"/>
    <x v="2"/>
  </r>
  <r>
    <s v="ORD-10890"/>
    <x v="287"/>
    <x v="371"/>
    <x v="2"/>
    <x v="2"/>
    <x v="9"/>
    <x v="3"/>
    <s v="Apparel"/>
    <x v="18"/>
    <n v="2"/>
    <n v="4590.29"/>
    <n v="7344.46"/>
    <x v="5"/>
    <n v="997.17"/>
    <n v="194.66"/>
    <x v="3"/>
    <x v="3"/>
  </r>
  <r>
    <s v="ORD-10849"/>
    <x v="287"/>
    <x v="372"/>
    <x v="2"/>
    <x v="1"/>
    <x v="13"/>
    <x v="5"/>
    <s v="Footwear"/>
    <x v="37"/>
    <n v="1"/>
    <n v="1573.8"/>
    <n v="1573.8"/>
    <x v="0"/>
    <n v="361.22"/>
    <n v="200.1"/>
    <x v="2"/>
    <x v="2"/>
  </r>
  <r>
    <s v="ORD-10101"/>
    <x v="287"/>
    <x v="160"/>
    <x v="2"/>
    <x v="2"/>
    <x v="8"/>
    <x v="2"/>
    <s v="Non-Fiction"/>
    <x v="93"/>
    <n v="3"/>
    <n v="655.75"/>
    <n v="1672.16"/>
    <x v="1"/>
    <n v="223.92"/>
    <n v="139.59"/>
    <x v="1"/>
    <x v="3"/>
  </r>
  <r>
    <s v="ORD-10233"/>
    <x v="288"/>
    <x v="373"/>
    <x v="1"/>
    <x v="1"/>
    <x v="3"/>
    <x v="1"/>
    <s v="Furniture"/>
    <x v="10"/>
    <n v="3"/>
    <n v="11218.04"/>
    <n v="31971.41"/>
    <x v="3"/>
    <n v="4756.8999999999996"/>
    <n v="245.84"/>
    <x v="1"/>
    <x v="3"/>
  </r>
  <r>
    <s v="ORD-10534"/>
    <x v="288"/>
    <x v="371"/>
    <x v="2"/>
    <x v="0"/>
    <x v="12"/>
    <x v="5"/>
    <s v="Women's Wear"/>
    <x v="86"/>
    <n v="2"/>
    <n v="3277.86"/>
    <n v="6227.93"/>
    <x v="3"/>
    <n v="972.65"/>
    <n v="101.69"/>
    <x v="1"/>
    <x v="3"/>
  </r>
  <r>
    <s v="ORD-10713"/>
    <x v="288"/>
    <x v="374"/>
    <x v="2"/>
    <x v="1"/>
    <x v="1"/>
    <x v="2"/>
    <s v="Academic"/>
    <x v="2"/>
    <n v="1"/>
    <n v="1085.4000000000001"/>
    <n v="759.78"/>
    <x v="6"/>
    <n v="-49.75"/>
    <n v="63.71"/>
    <x v="3"/>
    <x v="1"/>
  </r>
  <r>
    <s v="ORD-10326"/>
    <x v="289"/>
    <x v="375"/>
    <x v="0"/>
    <x v="0"/>
    <x v="4"/>
    <x v="4"/>
    <s v="Haircare"/>
    <x v="53"/>
    <n v="1"/>
    <n v="746.35"/>
    <n v="709.03"/>
    <x v="3"/>
    <n v="118.98"/>
    <n v="149.44"/>
    <x v="1"/>
    <x v="0"/>
  </r>
  <r>
    <s v="ORD-10335"/>
    <x v="290"/>
    <x v="376"/>
    <x v="1"/>
    <x v="2"/>
    <x v="11"/>
    <x v="4"/>
    <s v="Haircare"/>
    <x v="17"/>
    <n v="2"/>
    <n v="1850.56"/>
    <n v="2960.9"/>
    <x v="5"/>
    <n v="520.55999999999995"/>
    <n v="308.42"/>
    <x v="1"/>
    <x v="2"/>
  </r>
  <r>
    <s v="ORD-10509"/>
    <x v="290"/>
    <x v="131"/>
    <x v="1"/>
    <x v="1"/>
    <x v="13"/>
    <x v="0"/>
    <s v="Cameras"/>
    <x v="0"/>
    <n v="3"/>
    <n v="24745.58"/>
    <n v="70524.899999999994"/>
    <x v="3"/>
    <n v="4192.25"/>
    <n v="300.38"/>
    <x v="2"/>
    <x v="0"/>
  </r>
  <r>
    <s v="ORD-10385"/>
    <x v="291"/>
    <x v="377"/>
    <x v="2"/>
    <x v="3"/>
    <x v="10"/>
    <x v="2"/>
    <s v="Fiction"/>
    <x v="9"/>
    <n v="3"/>
    <n v="562.01"/>
    <n v="1517.43"/>
    <x v="2"/>
    <n v="158.68"/>
    <n v="361.71"/>
    <x v="3"/>
    <x v="3"/>
  </r>
  <r>
    <s v="ORD-10046"/>
    <x v="291"/>
    <x v="129"/>
    <x v="2"/>
    <x v="0"/>
    <x v="12"/>
    <x v="5"/>
    <s v="Men's Wear"/>
    <x v="21"/>
    <n v="2"/>
    <n v="3109.75"/>
    <n v="5597.55"/>
    <x v="2"/>
    <n v="992.57"/>
    <n v="230.82"/>
    <x v="0"/>
    <x v="0"/>
  </r>
  <r>
    <s v="ORD-10378"/>
    <x v="291"/>
    <x v="326"/>
    <x v="2"/>
    <x v="3"/>
    <x v="7"/>
    <x v="2"/>
    <s v="Fiction"/>
    <x v="76"/>
    <n v="1"/>
    <n v="597.39"/>
    <n v="597.39"/>
    <x v="0"/>
    <n v="116.86"/>
    <n v="71.83"/>
    <x v="3"/>
    <x v="3"/>
  </r>
  <r>
    <s v="ORD-10949"/>
    <x v="292"/>
    <x v="378"/>
    <x v="0"/>
    <x v="3"/>
    <x v="5"/>
    <x v="2"/>
    <s v="Non-Fiction"/>
    <x v="36"/>
    <n v="3"/>
    <n v="1181.6500000000001"/>
    <n v="2658.71"/>
    <x v="4"/>
    <n v="-89.72"/>
    <n v="200.75"/>
    <x v="1"/>
    <x v="2"/>
  </r>
  <r>
    <s v="ORD-10900"/>
    <x v="293"/>
    <x v="379"/>
    <x v="1"/>
    <x v="1"/>
    <x v="3"/>
    <x v="5"/>
    <s v="Footwear"/>
    <x v="11"/>
    <n v="3"/>
    <n v="830.82"/>
    <n v="1869.35"/>
    <x v="4"/>
    <n v="-66.819999999999993"/>
    <n v="68.91"/>
    <x v="1"/>
    <x v="2"/>
  </r>
  <r>
    <s v="ORD-10440"/>
    <x v="294"/>
    <x v="103"/>
    <x v="2"/>
    <x v="3"/>
    <x v="7"/>
    <x v="0"/>
    <s v="Cameras"/>
    <x v="8"/>
    <n v="3"/>
    <n v="54018"/>
    <n v="162054"/>
    <x v="0"/>
    <n v="20385.900000000001"/>
    <n v="312.07"/>
    <x v="3"/>
    <x v="3"/>
  </r>
  <r>
    <s v="ORD-10314"/>
    <x v="295"/>
    <x v="380"/>
    <x v="2"/>
    <x v="3"/>
    <x v="6"/>
    <x v="0"/>
    <s v="Laptops"/>
    <x v="90"/>
    <n v="1"/>
    <n v="32388.41"/>
    <n v="22671.89"/>
    <x v="6"/>
    <n v="-1420.97"/>
    <n v="243.4"/>
    <x v="3"/>
    <x v="2"/>
  </r>
  <r>
    <s v="ORD-10523"/>
    <x v="295"/>
    <x v="261"/>
    <x v="1"/>
    <x v="0"/>
    <x v="0"/>
    <x v="4"/>
    <s v="Fragrances"/>
    <x v="19"/>
    <n v="3"/>
    <n v="1087.51"/>
    <n v="3262.53"/>
    <x v="0"/>
    <n v="984.7"/>
    <n v="92.4"/>
    <x v="1"/>
    <x v="2"/>
  </r>
  <r>
    <s v="ORD-10966"/>
    <x v="295"/>
    <x v="381"/>
    <x v="2"/>
    <x v="0"/>
    <x v="12"/>
    <x v="5"/>
    <s v="Kids Wear"/>
    <x v="48"/>
    <n v="3"/>
    <n v="497.29"/>
    <n v="1268.0899999999999"/>
    <x v="1"/>
    <n v="159.72"/>
    <n v="356.98"/>
    <x v="4"/>
    <x v="3"/>
  </r>
  <r>
    <s v="ORD-10611"/>
    <x v="296"/>
    <x v="382"/>
    <x v="2"/>
    <x v="1"/>
    <x v="13"/>
    <x v="3"/>
    <s v="Apparel"/>
    <x v="75"/>
    <n v="1"/>
    <n v="13500.93"/>
    <n v="12150.84"/>
    <x v="2"/>
    <n v="1191.58"/>
    <n v="348.39"/>
    <x v="0"/>
    <x v="3"/>
  </r>
  <r>
    <s v="ORD-10573"/>
    <x v="296"/>
    <x v="281"/>
    <x v="2"/>
    <x v="0"/>
    <x v="4"/>
    <x v="3"/>
    <s v="Outdoor Gear"/>
    <x v="34"/>
    <n v="1"/>
    <n v="8727"/>
    <n v="8727"/>
    <x v="0"/>
    <n v="925.25"/>
    <n v="329.62"/>
    <x v="3"/>
    <x v="3"/>
  </r>
  <r>
    <s v="ORD-10930"/>
    <x v="297"/>
    <x v="1"/>
    <x v="2"/>
    <x v="0"/>
    <x v="4"/>
    <x v="3"/>
    <s v="Outdoor Gear"/>
    <x v="3"/>
    <n v="1"/>
    <n v="2114.5500000000002"/>
    <n v="1585.91"/>
    <x v="4"/>
    <n v="-35.770000000000003"/>
    <n v="217.05"/>
    <x v="1"/>
    <x v="3"/>
  </r>
  <r>
    <s v="ORD-10235"/>
    <x v="297"/>
    <x v="203"/>
    <x v="2"/>
    <x v="0"/>
    <x v="4"/>
    <x v="3"/>
    <s v="Outdoor Gear"/>
    <x v="12"/>
    <n v="2"/>
    <n v="5545.21"/>
    <n v="8317.82"/>
    <x v="4"/>
    <n v="-2.54"/>
    <n v="119.75"/>
    <x v="2"/>
    <x v="3"/>
  </r>
  <r>
    <s v="ORD-10992"/>
    <x v="297"/>
    <x v="220"/>
    <x v="2"/>
    <x v="3"/>
    <x v="10"/>
    <x v="4"/>
    <s v="Skincare"/>
    <x v="26"/>
    <n v="1"/>
    <n v="1337.4"/>
    <n v="1337.4"/>
    <x v="0"/>
    <n v="337.59"/>
    <n v="68.94"/>
    <x v="1"/>
    <x v="3"/>
  </r>
  <r>
    <s v="ORD-10601"/>
    <x v="298"/>
    <x v="208"/>
    <x v="1"/>
    <x v="0"/>
    <x v="0"/>
    <x v="3"/>
    <s v="Apparel"/>
    <x v="18"/>
    <n v="5"/>
    <n v="9793.26"/>
    <n v="41621.360000000001"/>
    <x v="1"/>
    <n v="7638.19"/>
    <n v="155.59"/>
    <x v="3"/>
    <x v="2"/>
  </r>
  <r>
    <s v="ORD-10391"/>
    <x v="299"/>
    <x v="134"/>
    <x v="2"/>
    <x v="1"/>
    <x v="13"/>
    <x v="2"/>
    <s v="Comics"/>
    <x v="30"/>
    <n v="4"/>
    <n v="224.82"/>
    <n v="854.32"/>
    <x v="3"/>
    <n v="68.239999999999995"/>
    <n v="169.89"/>
    <x v="3"/>
    <x v="2"/>
  </r>
  <r>
    <s v="ORD-10001"/>
    <x v="300"/>
    <x v="193"/>
    <x v="2"/>
    <x v="0"/>
    <x v="4"/>
    <x v="5"/>
    <s v="Women's Wear"/>
    <x v="22"/>
    <n v="1"/>
    <n v="4293"/>
    <n v="4293"/>
    <x v="0"/>
    <n v="1083.49"/>
    <n v="79.930000000000007"/>
    <x v="1"/>
    <x v="3"/>
  </r>
  <r>
    <s v="ORD-10415"/>
    <x v="301"/>
    <x v="100"/>
    <x v="1"/>
    <x v="3"/>
    <x v="5"/>
    <x v="3"/>
    <s v="Apparel"/>
    <x v="5"/>
    <n v="1"/>
    <n v="5740.33"/>
    <n v="4879.28"/>
    <x v="1"/>
    <n v="320.2"/>
    <n v="127.79"/>
    <x v="0"/>
    <x v="0"/>
  </r>
  <r>
    <s v="ORD-10747"/>
    <x v="301"/>
    <x v="295"/>
    <x v="2"/>
    <x v="1"/>
    <x v="3"/>
    <x v="0"/>
    <s v="Headphones"/>
    <x v="84"/>
    <n v="3"/>
    <n v="53193.15"/>
    <n v="151600.48000000001"/>
    <x v="3"/>
    <n v="16013.77"/>
    <n v="120.07"/>
    <x v="2"/>
    <x v="1"/>
  </r>
  <r>
    <s v="ORD-10484"/>
    <x v="301"/>
    <x v="124"/>
    <x v="2"/>
    <x v="2"/>
    <x v="8"/>
    <x v="0"/>
    <s v="Headphones"/>
    <x v="68"/>
    <n v="2"/>
    <n v="35696.559999999998"/>
    <n v="67823.460000000006"/>
    <x v="3"/>
    <n v="11839.55"/>
    <n v="75.89"/>
    <x v="0"/>
    <x v="2"/>
  </r>
  <r>
    <s v="ORD-10841"/>
    <x v="302"/>
    <x v="296"/>
    <x v="1"/>
    <x v="0"/>
    <x v="0"/>
    <x v="0"/>
    <s v="Cameras"/>
    <x v="31"/>
    <n v="1"/>
    <n v="28222.36"/>
    <n v="25400.12"/>
    <x v="2"/>
    <n v="129.69999999999999"/>
    <n v="76.180000000000007"/>
    <x v="3"/>
    <x v="2"/>
  </r>
  <r>
    <s v="ORD-10980"/>
    <x v="303"/>
    <x v="383"/>
    <x v="2"/>
    <x v="2"/>
    <x v="8"/>
    <x v="5"/>
    <s v="Kids Wear"/>
    <x v="65"/>
    <n v="2"/>
    <n v="4286.95"/>
    <n v="7716.51"/>
    <x v="2"/>
    <n v="1478.91"/>
    <n v="326.47000000000003"/>
    <x v="0"/>
    <x v="3"/>
  </r>
  <r>
    <s v="ORD-10343"/>
    <x v="303"/>
    <x v="384"/>
    <x v="2"/>
    <x v="1"/>
    <x v="13"/>
    <x v="4"/>
    <s v="Makeup"/>
    <x v="20"/>
    <n v="2"/>
    <n v="1549.2"/>
    <n v="2788.56"/>
    <x v="2"/>
    <n v="686.59"/>
    <n v="321.10000000000002"/>
    <x v="3"/>
    <x v="3"/>
  </r>
  <r>
    <s v="ORD-10774"/>
    <x v="303"/>
    <x v="243"/>
    <x v="2"/>
    <x v="3"/>
    <x v="10"/>
    <x v="2"/>
    <s v="Academic"/>
    <x v="2"/>
    <n v="2"/>
    <n v="1077.06"/>
    <n v="1938.71"/>
    <x v="2"/>
    <n v="160.04"/>
    <n v="255.89"/>
    <x v="1"/>
    <x v="1"/>
  </r>
  <r>
    <s v="ORD-10239"/>
    <x v="304"/>
    <x v="385"/>
    <x v="1"/>
    <x v="1"/>
    <x v="3"/>
    <x v="0"/>
    <s v="Headphones"/>
    <x v="68"/>
    <n v="1"/>
    <n v="57611.89"/>
    <n v="57611.89"/>
    <x v="0"/>
    <n v="8156.53"/>
    <n v="346.54"/>
    <x v="0"/>
    <x v="2"/>
  </r>
  <r>
    <s v="ORD-10521"/>
    <x v="304"/>
    <x v="8"/>
    <x v="2"/>
    <x v="0"/>
    <x v="12"/>
    <x v="1"/>
    <s v="Decor"/>
    <x v="61"/>
    <n v="1"/>
    <n v="2321.29"/>
    <n v="1973.1"/>
    <x v="1"/>
    <n v="137.69999999999999"/>
    <n v="273.81"/>
    <x v="3"/>
    <x v="1"/>
  </r>
  <r>
    <s v="ORD-10644"/>
    <x v="305"/>
    <x v="386"/>
    <x v="1"/>
    <x v="1"/>
    <x v="13"/>
    <x v="4"/>
    <s v="Haircare"/>
    <x v="77"/>
    <n v="3"/>
    <n v="818.75"/>
    <n v="2087.81"/>
    <x v="1"/>
    <n v="420.55"/>
    <n v="225.63"/>
    <x v="1"/>
    <x v="3"/>
  </r>
  <r>
    <s v="ORD-10702"/>
    <x v="306"/>
    <x v="340"/>
    <x v="2"/>
    <x v="0"/>
    <x v="0"/>
    <x v="1"/>
    <s v="Furniture"/>
    <x v="46"/>
    <n v="5"/>
    <n v="5542.36"/>
    <n v="27711.8"/>
    <x v="0"/>
    <n v="4139.8100000000004"/>
    <n v="267.08"/>
    <x v="2"/>
    <x v="0"/>
  </r>
  <r>
    <s v="ORD-10090"/>
    <x v="307"/>
    <x v="339"/>
    <x v="2"/>
    <x v="2"/>
    <x v="8"/>
    <x v="2"/>
    <s v="Comics"/>
    <x v="43"/>
    <n v="1"/>
    <n v="1100.6500000000001"/>
    <n v="825.49"/>
    <x v="4"/>
    <n v="-34.78"/>
    <n v="59.21"/>
    <x v="3"/>
    <x v="2"/>
  </r>
  <r>
    <s v="ORD-10824"/>
    <x v="308"/>
    <x v="387"/>
    <x v="1"/>
    <x v="0"/>
    <x v="0"/>
    <x v="4"/>
    <s v="Skincare"/>
    <x v="67"/>
    <n v="4"/>
    <n v="2465.15"/>
    <n v="8874.5400000000009"/>
    <x v="2"/>
    <n v="1384.71"/>
    <n v="375.48"/>
    <x v="3"/>
    <x v="3"/>
  </r>
  <r>
    <s v="ORD-10851"/>
    <x v="309"/>
    <x v="363"/>
    <x v="2"/>
    <x v="0"/>
    <x v="0"/>
    <x v="3"/>
    <s v="Outdoor Gear"/>
    <x v="3"/>
    <n v="1"/>
    <n v="9421.85"/>
    <n v="9421.85"/>
    <x v="0"/>
    <n v="2138.16"/>
    <n v="300.36"/>
    <x v="1"/>
    <x v="1"/>
  </r>
  <r>
    <s v="ORD-10164"/>
    <x v="309"/>
    <x v="86"/>
    <x v="0"/>
    <x v="0"/>
    <x v="0"/>
    <x v="2"/>
    <s v="Comics"/>
    <x v="30"/>
    <n v="1"/>
    <n v="325.07"/>
    <n v="325.07"/>
    <x v="0"/>
    <n v="72.040000000000006"/>
    <n v="311.16000000000003"/>
    <x v="0"/>
    <x v="0"/>
  </r>
  <r>
    <s v="ORD-10679"/>
    <x v="310"/>
    <x v="264"/>
    <x v="2"/>
    <x v="1"/>
    <x v="1"/>
    <x v="1"/>
    <s v="Cookware"/>
    <x v="80"/>
    <n v="2"/>
    <n v="578.58000000000004"/>
    <n v="1157.1600000000001"/>
    <x v="0"/>
    <n v="119.7"/>
    <n v="189.08"/>
    <x v="4"/>
    <x v="2"/>
  </r>
  <r>
    <s v="ORD-10718"/>
    <x v="310"/>
    <x v="388"/>
    <x v="1"/>
    <x v="1"/>
    <x v="1"/>
    <x v="1"/>
    <s v="Furniture"/>
    <x v="39"/>
    <n v="2"/>
    <n v="2762.54"/>
    <n v="4972.57"/>
    <x v="2"/>
    <n v="17.239999999999998"/>
    <n v="149.82"/>
    <x v="4"/>
    <x v="0"/>
  </r>
  <r>
    <s v="ORD-10411"/>
    <x v="310"/>
    <x v="87"/>
    <x v="1"/>
    <x v="2"/>
    <x v="11"/>
    <x v="2"/>
    <s v="Comics"/>
    <x v="30"/>
    <n v="2"/>
    <n v="441.8"/>
    <n v="751.06"/>
    <x v="1"/>
    <n v="54.26"/>
    <n v="255.42"/>
    <x v="0"/>
    <x v="2"/>
  </r>
  <r>
    <s v="ORD-10617"/>
    <x v="311"/>
    <x v="315"/>
    <x v="2"/>
    <x v="3"/>
    <x v="10"/>
    <x v="3"/>
    <s v="Apparel"/>
    <x v="75"/>
    <n v="3"/>
    <n v="14517.32"/>
    <n v="37019.17"/>
    <x v="1"/>
    <n v="6015.59"/>
    <n v="307.39"/>
    <x v="2"/>
    <x v="3"/>
  </r>
  <r>
    <s v="ORD-10561"/>
    <x v="311"/>
    <x v="389"/>
    <x v="0"/>
    <x v="3"/>
    <x v="10"/>
    <x v="2"/>
    <s v="Academic"/>
    <x v="91"/>
    <n v="2"/>
    <n v="895.62"/>
    <n v="1522.55"/>
    <x v="1"/>
    <n v="7.49"/>
    <n v="321.29000000000002"/>
    <x v="3"/>
    <x v="2"/>
  </r>
  <r>
    <s v="ORD-10622"/>
    <x v="312"/>
    <x v="390"/>
    <x v="0"/>
    <x v="1"/>
    <x v="3"/>
    <x v="1"/>
    <s v="Cookware"/>
    <x v="80"/>
    <n v="1"/>
    <n v="10777.86"/>
    <n v="9700.07"/>
    <x v="2"/>
    <n v="1532.98"/>
    <n v="30.14"/>
    <x v="2"/>
    <x v="0"/>
  </r>
  <r>
    <s v="ORD-10653"/>
    <x v="313"/>
    <x v="256"/>
    <x v="2"/>
    <x v="0"/>
    <x v="12"/>
    <x v="3"/>
    <s v="Outdoor Gear"/>
    <x v="12"/>
    <n v="3"/>
    <n v="5980.8"/>
    <n v="14353.92"/>
    <x v="5"/>
    <n v="1105.04"/>
    <n v="135.19"/>
    <x v="1"/>
    <x v="1"/>
  </r>
  <r>
    <s v="ORD-10577"/>
    <x v="313"/>
    <x v="234"/>
    <x v="0"/>
    <x v="0"/>
    <x v="0"/>
    <x v="4"/>
    <s v="Fragrances"/>
    <x v="41"/>
    <n v="2"/>
    <n v="1815.84"/>
    <n v="3086.93"/>
    <x v="1"/>
    <n v="491.18"/>
    <n v="295.18"/>
    <x v="3"/>
    <x v="0"/>
  </r>
  <r>
    <s v="ORD-10091"/>
    <x v="314"/>
    <x v="166"/>
    <x v="2"/>
    <x v="3"/>
    <x v="5"/>
    <x v="1"/>
    <s v="Appliances"/>
    <x v="40"/>
    <n v="1"/>
    <n v="11498.89"/>
    <n v="9774.06"/>
    <x v="1"/>
    <n v="781.82"/>
    <n v="187.77"/>
    <x v="1"/>
    <x v="3"/>
  </r>
  <r>
    <s v="ORD-10581"/>
    <x v="314"/>
    <x v="391"/>
    <x v="2"/>
    <x v="1"/>
    <x v="3"/>
    <x v="5"/>
    <s v="Women's Wear"/>
    <x v="86"/>
    <n v="2"/>
    <n v="3523.78"/>
    <n v="7047.56"/>
    <x v="0"/>
    <n v="1985.69"/>
    <n v="317.11"/>
    <x v="0"/>
    <x v="0"/>
  </r>
  <r>
    <s v="ORD-10565"/>
    <x v="315"/>
    <x v="147"/>
    <x v="2"/>
    <x v="3"/>
    <x v="10"/>
    <x v="0"/>
    <s v="Headphones"/>
    <x v="15"/>
    <n v="2"/>
    <n v="36587.14"/>
    <n v="69515.570000000007"/>
    <x v="3"/>
    <n v="6344.35"/>
    <n v="193.22"/>
    <x v="1"/>
    <x v="1"/>
  </r>
  <r>
    <s v="ORD-10348"/>
    <x v="316"/>
    <x v="392"/>
    <x v="2"/>
    <x v="3"/>
    <x v="6"/>
    <x v="0"/>
    <s v="Accessories"/>
    <x v="27"/>
    <n v="1"/>
    <n v="64442.13"/>
    <n v="61220.02"/>
    <x v="3"/>
    <n v="9302.74"/>
    <n v="71.09"/>
    <x v="1"/>
    <x v="0"/>
  </r>
  <r>
    <s v="ORD-10269"/>
    <x v="316"/>
    <x v="253"/>
    <x v="2"/>
    <x v="0"/>
    <x v="12"/>
    <x v="3"/>
    <s v="Outdoor Gear"/>
    <x v="3"/>
    <n v="2"/>
    <n v="4353.25"/>
    <n v="7400.52"/>
    <x v="1"/>
    <n v="1054.6500000000001"/>
    <n v="179.31"/>
    <x v="1"/>
    <x v="3"/>
  </r>
  <r>
    <s v="ORD-10360"/>
    <x v="317"/>
    <x v="393"/>
    <x v="0"/>
    <x v="1"/>
    <x v="13"/>
    <x v="3"/>
    <s v="Gym Equipment"/>
    <x v="92"/>
    <n v="3"/>
    <n v="11806.71"/>
    <n v="35420.129999999997"/>
    <x v="0"/>
    <n v="8481.91"/>
    <n v="286.8"/>
    <x v="1"/>
    <x v="3"/>
  </r>
  <r>
    <s v="ORD-10264"/>
    <x v="317"/>
    <x v="67"/>
    <x v="2"/>
    <x v="2"/>
    <x v="8"/>
    <x v="0"/>
    <s v="Laptops"/>
    <x v="88"/>
    <n v="5"/>
    <n v="2768.65"/>
    <n v="13151.09"/>
    <x v="3"/>
    <n v="2177.0300000000002"/>
    <n v="97.08"/>
    <x v="1"/>
    <x v="0"/>
  </r>
  <r>
    <s v="ORD-10005"/>
    <x v="317"/>
    <x v="394"/>
    <x v="0"/>
    <x v="0"/>
    <x v="4"/>
    <x v="1"/>
    <s v="Decor"/>
    <x v="83"/>
    <n v="2"/>
    <n v="7495.18"/>
    <n v="14990.36"/>
    <x v="0"/>
    <n v="870.11"/>
    <n v="59.93"/>
    <x v="3"/>
    <x v="3"/>
  </r>
  <r>
    <s v="ORD-10757"/>
    <x v="318"/>
    <x v="350"/>
    <x v="2"/>
    <x v="2"/>
    <x v="9"/>
    <x v="5"/>
    <s v="Kids Wear"/>
    <x v="52"/>
    <n v="3"/>
    <n v="4149.7299999999996"/>
    <n v="12449.19"/>
    <x v="0"/>
    <n v="2096.61"/>
    <n v="102.45"/>
    <x v="2"/>
    <x v="0"/>
  </r>
  <r>
    <s v="ORD-10176"/>
    <x v="318"/>
    <x v="214"/>
    <x v="2"/>
    <x v="2"/>
    <x v="8"/>
    <x v="3"/>
    <s v="Outdoor Gear"/>
    <x v="12"/>
    <n v="1"/>
    <n v="14038.48"/>
    <n v="13336.56"/>
    <x v="3"/>
    <n v="3135.32"/>
    <n v="326.18"/>
    <x v="0"/>
    <x v="0"/>
  </r>
  <r>
    <s v="ORD-10908"/>
    <x v="318"/>
    <x v="395"/>
    <x v="0"/>
    <x v="2"/>
    <x v="2"/>
    <x v="5"/>
    <s v="Women's Wear"/>
    <x v="86"/>
    <n v="3"/>
    <n v="2157.94"/>
    <n v="5826.44"/>
    <x v="2"/>
    <n v="600.79999999999995"/>
    <n v="73.59"/>
    <x v="0"/>
    <x v="3"/>
  </r>
  <r>
    <s v="ORD-10406"/>
    <x v="319"/>
    <x v="91"/>
    <x v="2"/>
    <x v="0"/>
    <x v="12"/>
    <x v="5"/>
    <s v="Kids Wear"/>
    <x v="73"/>
    <n v="4"/>
    <n v="2424.58"/>
    <n v="8728.49"/>
    <x v="2"/>
    <n v="1515.86"/>
    <n v="344.02"/>
    <x v="1"/>
    <x v="0"/>
  </r>
  <r>
    <s v="ORD-10405"/>
    <x v="320"/>
    <x v="396"/>
    <x v="2"/>
    <x v="0"/>
    <x v="12"/>
    <x v="3"/>
    <s v="Gym Equipment"/>
    <x v="92"/>
    <n v="1"/>
    <n v="1931.38"/>
    <n v="1738.24"/>
    <x v="2"/>
    <n v="191.02"/>
    <n v="338.84"/>
    <x v="3"/>
    <x v="0"/>
  </r>
  <r>
    <s v="ORD-10002"/>
    <x v="321"/>
    <x v="183"/>
    <x v="0"/>
    <x v="2"/>
    <x v="8"/>
    <x v="5"/>
    <s v="Footwear"/>
    <x v="33"/>
    <n v="1"/>
    <n v="719.89"/>
    <n v="683.9"/>
    <x v="3"/>
    <n v="182.02"/>
    <n v="176.96"/>
    <x v="1"/>
    <x v="0"/>
  </r>
  <r>
    <s v="ORD-10185"/>
    <x v="322"/>
    <x v="397"/>
    <x v="2"/>
    <x v="0"/>
    <x v="12"/>
    <x v="0"/>
    <s v="Mobiles"/>
    <x v="74"/>
    <n v="2"/>
    <n v="34068.080000000002"/>
    <n v="61322.54"/>
    <x v="2"/>
    <n v="2339.34"/>
    <n v="223.34"/>
    <x v="3"/>
    <x v="3"/>
  </r>
  <r>
    <s v="ORD-10093"/>
    <x v="322"/>
    <x v="398"/>
    <x v="2"/>
    <x v="3"/>
    <x v="5"/>
    <x v="2"/>
    <s v="Comics"/>
    <x v="95"/>
    <n v="1"/>
    <n v="939.99"/>
    <n v="845.99"/>
    <x v="2"/>
    <n v="102.54"/>
    <n v="59.19"/>
    <x v="3"/>
    <x v="3"/>
  </r>
  <r>
    <s v="ORD-10051"/>
    <x v="323"/>
    <x v="399"/>
    <x v="1"/>
    <x v="2"/>
    <x v="2"/>
    <x v="0"/>
    <s v="Accessories"/>
    <x v="50"/>
    <n v="2"/>
    <n v="18119.91"/>
    <n v="30803.85"/>
    <x v="1"/>
    <n v="1661.36"/>
    <n v="246.96"/>
    <x v="1"/>
    <x v="2"/>
  </r>
  <r>
    <s v="ORD-10062"/>
    <x v="324"/>
    <x v="6"/>
    <x v="2"/>
    <x v="3"/>
    <x v="10"/>
    <x v="0"/>
    <s v="Laptops"/>
    <x v="96"/>
    <n v="1"/>
    <n v="2961.95"/>
    <n v="2369.56"/>
    <x v="5"/>
    <n v="29.78"/>
    <n v="215.24"/>
    <x v="2"/>
    <x v="0"/>
  </r>
  <r>
    <s v="ORD-10811"/>
    <x v="324"/>
    <x v="400"/>
    <x v="2"/>
    <x v="3"/>
    <x v="7"/>
    <x v="3"/>
    <s v="Apparel"/>
    <x v="5"/>
    <n v="2"/>
    <n v="9525.6200000000008"/>
    <n v="19051.240000000002"/>
    <x v="0"/>
    <n v="4498.9399999999996"/>
    <n v="342.08"/>
    <x v="1"/>
    <x v="0"/>
  </r>
  <r>
    <s v="ORD-10041"/>
    <x v="325"/>
    <x v="401"/>
    <x v="0"/>
    <x v="1"/>
    <x v="13"/>
    <x v="2"/>
    <s v="Academic"/>
    <x v="97"/>
    <n v="1"/>
    <n v="369.53"/>
    <n v="277.14999999999998"/>
    <x v="4"/>
    <n v="25.95"/>
    <n v="103.14"/>
    <x v="1"/>
    <x v="0"/>
  </r>
  <r>
    <s v="ORD-10069"/>
    <x v="326"/>
    <x v="358"/>
    <x v="2"/>
    <x v="3"/>
    <x v="10"/>
    <x v="4"/>
    <s v="Haircare"/>
    <x v="53"/>
    <n v="2"/>
    <n v="2414.09"/>
    <n v="4586.7700000000004"/>
    <x v="3"/>
    <n v="1262.51"/>
    <n v="175.86"/>
    <x v="1"/>
    <x v="0"/>
  </r>
  <r>
    <s v="ORD-10652"/>
    <x v="326"/>
    <x v="1"/>
    <x v="1"/>
    <x v="2"/>
    <x v="9"/>
    <x v="5"/>
    <s v="Footwear"/>
    <x v="29"/>
    <n v="2"/>
    <n v="984.75"/>
    <n v="1871.02"/>
    <x v="3"/>
    <n v="154.97999999999999"/>
    <n v="296.58999999999997"/>
    <x v="3"/>
    <x v="1"/>
  </r>
  <r>
    <s v="ORD-10119"/>
    <x v="327"/>
    <x v="402"/>
    <x v="2"/>
    <x v="0"/>
    <x v="0"/>
    <x v="2"/>
    <s v="Academic"/>
    <x v="97"/>
    <n v="3"/>
    <n v="1003.55"/>
    <n v="2559.0500000000002"/>
    <x v="1"/>
    <n v="347.55"/>
    <n v="362.33"/>
    <x v="2"/>
    <x v="0"/>
  </r>
  <r>
    <s v="ORD-10425"/>
    <x v="327"/>
    <x v="403"/>
    <x v="2"/>
    <x v="1"/>
    <x v="1"/>
    <x v="3"/>
    <s v="Outdoor Gear"/>
    <x v="3"/>
    <n v="1"/>
    <n v="11127.46"/>
    <n v="8901.9699999999993"/>
    <x v="5"/>
    <n v="256.29000000000002"/>
    <n v="233.58"/>
    <x v="1"/>
    <x v="3"/>
  </r>
  <r>
    <s v="ORD-10356"/>
    <x v="328"/>
    <x v="299"/>
    <x v="2"/>
    <x v="1"/>
    <x v="13"/>
    <x v="4"/>
    <s v="Haircare"/>
    <x v="17"/>
    <n v="3"/>
    <n v="1787.01"/>
    <n v="4824.93"/>
    <x v="2"/>
    <n v="909.76"/>
    <n v="124.3"/>
    <x v="3"/>
    <x v="2"/>
  </r>
  <r>
    <s v="ORD-10189"/>
    <x v="328"/>
    <x v="404"/>
    <x v="2"/>
    <x v="2"/>
    <x v="8"/>
    <x v="4"/>
    <s v="Fragrances"/>
    <x v="19"/>
    <n v="3"/>
    <n v="1285.75"/>
    <n v="3085.8"/>
    <x v="5"/>
    <n v="383.74"/>
    <n v="308.17"/>
    <x v="1"/>
    <x v="0"/>
  </r>
  <r>
    <s v="ORD-10489"/>
    <x v="328"/>
    <x v="153"/>
    <x v="1"/>
    <x v="1"/>
    <x v="13"/>
    <x v="5"/>
    <s v="Women's Wear"/>
    <x v="22"/>
    <n v="2"/>
    <n v="3820.24"/>
    <n v="7640.48"/>
    <x v="0"/>
    <n v="1467.69"/>
    <n v="130.69"/>
    <x v="1"/>
    <x v="3"/>
  </r>
  <r>
    <s v="ORD-10012"/>
    <x v="328"/>
    <x v="405"/>
    <x v="0"/>
    <x v="1"/>
    <x v="1"/>
    <x v="5"/>
    <s v="Kids Wear"/>
    <x v="65"/>
    <n v="2"/>
    <n v="4372.26"/>
    <n v="7432.84"/>
    <x v="1"/>
    <n v="1372.1"/>
    <n v="293.04000000000002"/>
    <x v="0"/>
    <x v="3"/>
  </r>
  <r>
    <s v="ORD-10300"/>
    <x v="329"/>
    <x v="345"/>
    <x v="2"/>
    <x v="3"/>
    <x v="7"/>
    <x v="3"/>
    <s v="Apparel"/>
    <x v="5"/>
    <n v="3"/>
    <n v="2982.36"/>
    <n v="8947.08"/>
    <x v="0"/>
    <n v="2406.81"/>
    <n v="136.01"/>
    <x v="1"/>
    <x v="0"/>
  </r>
  <r>
    <s v="ORD-10219"/>
    <x v="329"/>
    <x v="400"/>
    <x v="2"/>
    <x v="2"/>
    <x v="11"/>
    <x v="0"/>
    <s v="Cameras"/>
    <x v="47"/>
    <n v="3"/>
    <n v="1535.19"/>
    <n v="3684.46"/>
    <x v="5"/>
    <n v="-130.38999999999999"/>
    <n v="318.38"/>
    <x v="2"/>
    <x v="0"/>
  </r>
  <r>
    <s v="ORD-10737"/>
    <x v="330"/>
    <x v="99"/>
    <x v="1"/>
    <x v="1"/>
    <x v="3"/>
    <x v="5"/>
    <s v="Footwear"/>
    <x v="29"/>
    <n v="4"/>
    <n v="2475.63"/>
    <n v="9407.39"/>
    <x v="3"/>
    <n v="1980.14"/>
    <n v="273.55"/>
    <x v="4"/>
    <x v="3"/>
  </r>
  <r>
    <s v="ORD-10816"/>
    <x v="331"/>
    <x v="406"/>
    <x v="2"/>
    <x v="0"/>
    <x v="0"/>
    <x v="2"/>
    <s v="Fiction"/>
    <x v="49"/>
    <n v="1"/>
    <n v="398.78"/>
    <n v="338.96"/>
    <x v="1"/>
    <n v="9.43"/>
    <n v="246.77"/>
    <x v="0"/>
    <x v="3"/>
  </r>
  <r>
    <s v="ORD-10969"/>
    <x v="331"/>
    <x v="233"/>
    <x v="0"/>
    <x v="0"/>
    <x v="4"/>
    <x v="3"/>
    <s v="Apparel"/>
    <x v="66"/>
    <n v="2"/>
    <n v="675.5"/>
    <n v="1148.3499999999999"/>
    <x v="1"/>
    <n v="129.32"/>
    <n v="353.21"/>
    <x v="2"/>
    <x v="1"/>
  </r>
  <r>
    <s v="ORD-10424"/>
    <x v="331"/>
    <x v="381"/>
    <x v="0"/>
    <x v="2"/>
    <x v="8"/>
    <x v="5"/>
    <s v="Men's Wear"/>
    <x v="21"/>
    <n v="3"/>
    <n v="672.12"/>
    <n v="1613.09"/>
    <x v="5"/>
    <n v="136.86000000000001"/>
    <n v="130.6"/>
    <x v="4"/>
    <x v="3"/>
  </r>
  <r>
    <s v="ORD-10266"/>
    <x v="332"/>
    <x v="345"/>
    <x v="0"/>
    <x v="0"/>
    <x v="4"/>
    <x v="0"/>
    <s v="Mobiles"/>
    <x v="4"/>
    <n v="2"/>
    <n v="18657.38"/>
    <n v="35449.019999999997"/>
    <x v="3"/>
    <n v="3777.48"/>
    <n v="364.08"/>
    <x v="2"/>
    <x v="1"/>
  </r>
  <r>
    <s v="ORD-10874"/>
    <x v="333"/>
    <x v="407"/>
    <x v="2"/>
    <x v="0"/>
    <x v="4"/>
    <x v="0"/>
    <s v="Headphones"/>
    <x v="60"/>
    <n v="1"/>
    <n v="3028.02"/>
    <n v="3028.02"/>
    <x v="0"/>
    <n v="286.72000000000003"/>
    <n v="216.64"/>
    <x v="1"/>
    <x v="2"/>
  </r>
  <r>
    <s v="ORD-10379"/>
    <x v="333"/>
    <x v="272"/>
    <x v="2"/>
    <x v="2"/>
    <x v="8"/>
    <x v="1"/>
    <s v="Decor"/>
    <x v="23"/>
    <n v="1"/>
    <n v="4666.01"/>
    <n v="4199.41"/>
    <x v="2"/>
    <n v="757.53"/>
    <n v="264.76"/>
    <x v="4"/>
    <x v="2"/>
  </r>
  <r>
    <s v="ORD-10473"/>
    <x v="333"/>
    <x v="125"/>
    <x v="0"/>
    <x v="0"/>
    <x v="12"/>
    <x v="5"/>
    <s v="Footwear"/>
    <x v="37"/>
    <n v="2"/>
    <n v="3182.57"/>
    <n v="4455.6000000000004"/>
    <x v="6"/>
    <n v="88.65"/>
    <n v="312.85000000000002"/>
    <x v="3"/>
    <x v="3"/>
  </r>
  <r>
    <s v="ORD-10261"/>
    <x v="334"/>
    <x v="408"/>
    <x v="2"/>
    <x v="2"/>
    <x v="2"/>
    <x v="2"/>
    <s v="Academic"/>
    <x v="2"/>
    <n v="3"/>
    <n v="221.23"/>
    <n v="597.32000000000005"/>
    <x v="2"/>
    <n v="85.82"/>
    <n v="81.55"/>
    <x v="2"/>
    <x v="3"/>
  </r>
  <r>
    <s v="ORD-10222"/>
    <x v="335"/>
    <x v="112"/>
    <x v="2"/>
    <x v="0"/>
    <x v="12"/>
    <x v="1"/>
    <s v="Appliances"/>
    <x v="7"/>
    <n v="1"/>
    <n v="8430.41"/>
    <n v="8430.41"/>
    <x v="0"/>
    <n v="2059.61"/>
    <n v="301.74"/>
    <x v="4"/>
    <x v="3"/>
  </r>
  <r>
    <s v="ORD-10529"/>
    <x v="335"/>
    <x v="232"/>
    <x v="2"/>
    <x v="3"/>
    <x v="7"/>
    <x v="4"/>
    <s v="Haircare"/>
    <x v="53"/>
    <n v="2"/>
    <n v="2121.6"/>
    <n v="4031.04"/>
    <x v="3"/>
    <n v="724.83"/>
    <n v="196.68"/>
    <x v="4"/>
    <x v="2"/>
  </r>
  <r>
    <s v="ORD-10008"/>
    <x v="335"/>
    <x v="362"/>
    <x v="1"/>
    <x v="1"/>
    <x v="13"/>
    <x v="5"/>
    <s v="Women's Wear"/>
    <x v="24"/>
    <n v="1"/>
    <n v="2851.69"/>
    <n v="2851.69"/>
    <x v="0"/>
    <n v="622.42999999999995"/>
    <n v="84.57"/>
    <x v="3"/>
    <x v="3"/>
  </r>
  <r>
    <s v="ORD-10970"/>
    <x v="336"/>
    <x v="409"/>
    <x v="0"/>
    <x v="1"/>
    <x v="13"/>
    <x v="4"/>
    <s v="Makeup"/>
    <x v="63"/>
    <n v="2"/>
    <n v="1104.24"/>
    <n v="2098.06"/>
    <x v="3"/>
    <n v="576"/>
    <n v="120.82"/>
    <x v="4"/>
    <x v="1"/>
  </r>
  <r>
    <s v="ORD-10585"/>
    <x v="337"/>
    <x v="410"/>
    <x v="2"/>
    <x v="1"/>
    <x v="13"/>
    <x v="4"/>
    <s v="Skincare"/>
    <x v="56"/>
    <n v="1"/>
    <n v="1276.75"/>
    <n v="1276.75"/>
    <x v="0"/>
    <n v="305.89999999999998"/>
    <n v="43.76"/>
    <x v="1"/>
    <x v="3"/>
  </r>
  <r>
    <s v="ORD-10071"/>
    <x v="337"/>
    <x v="411"/>
    <x v="2"/>
    <x v="0"/>
    <x v="0"/>
    <x v="1"/>
    <s v="Decor"/>
    <x v="70"/>
    <n v="2"/>
    <n v="11241.52"/>
    <n v="19110.580000000002"/>
    <x v="1"/>
    <n v="1978.96"/>
    <n v="255.28"/>
    <x v="3"/>
    <x v="0"/>
  </r>
  <r>
    <s v="ORD-10663"/>
    <x v="338"/>
    <x v="403"/>
    <x v="2"/>
    <x v="2"/>
    <x v="2"/>
    <x v="5"/>
    <s v="Women's Wear"/>
    <x v="86"/>
    <n v="2"/>
    <n v="3178.86"/>
    <n v="6039.83"/>
    <x v="3"/>
    <n v="1017.04"/>
    <n v="164.65"/>
    <x v="3"/>
    <x v="0"/>
  </r>
  <r>
    <s v="ORD-10598"/>
    <x v="338"/>
    <x v="294"/>
    <x v="2"/>
    <x v="0"/>
    <x v="12"/>
    <x v="4"/>
    <s v="Skincare"/>
    <x v="26"/>
    <n v="2"/>
    <n v="2355.9699999999998"/>
    <n v="4711.9399999999996"/>
    <x v="0"/>
    <n v="1225.69"/>
    <n v="238.05"/>
    <x v="1"/>
    <x v="3"/>
  </r>
  <r>
    <s v="ORD-10229"/>
    <x v="339"/>
    <x v="349"/>
    <x v="2"/>
    <x v="0"/>
    <x v="12"/>
    <x v="5"/>
    <s v="Footwear"/>
    <x v="37"/>
    <n v="5"/>
    <n v="3007.1"/>
    <n v="13531.95"/>
    <x v="2"/>
    <n v="1303.08"/>
    <n v="269.42"/>
    <x v="1"/>
    <x v="3"/>
  </r>
  <r>
    <s v="ORD-10788"/>
    <x v="339"/>
    <x v="337"/>
    <x v="2"/>
    <x v="3"/>
    <x v="6"/>
    <x v="3"/>
    <s v="Outdoor Gear"/>
    <x v="82"/>
    <n v="2"/>
    <n v="12397.88"/>
    <n v="21076.400000000001"/>
    <x v="1"/>
    <n v="3410"/>
    <n v="63.23"/>
    <x v="1"/>
    <x v="2"/>
  </r>
  <r>
    <s v="ORD-10364"/>
    <x v="339"/>
    <x v="412"/>
    <x v="2"/>
    <x v="1"/>
    <x v="3"/>
    <x v="3"/>
    <s v="Gym Equipment"/>
    <x v="92"/>
    <n v="5"/>
    <n v="7691.89"/>
    <n v="36536.480000000003"/>
    <x v="3"/>
    <n v="8772.5400000000009"/>
    <n v="217.1"/>
    <x v="0"/>
    <x v="0"/>
  </r>
  <r>
    <s v="ORD-10964"/>
    <x v="340"/>
    <x v="226"/>
    <x v="2"/>
    <x v="2"/>
    <x v="2"/>
    <x v="0"/>
    <s v="Cameras"/>
    <x v="8"/>
    <n v="1"/>
    <n v="38791.89"/>
    <n v="34912.699999999997"/>
    <x v="2"/>
    <n v="2437.6"/>
    <n v="175.37"/>
    <x v="1"/>
    <x v="0"/>
  </r>
  <r>
    <s v="ORD-10376"/>
    <x v="341"/>
    <x v="166"/>
    <x v="2"/>
    <x v="1"/>
    <x v="1"/>
    <x v="3"/>
    <s v="Gym Equipment"/>
    <x v="92"/>
    <n v="1"/>
    <n v="1830.32"/>
    <n v="1647.29"/>
    <x v="2"/>
    <n v="196.77"/>
    <n v="251.49"/>
    <x v="3"/>
    <x v="1"/>
  </r>
  <r>
    <s v="ORD-10871"/>
    <x v="341"/>
    <x v="207"/>
    <x v="2"/>
    <x v="3"/>
    <x v="7"/>
    <x v="0"/>
    <s v="Laptops"/>
    <x v="96"/>
    <n v="4"/>
    <n v="26280.03"/>
    <n v="105120.12"/>
    <x v="0"/>
    <n v="16024.02"/>
    <n v="127.17"/>
    <x v="0"/>
    <x v="0"/>
  </r>
  <r>
    <s v="ORD-10490"/>
    <x v="341"/>
    <x v="54"/>
    <x v="0"/>
    <x v="0"/>
    <x v="0"/>
    <x v="4"/>
    <s v="Skincare"/>
    <x v="67"/>
    <n v="3"/>
    <n v="2168.1"/>
    <n v="6504.3"/>
    <x v="0"/>
    <n v="1270.9000000000001"/>
    <n v="226.86"/>
    <x v="3"/>
    <x v="3"/>
  </r>
  <r>
    <s v="ORD-10618"/>
    <x v="342"/>
    <x v="87"/>
    <x v="0"/>
    <x v="3"/>
    <x v="5"/>
    <x v="2"/>
    <s v="Fiction"/>
    <x v="87"/>
    <n v="1"/>
    <n v="393.64"/>
    <n v="295.23"/>
    <x v="4"/>
    <n v="-4.6900000000000004"/>
    <n v="176.64"/>
    <x v="1"/>
    <x v="2"/>
  </r>
  <r>
    <s v="ORD-10808"/>
    <x v="343"/>
    <x v="211"/>
    <x v="0"/>
    <x v="2"/>
    <x v="11"/>
    <x v="2"/>
    <s v="Non-Fiction"/>
    <x v="64"/>
    <n v="1"/>
    <n v="567.76"/>
    <n v="482.6"/>
    <x v="1"/>
    <n v="31.84"/>
    <n v="294.82"/>
    <x v="2"/>
    <x v="2"/>
  </r>
  <r>
    <s v="ORD-10393"/>
    <x v="344"/>
    <x v="159"/>
    <x v="2"/>
    <x v="2"/>
    <x v="11"/>
    <x v="3"/>
    <s v="Apparel"/>
    <x v="18"/>
    <n v="1"/>
    <n v="3063.12"/>
    <n v="2603.65"/>
    <x v="1"/>
    <n v="440.76"/>
    <n v="114.81"/>
    <x v="0"/>
    <x v="2"/>
  </r>
  <r>
    <s v="ORD-10217"/>
    <x v="345"/>
    <x v="7"/>
    <x v="0"/>
    <x v="2"/>
    <x v="8"/>
    <x v="3"/>
    <s v="Apparel"/>
    <x v="66"/>
    <n v="1"/>
    <n v="5395.22"/>
    <n v="4585.9399999999996"/>
    <x v="1"/>
    <n v="264.63"/>
    <n v="255.58"/>
    <x v="1"/>
    <x v="0"/>
  </r>
  <r>
    <s v="ORD-10579"/>
    <x v="346"/>
    <x v="67"/>
    <x v="2"/>
    <x v="1"/>
    <x v="1"/>
    <x v="3"/>
    <s v="Gym Equipment"/>
    <x v="92"/>
    <n v="2"/>
    <n v="14367.12"/>
    <n v="25860.82"/>
    <x v="2"/>
    <n v="-42.05"/>
    <n v="191.46"/>
    <x v="0"/>
    <x v="2"/>
  </r>
  <r>
    <s v="ORD-10836"/>
    <x v="347"/>
    <x v="230"/>
    <x v="2"/>
    <x v="2"/>
    <x v="9"/>
    <x v="1"/>
    <s v="Decor"/>
    <x v="83"/>
    <n v="3"/>
    <n v="3345.68"/>
    <n v="9535.19"/>
    <x v="3"/>
    <n v="2036.89"/>
    <n v="309.60000000000002"/>
    <x v="0"/>
    <x v="3"/>
  </r>
  <r>
    <s v="ORD-10689"/>
    <x v="347"/>
    <x v="413"/>
    <x v="2"/>
    <x v="2"/>
    <x v="11"/>
    <x v="2"/>
    <s v="Academic"/>
    <x v="2"/>
    <n v="2"/>
    <n v="1030.42"/>
    <n v="1545.63"/>
    <x v="4"/>
    <n v="38.619999999999997"/>
    <n v="343.47"/>
    <x v="1"/>
    <x v="3"/>
  </r>
  <r>
    <s v="ORD-10163"/>
    <x v="347"/>
    <x v="208"/>
    <x v="0"/>
    <x v="2"/>
    <x v="9"/>
    <x v="3"/>
    <s v="Footwear"/>
    <x v="37"/>
    <n v="1"/>
    <n v="8141.71"/>
    <n v="8141.71"/>
    <x v="0"/>
    <n v="696.5"/>
    <n v="136.5"/>
    <x v="0"/>
    <x v="0"/>
  </r>
  <r>
    <s v="ORD-10105"/>
    <x v="348"/>
    <x v="172"/>
    <x v="2"/>
    <x v="0"/>
    <x v="4"/>
    <x v="4"/>
    <s v="Skincare"/>
    <x v="56"/>
    <n v="1"/>
    <n v="1062.2"/>
    <n v="1062.2"/>
    <x v="0"/>
    <n v="334.07"/>
    <n v="101.55"/>
    <x v="4"/>
    <x v="2"/>
  </r>
  <r>
    <s v="ORD-10060"/>
    <x v="349"/>
    <x v="39"/>
    <x v="2"/>
    <x v="0"/>
    <x v="4"/>
    <x v="2"/>
    <s v="Fiction"/>
    <x v="49"/>
    <n v="1"/>
    <n v="155.44"/>
    <n v="132.12"/>
    <x v="1"/>
    <n v="19.68"/>
    <n v="230.93"/>
    <x v="3"/>
    <x v="2"/>
  </r>
  <r>
    <s v="ORD-10010"/>
    <x v="350"/>
    <x v="156"/>
    <x v="2"/>
    <x v="0"/>
    <x v="0"/>
    <x v="4"/>
    <s v="Haircare"/>
    <x v="77"/>
    <n v="3"/>
    <n v="2116.35"/>
    <n v="5714.15"/>
    <x v="2"/>
    <n v="1576.94"/>
    <n v="115.48"/>
    <x v="1"/>
    <x v="0"/>
  </r>
  <r>
    <s v="ORD-10346"/>
    <x v="350"/>
    <x v="411"/>
    <x v="2"/>
    <x v="1"/>
    <x v="13"/>
    <x v="5"/>
    <s v="Women's Wear"/>
    <x v="24"/>
    <n v="1"/>
    <n v="545.51"/>
    <n v="490.96"/>
    <x v="2"/>
    <n v="49.34"/>
    <n v="75.37"/>
    <x v="3"/>
    <x v="2"/>
  </r>
  <r>
    <s v="ORD-10047"/>
    <x v="351"/>
    <x v="172"/>
    <x v="0"/>
    <x v="2"/>
    <x v="2"/>
    <x v="1"/>
    <s v="Decor"/>
    <x v="61"/>
    <n v="1"/>
    <n v="11305.55"/>
    <n v="11305.55"/>
    <x v="0"/>
    <n v="1954.17"/>
    <n v="173.5"/>
    <x v="2"/>
    <x v="0"/>
  </r>
  <r>
    <s v="ORD-10913"/>
    <x v="352"/>
    <x v="414"/>
    <x v="0"/>
    <x v="3"/>
    <x v="10"/>
    <x v="0"/>
    <s v="Cameras"/>
    <x v="8"/>
    <n v="5"/>
    <n v="36218.080000000002"/>
    <n v="172035.88"/>
    <x v="3"/>
    <n v="24241.919999999998"/>
    <n v="214.39"/>
    <x v="0"/>
    <x v="0"/>
  </r>
  <r>
    <s v="ORD-10109"/>
    <x v="353"/>
    <x v="142"/>
    <x v="1"/>
    <x v="3"/>
    <x v="10"/>
    <x v="0"/>
    <s v="Cameras"/>
    <x v="0"/>
    <n v="1"/>
    <n v="41238.21"/>
    <n v="41238.21"/>
    <x v="0"/>
    <n v="5922.47"/>
    <n v="44.54"/>
    <x v="2"/>
    <x v="2"/>
  </r>
  <r>
    <s v="ORD-10743"/>
    <x v="354"/>
    <x v="73"/>
    <x v="2"/>
    <x v="2"/>
    <x v="9"/>
    <x v="3"/>
    <s v="Gym Equipment"/>
    <x v="57"/>
    <n v="1"/>
    <n v="2307.98"/>
    <n v="2192.58"/>
    <x v="3"/>
    <n v="173.41"/>
    <n v="336.72"/>
    <x v="1"/>
    <x v="0"/>
  </r>
  <r>
    <s v="ORD-10358"/>
    <x v="355"/>
    <x v="55"/>
    <x v="2"/>
    <x v="1"/>
    <x v="1"/>
    <x v="1"/>
    <s v="Cookware"/>
    <x v="6"/>
    <n v="4"/>
    <n v="11155.26"/>
    <n v="44621.04"/>
    <x v="0"/>
    <n v="10789.58"/>
    <n v="150.09"/>
    <x v="1"/>
    <x v="0"/>
  </r>
  <r>
    <s v="ORD-10076"/>
    <x v="356"/>
    <x v="6"/>
    <x v="0"/>
    <x v="0"/>
    <x v="0"/>
    <x v="5"/>
    <s v="Men's Wear"/>
    <x v="69"/>
    <n v="1"/>
    <n v="2886.57"/>
    <n v="2886.57"/>
    <x v="0"/>
    <n v="744.15"/>
    <n v="332.05"/>
    <x v="1"/>
    <x v="1"/>
  </r>
  <r>
    <s v="ORD-10098"/>
    <x v="357"/>
    <x v="22"/>
    <x v="2"/>
    <x v="0"/>
    <x v="0"/>
    <x v="1"/>
    <s v="Furniture"/>
    <x v="46"/>
    <n v="1"/>
    <n v="6354.58"/>
    <n v="6036.85"/>
    <x v="3"/>
    <n v="967.05"/>
    <n v="104.63"/>
    <x v="1"/>
    <x v="3"/>
  </r>
  <r>
    <s v="ORD-10901"/>
    <x v="358"/>
    <x v="89"/>
    <x v="1"/>
    <x v="3"/>
    <x v="10"/>
    <x v="4"/>
    <s v="Fragrances"/>
    <x v="19"/>
    <n v="4"/>
    <n v="387.68"/>
    <n v="1395.65"/>
    <x v="2"/>
    <n v="232.32"/>
    <n v="250.41"/>
    <x v="3"/>
    <x v="3"/>
  </r>
  <r>
    <s v="ORD-10167"/>
    <x v="358"/>
    <x v="17"/>
    <x v="1"/>
    <x v="3"/>
    <x v="5"/>
    <x v="3"/>
    <s v="Gym Equipment"/>
    <x v="57"/>
    <n v="1"/>
    <n v="7586.83"/>
    <n v="6448.81"/>
    <x v="1"/>
    <n v="578.37"/>
    <n v="201.67"/>
    <x v="1"/>
    <x v="3"/>
  </r>
  <r>
    <s v="ORD-10272"/>
    <x v="359"/>
    <x v="415"/>
    <x v="2"/>
    <x v="3"/>
    <x v="5"/>
    <x v="3"/>
    <s v="Gym Equipment"/>
    <x v="92"/>
    <n v="5"/>
    <n v="8594.2900000000009"/>
    <n v="40822.879999999997"/>
    <x v="3"/>
    <n v="5042.99"/>
    <n v="240.89"/>
    <x v="1"/>
    <x v="2"/>
  </r>
  <r>
    <s v="ORD-10586"/>
    <x v="360"/>
    <x v="416"/>
    <x v="0"/>
    <x v="2"/>
    <x v="11"/>
    <x v="3"/>
    <s v="Apparel"/>
    <x v="66"/>
    <n v="1"/>
    <n v="1201.05"/>
    <n v="1201.05"/>
    <x v="0"/>
    <n v="249.48"/>
    <n v="65.680000000000007"/>
    <x v="4"/>
    <x v="0"/>
  </r>
  <r>
    <s v="ORD-10741"/>
    <x v="361"/>
    <x v="417"/>
    <x v="2"/>
    <x v="2"/>
    <x v="2"/>
    <x v="5"/>
    <s v="Men's Wear"/>
    <x v="32"/>
    <n v="3"/>
    <n v="1149.47"/>
    <n v="3448.41"/>
    <x v="0"/>
    <n v="570.78"/>
    <n v="128.77000000000001"/>
    <x v="3"/>
    <x v="3"/>
  </r>
  <r>
    <s v="ORD-10595"/>
    <x v="361"/>
    <x v="12"/>
    <x v="1"/>
    <x v="2"/>
    <x v="2"/>
    <x v="5"/>
    <s v="Men's Wear"/>
    <x v="21"/>
    <n v="5"/>
    <n v="2685.99"/>
    <n v="10743.96"/>
    <x v="5"/>
    <n v="1391.89"/>
    <n v="371.36"/>
    <x v="1"/>
    <x v="0"/>
  </r>
  <r>
    <s v="ORD-10402"/>
    <x v="362"/>
    <x v="418"/>
    <x v="0"/>
    <x v="0"/>
    <x v="4"/>
    <x v="5"/>
    <s v="Men's Wear"/>
    <x v="69"/>
    <n v="4"/>
    <n v="2971.5"/>
    <n v="11886"/>
    <x v="0"/>
    <n v="2400.86"/>
    <n v="145.74"/>
    <x v="0"/>
    <x v="3"/>
  </r>
  <r>
    <s v="ORD-10349"/>
    <x v="363"/>
    <x v="246"/>
    <x v="0"/>
    <x v="2"/>
    <x v="2"/>
    <x v="2"/>
    <s v="Academic"/>
    <x v="91"/>
    <n v="1"/>
    <n v="783.38"/>
    <n v="783.38"/>
    <x v="0"/>
    <n v="144.19"/>
    <n v="277.24"/>
    <x v="4"/>
    <x v="0"/>
  </r>
  <r>
    <s v="ORD-10986"/>
    <x v="364"/>
    <x v="275"/>
    <x v="2"/>
    <x v="1"/>
    <x v="13"/>
    <x v="4"/>
    <s v="Skincare"/>
    <x v="54"/>
    <n v="2"/>
    <n v="1890.56"/>
    <n v="3781.12"/>
    <x v="0"/>
    <n v="1290.58"/>
    <n v="240.23"/>
    <x v="1"/>
    <x v="0"/>
  </r>
  <r>
    <s v="ORD-10255"/>
    <x v="365"/>
    <x v="419"/>
    <x v="2"/>
    <x v="2"/>
    <x v="2"/>
    <x v="3"/>
    <s v="Footwear"/>
    <x v="11"/>
    <n v="1"/>
    <n v="425.38"/>
    <n v="425.38"/>
    <x v="0"/>
    <n v="73.55"/>
    <n v="320.77999999999997"/>
    <x v="4"/>
    <x v="0"/>
  </r>
  <r>
    <s v="ORD-10590"/>
    <x v="366"/>
    <x v="207"/>
    <x v="1"/>
    <x v="2"/>
    <x v="11"/>
    <x v="2"/>
    <s v="Non-Fiction"/>
    <x v="36"/>
    <n v="1"/>
    <n v="911.1"/>
    <n v="865.54"/>
    <x v="3"/>
    <n v="-0.43"/>
    <n v="310.85000000000002"/>
    <x v="4"/>
    <x v="0"/>
  </r>
  <r>
    <s v="ORD-10368"/>
    <x v="367"/>
    <x v="169"/>
    <x v="2"/>
    <x v="1"/>
    <x v="3"/>
    <x v="1"/>
    <s v="Cookware"/>
    <x v="1"/>
    <n v="2"/>
    <n v="7071.89"/>
    <n v="14143.78"/>
    <x v="0"/>
    <n v="1910.49"/>
    <n v="198.39"/>
    <x v="1"/>
    <x v="2"/>
  </r>
  <r>
    <s v="ORD-10759"/>
    <x v="367"/>
    <x v="420"/>
    <x v="2"/>
    <x v="1"/>
    <x v="1"/>
    <x v="2"/>
    <s v="Academic"/>
    <x v="2"/>
    <n v="1"/>
    <n v="222.79"/>
    <n v="211.65"/>
    <x v="3"/>
    <n v="39.64"/>
    <n v="246.36"/>
    <x v="1"/>
    <x v="3"/>
  </r>
  <r>
    <s v="ORD-10223"/>
    <x v="367"/>
    <x v="421"/>
    <x v="2"/>
    <x v="2"/>
    <x v="8"/>
    <x v="2"/>
    <s v="Academic"/>
    <x v="91"/>
    <n v="3"/>
    <n v="1098.53"/>
    <n v="2966.03"/>
    <x v="2"/>
    <n v="467.87"/>
    <n v="76.510000000000005"/>
    <x v="3"/>
    <x v="2"/>
  </r>
  <r>
    <s v="ORD-10224"/>
    <x v="368"/>
    <x v="255"/>
    <x v="2"/>
    <x v="0"/>
    <x v="0"/>
    <x v="3"/>
    <s v="Gym Equipment"/>
    <x v="13"/>
    <n v="2"/>
    <n v="927.6"/>
    <n v="1298.6400000000001"/>
    <x v="6"/>
    <n v="92.76"/>
    <n v="270.77999999999997"/>
    <x v="0"/>
    <x v="0"/>
  </r>
  <r>
    <s v="ORD-10842"/>
    <x v="369"/>
    <x v="422"/>
    <x v="1"/>
    <x v="2"/>
    <x v="9"/>
    <x v="3"/>
    <s v="Footwear"/>
    <x v="37"/>
    <n v="3"/>
    <n v="1123.01"/>
    <n v="3200.58"/>
    <x v="3"/>
    <n v="665.28"/>
    <n v="281.44"/>
    <x v="3"/>
    <x v="0"/>
  </r>
  <r>
    <s v="ORD-10021"/>
    <x v="370"/>
    <x v="234"/>
    <x v="2"/>
    <x v="1"/>
    <x v="1"/>
    <x v="4"/>
    <s v="Skincare"/>
    <x v="67"/>
    <n v="1"/>
    <n v="1286.0899999999999"/>
    <n v="1221.79"/>
    <x v="3"/>
    <n v="327.54000000000002"/>
    <n v="273.45"/>
    <x v="1"/>
    <x v="0"/>
  </r>
  <r>
    <s v="ORD-10199"/>
    <x v="371"/>
    <x v="330"/>
    <x v="0"/>
    <x v="2"/>
    <x v="2"/>
    <x v="3"/>
    <s v="Footwear"/>
    <x v="29"/>
    <n v="4"/>
    <n v="9768.86"/>
    <n v="39075.440000000002"/>
    <x v="0"/>
    <n v="8845.48"/>
    <n v="274.92"/>
    <x v="3"/>
    <x v="0"/>
  </r>
  <r>
    <s v="ORD-10555"/>
    <x v="372"/>
    <x v="160"/>
    <x v="2"/>
    <x v="3"/>
    <x v="10"/>
    <x v="1"/>
    <s v="Furniture"/>
    <x v="10"/>
    <n v="3"/>
    <n v="8989.52"/>
    <n v="22923.279999999999"/>
    <x v="1"/>
    <n v="2546.0700000000002"/>
    <n v="306.06"/>
    <x v="3"/>
    <x v="2"/>
  </r>
  <r>
    <s v="ORD-10989"/>
    <x v="373"/>
    <x v="132"/>
    <x v="0"/>
    <x v="0"/>
    <x v="12"/>
    <x v="3"/>
    <s v="Outdoor Gear"/>
    <x v="12"/>
    <n v="2"/>
    <n v="1687.67"/>
    <n v="2362.7399999999998"/>
    <x v="6"/>
    <n v="-32.94"/>
    <n v="86.15"/>
    <x v="4"/>
    <x v="2"/>
  </r>
  <r>
    <s v="ORD-10753"/>
    <x v="373"/>
    <x v="29"/>
    <x v="1"/>
    <x v="0"/>
    <x v="4"/>
    <x v="5"/>
    <s v="Men's Wear"/>
    <x v="69"/>
    <n v="1"/>
    <n v="698.66"/>
    <n v="698.66"/>
    <x v="0"/>
    <n v="180.14"/>
    <n v="304.57"/>
    <x v="1"/>
    <x v="0"/>
  </r>
  <r>
    <s v="ORD-10796"/>
    <x v="374"/>
    <x v="315"/>
    <x v="2"/>
    <x v="0"/>
    <x v="4"/>
    <x v="0"/>
    <s v="Cameras"/>
    <x v="8"/>
    <n v="1"/>
    <n v="60682.19"/>
    <n v="48545.75"/>
    <x v="5"/>
    <n v="5545.56"/>
    <n v="267.31"/>
    <x v="0"/>
    <x v="2"/>
  </r>
  <r>
    <s v="ORD-10642"/>
    <x v="374"/>
    <x v="423"/>
    <x v="2"/>
    <x v="2"/>
    <x v="2"/>
    <x v="2"/>
    <s v="Comics"/>
    <x v="58"/>
    <n v="2"/>
    <n v="381.51"/>
    <n v="572.26"/>
    <x v="4"/>
    <n v="-32.49"/>
    <n v="288.99"/>
    <x v="0"/>
    <x v="3"/>
  </r>
  <r>
    <s v="ORD-10504"/>
    <x v="374"/>
    <x v="230"/>
    <x v="1"/>
    <x v="3"/>
    <x v="7"/>
    <x v="4"/>
    <s v="Makeup"/>
    <x v="59"/>
    <n v="2"/>
    <n v="1335.16"/>
    <n v="2136.2600000000002"/>
    <x v="5"/>
    <n v="370.5"/>
    <n v="269.72000000000003"/>
    <x v="0"/>
    <x v="2"/>
  </r>
  <r>
    <s v="ORD-10943"/>
    <x v="374"/>
    <x v="24"/>
    <x v="0"/>
    <x v="2"/>
    <x v="8"/>
    <x v="4"/>
    <s v="Makeup"/>
    <x v="20"/>
    <n v="2"/>
    <n v="2361.0100000000002"/>
    <n v="4485.92"/>
    <x v="3"/>
    <n v="1234.8800000000001"/>
    <n v="310.10000000000002"/>
    <x v="2"/>
    <x v="0"/>
  </r>
  <r>
    <s v="ORD-10633"/>
    <x v="375"/>
    <x v="395"/>
    <x v="2"/>
    <x v="1"/>
    <x v="3"/>
    <x v="1"/>
    <s v="Cookware"/>
    <x v="78"/>
    <n v="2"/>
    <n v="3830.06"/>
    <n v="7277.11"/>
    <x v="3"/>
    <n v="935.07"/>
    <n v="248.53"/>
    <x v="3"/>
    <x v="1"/>
  </r>
  <r>
    <s v="ORD-10457"/>
    <x v="376"/>
    <x v="4"/>
    <x v="1"/>
    <x v="0"/>
    <x v="4"/>
    <x v="4"/>
    <s v="Skincare"/>
    <x v="54"/>
    <n v="2"/>
    <n v="1229.49"/>
    <n v="2090.13"/>
    <x v="1"/>
    <n v="268.70999999999998"/>
    <n v="241.31"/>
    <x v="4"/>
    <x v="0"/>
  </r>
  <r>
    <s v="ORD-10967"/>
    <x v="377"/>
    <x v="424"/>
    <x v="0"/>
    <x v="1"/>
    <x v="1"/>
    <x v="1"/>
    <s v="Cookware"/>
    <x v="78"/>
    <n v="2"/>
    <n v="6834.89"/>
    <n v="12302.8"/>
    <x v="2"/>
    <n v="2185.96"/>
    <n v="176.45"/>
    <x v="2"/>
    <x v="3"/>
  </r>
  <r>
    <s v="ORD-10730"/>
    <x v="378"/>
    <x v="76"/>
    <x v="2"/>
    <x v="0"/>
    <x v="4"/>
    <x v="5"/>
    <s v="Kids Wear"/>
    <x v="65"/>
    <n v="3"/>
    <n v="4454.71"/>
    <n v="9354.89"/>
    <x v="6"/>
    <n v="473.02"/>
    <n v="134.1"/>
    <x v="0"/>
    <x v="2"/>
  </r>
  <r>
    <s v="ORD-10254"/>
    <x v="378"/>
    <x v="425"/>
    <x v="2"/>
    <x v="0"/>
    <x v="0"/>
    <x v="3"/>
    <s v="Gym Equipment"/>
    <x v="92"/>
    <n v="3"/>
    <n v="13122.51"/>
    <n v="33462.400000000001"/>
    <x v="1"/>
    <n v="4766.2299999999996"/>
    <n v="69.36"/>
    <x v="1"/>
    <x v="0"/>
  </r>
  <r>
    <s v="ORD-10114"/>
    <x v="379"/>
    <x v="373"/>
    <x v="1"/>
    <x v="0"/>
    <x v="4"/>
    <x v="0"/>
    <s v="Headphones"/>
    <x v="84"/>
    <n v="2"/>
    <n v="6061.58"/>
    <n v="8486.2099999999991"/>
    <x v="6"/>
    <n v="-1312.22"/>
    <n v="345.97"/>
    <x v="3"/>
    <x v="0"/>
  </r>
  <r>
    <s v="ORD-10456"/>
    <x v="380"/>
    <x v="246"/>
    <x v="0"/>
    <x v="3"/>
    <x v="7"/>
    <x v="0"/>
    <s v="Mobiles"/>
    <x v="72"/>
    <n v="1"/>
    <n v="13694.64"/>
    <n v="13694.64"/>
    <x v="0"/>
    <n v="885.15"/>
    <n v="317.02999999999997"/>
    <x v="3"/>
    <x v="0"/>
  </r>
  <r>
    <s v="ORD-10895"/>
    <x v="380"/>
    <x v="426"/>
    <x v="2"/>
    <x v="1"/>
    <x v="1"/>
    <x v="2"/>
    <s v="Academic"/>
    <x v="38"/>
    <n v="3"/>
    <n v="370.83"/>
    <n v="1001.24"/>
    <x v="2"/>
    <n v="51.43"/>
    <n v="336.98"/>
    <x v="3"/>
    <x v="3"/>
  </r>
  <r>
    <s v="ORD-10613"/>
    <x v="381"/>
    <x v="41"/>
    <x v="2"/>
    <x v="3"/>
    <x v="7"/>
    <x v="2"/>
    <s v="Comics"/>
    <x v="95"/>
    <n v="2"/>
    <n v="577.01"/>
    <n v="1154.02"/>
    <x v="0"/>
    <n v="174.89"/>
    <n v="115.12"/>
    <x v="3"/>
    <x v="2"/>
  </r>
  <r>
    <s v="ORD-10569"/>
    <x v="382"/>
    <x v="335"/>
    <x v="2"/>
    <x v="2"/>
    <x v="2"/>
    <x v="4"/>
    <s v="Fragrances"/>
    <x v="19"/>
    <n v="5"/>
    <n v="930.45"/>
    <n v="4419.6400000000003"/>
    <x v="3"/>
    <n v="1104.96"/>
    <n v="104.99"/>
    <x v="2"/>
    <x v="2"/>
  </r>
  <r>
    <s v="ORD-10187"/>
    <x v="382"/>
    <x v="427"/>
    <x v="2"/>
    <x v="2"/>
    <x v="8"/>
    <x v="1"/>
    <s v="Appliances"/>
    <x v="45"/>
    <n v="1"/>
    <n v="3875.31"/>
    <n v="3100.25"/>
    <x v="5"/>
    <n v="51.02"/>
    <n v="166.57"/>
    <x v="1"/>
    <x v="2"/>
  </r>
  <r>
    <s v="ORD-10734"/>
    <x v="382"/>
    <x v="428"/>
    <x v="1"/>
    <x v="1"/>
    <x v="1"/>
    <x v="2"/>
    <s v="Comics"/>
    <x v="58"/>
    <n v="1"/>
    <n v="541.9"/>
    <n v="379.33"/>
    <x v="6"/>
    <n v="0.97"/>
    <n v="232.24"/>
    <x v="0"/>
    <x v="1"/>
  </r>
  <r>
    <s v="ORD-10647"/>
    <x v="383"/>
    <x v="375"/>
    <x v="0"/>
    <x v="2"/>
    <x v="9"/>
    <x v="3"/>
    <s v="Apparel"/>
    <x v="75"/>
    <n v="3"/>
    <n v="5759.96"/>
    <n v="12095.92"/>
    <x v="6"/>
    <n v="896.27"/>
    <n v="207.75"/>
    <x v="0"/>
    <x v="0"/>
  </r>
  <r>
    <s v="ORD-10024"/>
    <x v="384"/>
    <x v="352"/>
    <x v="0"/>
    <x v="0"/>
    <x v="4"/>
    <x v="3"/>
    <s v="Apparel"/>
    <x v="18"/>
    <n v="1"/>
    <n v="8601.99"/>
    <n v="8601.99"/>
    <x v="0"/>
    <n v="1305.1099999999999"/>
    <n v="252.57"/>
    <x v="1"/>
    <x v="2"/>
  </r>
  <r>
    <s v="ORD-10057"/>
    <x v="385"/>
    <x v="371"/>
    <x v="2"/>
    <x v="1"/>
    <x v="13"/>
    <x v="4"/>
    <s v="Fragrances"/>
    <x v="19"/>
    <n v="1"/>
    <n v="1800.87"/>
    <n v="1710.83"/>
    <x v="3"/>
    <n v="352.1"/>
    <n v="226.8"/>
    <x v="1"/>
    <x v="0"/>
  </r>
  <r>
    <s v="ORD-10240"/>
    <x v="386"/>
    <x v="429"/>
    <x v="2"/>
    <x v="1"/>
    <x v="1"/>
    <x v="0"/>
    <s v="Cameras"/>
    <x v="8"/>
    <n v="1"/>
    <n v="26820.82"/>
    <n v="26820.82"/>
    <x v="0"/>
    <n v="2960.5"/>
    <n v="298.10000000000002"/>
    <x v="1"/>
    <x v="3"/>
  </r>
  <r>
    <s v="ORD-10766"/>
    <x v="386"/>
    <x v="430"/>
    <x v="2"/>
    <x v="3"/>
    <x v="5"/>
    <x v="1"/>
    <s v="Furniture"/>
    <x v="46"/>
    <n v="3"/>
    <n v="8486.7800000000007"/>
    <n v="20368.27"/>
    <x v="5"/>
    <n v="1886.5"/>
    <n v="267.56"/>
    <x v="1"/>
    <x v="0"/>
  </r>
  <r>
    <s v="ORD-10498"/>
    <x v="387"/>
    <x v="149"/>
    <x v="0"/>
    <x v="2"/>
    <x v="9"/>
    <x v="3"/>
    <s v="Gym Equipment"/>
    <x v="92"/>
    <n v="2"/>
    <n v="7272.03"/>
    <n v="13816.86"/>
    <x v="3"/>
    <n v="2483.31"/>
    <n v="59.61"/>
    <x v="0"/>
    <x v="0"/>
  </r>
  <r>
    <s v="ORD-10608"/>
    <x v="387"/>
    <x v="388"/>
    <x v="2"/>
    <x v="3"/>
    <x v="7"/>
    <x v="4"/>
    <s v="Skincare"/>
    <x v="26"/>
    <n v="5"/>
    <n v="2382.86"/>
    <n v="11914.3"/>
    <x v="0"/>
    <n v="2907.49"/>
    <n v="397.94"/>
    <x v="0"/>
    <x v="2"/>
  </r>
  <r>
    <s v="ORD-10740"/>
    <x v="388"/>
    <x v="225"/>
    <x v="2"/>
    <x v="1"/>
    <x v="1"/>
    <x v="5"/>
    <s v="Footwear"/>
    <x v="33"/>
    <n v="1"/>
    <n v="957.2"/>
    <n v="765.76"/>
    <x v="5"/>
    <n v="152.76"/>
    <n v="181.65"/>
    <x v="3"/>
    <x v="3"/>
  </r>
  <r>
    <s v="ORD-10026"/>
    <x v="388"/>
    <x v="118"/>
    <x v="0"/>
    <x v="2"/>
    <x v="11"/>
    <x v="5"/>
    <s v="Women's Wear"/>
    <x v="24"/>
    <n v="1"/>
    <n v="2960.3"/>
    <n v="2220.23"/>
    <x v="4"/>
    <n v="99.72"/>
    <n v="308.87"/>
    <x v="4"/>
    <x v="2"/>
  </r>
  <r>
    <s v="ORD-10381"/>
    <x v="388"/>
    <x v="376"/>
    <x v="2"/>
    <x v="0"/>
    <x v="12"/>
    <x v="2"/>
    <s v="Academic"/>
    <x v="91"/>
    <n v="1"/>
    <n v="655.41"/>
    <n v="655.41"/>
    <x v="0"/>
    <n v="80.41"/>
    <n v="201.3"/>
    <x v="1"/>
    <x v="1"/>
  </r>
  <r>
    <s v="ORD-10321"/>
    <x v="389"/>
    <x v="313"/>
    <x v="2"/>
    <x v="1"/>
    <x v="3"/>
    <x v="1"/>
    <s v="Appliances"/>
    <x v="7"/>
    <n v="2"/>
    <n v="11735.22"/>
    <n v="19949.87"/>
    <x v="1"/>
    <n v="2798.11"/>
    <n v="295.36"/>
    <x v="2"/>
    <x v="3"/>
  </r>
  <r>
    <s v="ORD-10549"/>
    <x v="389"/>
    <x v="431"/>
    <x v="2"/>
    <x v="1"/>
    <x v="13"/>
    <x v="2"/>
    <s v="Comics"/>
    <x v="43"/>
    <n v="1"/>
    <n v="1077.6400000000001"/>
    <n v="862.11"/>
    <x v="5"/>
    <n v="51.45"/>
    <n v="230.51"/>
    <x v="2"/>
    <x v="0"/>
  </r>
  <r>
    <s v="ORD-10853"/>
    <x v="389"/>
    <x v="432"/>
    <x v="2"/>
    <x v="3"/>
    <x v="6"/>
    <x v="1"/>
    <s v="Decor"/>
    <x v="23"/>
    <n v="3"/>
    <n v="11286.39"/>
    <n v="25394.38"/>
    <x v="4"/>
    <n v="17.100000000000001"/>
    <n v="173.49"/>
    <x v="3"/>
    <x v="3"/>
  </r>
  <r>
    <s v="ORD-10162"/>
    <x v="389"/>
    <x v="69"/>
    <x v="0"/>
    <x v="0"/>
    <x v="12"/>
    <x v="3"/>
    <s v="Gym Equipment"/>
    <x v="57"/>
    <n v="2"/>
    <n v="7714.85"/>
    <n v="13886.73"/>
    <x v="2"/>
    <n v="2149.35"/>
    <n v="119.31"/>
    <x v="2"/>
    <x v="0"/>
  </r>
  <r>
    <s v="ORD-10524"/>
    <x v="390"/>
    <x v="247"/>
    <x v="2"/>
    <x v="2"/>
    <x v="2"/>
    <x v="4"/>
    <s v="Haircare"/>
    <x v="17"/>
    <n v="4"/>
    <n v="1593.29"/>
    <n v="6373.16"/>
    <x v="0"/>
    <n v="2207.13"/>
    <n v="191.67"/>
    <x v="3"/>
    <x v="0"/>
  </r>
  <r>
    <s v="ORD-10446"/>
    <x v="391"/>
    <x v="378"/>
    <x v="2"/>
    <x v="3"/>
    <x v="6"/>
    <x v="0"/>
    <s v="Laptops"/>
    <x v="96"/>
    <n v="4"/>
    <n v="28546.63"/>
    <n v="114186.52"/>
    <x v="0"/>
    <n v="9323.17"/>
    <n v="120.11"/>
    <x v="0"/>
    <x v="0"/>
  </r>
  <r>
    <s v="ORD-10629"/>
    <x v="392"/>
    <x v="272"/>
    <x v="0"/>
    <x v="1"/>
    <x v="13"/>
    <x v="0"/>
    <s v="Headphones"/>
    <x v="84"/>
    <n v="1"/>
    <n v="38307.5"/>
    <n v="36392.120000000003"/>
    <x v="3"/>
    <n v="6143.79"/>
    <n v="195.34"/>
    <x v="0"/>
    <x v="0"/>
  </r>
  <r>
    <s v="ORD-10953"/>
    <x v="392"/>
    <x v="371"/>
    <x v="1"/>
    <x v="2"/>
    <x v="8"/>
    <x v="1"/>
    <s v="Furniture"/>
    <x v="39"/>
    <n v="3"/>
    <n v="2713.17"/>
    <n v="8139.51"/>
    <x v="0"/>
    <n v="1475.75"/>
    <n v="81.790000000000006"/>
    <x v="4"/>
    <x v="3"/>
  </r>
  <r>
    <s v="ORD-10436"/>
    <x v="393"/>
    <x v="423"/>
    <x v="2"/>
    <x v="2"/>
    <x v="11"/>
    <x v="4"/>
    <s v="Skincare"/>
    <x v="54"/>
    <n v="1"/>
    <n v="350.34"/>
    <n v="350.34"/>
    <x v="0"/>
    <n v="64.17"/>
    <n v="186.02"/>
    <x v="3"/>
    <x v="3"/>
  </r>
  <r>
    <s v="ORD-10887"/>
    <x v="393"/>
    <x v="376"/>
    <x v="0"/>
    <x v="0"/>
    <x v="12"/>
    <x v="2"/>
    <s v="Fiction"/>
    <x v="9"/>
    <n v="3"/>
    <n v="1068.8699999999999"/>
    <n v="3206.61"/>
    <x v="0"/>
    <n v="410.67"/>
    <n v="234.59"/>
    <x v="2"/>
    <x v="1"/>
  </r>
  <r>
    <s v="ORD-10542"/>
    <x v="393"/>
    <x v="433"/>
    <x v="0"/>
    <x v="0"/>
    <x v="0"/>
    <x v="3"/>
    <s v="Footwear"/>
    <x v="29"/>
    <n v="3"/>
    <n v="2529.86"/>
    <n v="6071.66"/>
    <x v="5"/>
    <n v="508.71"/>
    <n v="208.06"/>
    <x v="3"/>
    <x v="0"/>
  </r>
  <r>
    <s v="ORD-10859"/>
    <x v="394"/>
    <x v="174"/>
    <x v="1"/>
    <x v="1"/>
    <x v="1"/>
    <x v="1"/>
    <s v="Appliances"/>
    <x v="16"/>
    <n v="4"/>
    <n v="11237.93"/>
    <n v="44951.72"/>
    <x v="0"/>
    <n v="8597.61"/>
    <n v="276.54000000000002"/>
    <x v="0"/>
    <x v="1"/>
  </r>
  <r>
    <s v="ORD-10410"/>
    <x v="395"/>
    <x v="198"/>
    <x v="2"/>
    <x v="0"/>
    <x v="0"/>
    <x v="4"/>
    <s v="Haircare"/>
    <x v="17"/>
    <n v="2"/>
    <n v="767.36"/>
    <n v="1304.51"/>
    <x v="1"/>
    <n v="232.67"/>
    <n v="277.47000000000003"/>
    <x v="3"/>
    <x v="3"/>
  </r>
  <r>
    <s v="ORD-10237"/>
    <x v="396"/>
    <x v="310"/>
    <x v="0"/>
    <x v="3"/>
    <x v="7"/>
    <x v="2"/>
    <s v="Fiction"/>
    <x v="76"/>
    <n v="1"/>
    <n v="264.94"/>
    <n v="225.2"/>
    <x v="1"/>
    <n v="2.78"/>
    <n v="336.05"/>
    <x v="3"/>
    <x v="0"/>
  </r>
  <r>
    <s v="ORD-10772"/>
    <x v="397"/>
    <x v="85"/>
    <x v="2"/>
    <x v="1"/>
    <x v="3"/>
    <x v="5"/>
    <s v="Footwear"/>
    <x v="33"/>
    <n v="4"/>
    <n v="2789.93"/>
    <n v="10043.75"/>
    <x v="2"/>
    <n v="1877.58"/>
    <n v="188.58"/>
    <x v="2"/>
    <x v="2"/>
  </r>
  <r>
    <s v="ORD-10096"/>
    <x v="398"/>
    <x v="434"/>
    <x v="2"/>
    <x v="0"/>
    <x v="4"/>
    <x v="1"/>
    <s v="Furniture"/>
    <x v="39"/>
    <n v="1"/>
    <n v="8381.15"/>
    <n v="7123.98"/>
    <x v="1"/>
    <n v="927.48"/>
    <n v="297.83"/>
    <x v="0"/>
    <x v="1"/>
  </r>
  <r>
    <s v="ORD-10281"/>
    <x v="398"/>
    <x v="21"/>
    <x v="0"/>
    <x v="3"/>
    <x v="6"/>
    <x v="2"/>
    <s v="Academic"/>
    <x v="91"/>
    <n v="1"/>
    <n v="1186"/>
    <n v="1008.1"/>
    <x v="1"/>
    <n v="60.3"/>
    <n v="227.81"/>
    <x v="1"/>
    <x v="0"/>
  </r>
  <r>
    <s v="ORD-10319"/>
    <x v="398"/>
    <x v="273"/>
    <x v="0"/>
    <x v="2"/>
    <x v="9"/>
    <x v="1"/>
    <s v="Appliances"/>
    <x v="7"/>
    <n v="3"/>
    <n v="1712.07"/>
    <n v="4622.59"/>
    <x v="2"/>
    <n v="697.56"/>
    <n v="324.58999999999997"/>
    <x v="1"/>
    <x v="0"/>
  </r>
  <r>
    <s v="ORD-10256"/>
    <x v="399"/>
    <x v="180"/>
    <x v="0"/>
    <x v="1"/>
    <x v="13"/>
    <x v="2"/>
    <s v="Academic"/>
    <x v="38"/>
    <n v="3"/>
    <n v="682.84"/>
    <n v="1946.09"/>
    <x v="3"/>
    <n v="295.7"/>
    <n v="62.04"/>
    <x v="1"/>
    <x v="3"/>
  </r>
  <r>
    <s v="ORD-10982"/>
    <x v="399"/>
    <x v="435"/>
    <x v="0"/>
    <x v="0"/>
    <x v="12"/>
    <x v="5"/>
    <s v="Kids Wear"/>
    <x v="52"/>
    <n v="2"/>
    <n v="2793.88"/>
    <n v="5587.76"/>
    <x v="0"/>
    <n v="901.34"/>
    <n v="229.19"/>
    <x v="0"/>
    <x v="3"/>
  </r>
  <r>
    <s v="ORD-10847"/>
    <x v="400"/>
    <x v="415"/>
    <x v="2"/>
    <x v="2"/>
    <x v="8"/>
    <x v="4"/>
    <s v="Fragrances"/>
    <x v="35"/>
    <n v="2"/>
    <n v="2299.65"/>
    <n v="4139.37"/>
    <x v="2"/>
    <n v="643.72"/>
    <n v="89.67"/>
    <x v="2"/>
    <x v="1"/>
  </r>
  <r>
    <s v="ORD-10665"/>
    <x v="401"/>
    <x v="307"/>
    <x v="1"/>
    <x v="2"/>
    <x v="8"/>
    <x v="5"/>
    <s v="Kids Wear"/>
    <x v="65"/>
    <n v="1"/>
    <n v="788"/>
    <n v="748.6"/>
    <x v="3"/>
    <n v="167.37"/>
    <n v="222.35"/>
    <x v="3"/>
    <x v="3"/>
  </r>
  <r>
    <s v="ORD-10659"/>
    <x v="402"/>
    <x v="247"/>
    <x v="2"/>
    <x v="3"/>
    <x v="10"/>
    <x v="4"/>
    <s v="Fragrances"/>
    <x v="79"/>
    <n v="3"/>
    <n v="1644.38"/>
    <n v="4193.17"/>
    <x v="1"/>
    <n v="657.74"/>
    <n v="119.81"/>
    <x v="4"/>
    <x v="0"/>
  </r>
  <r>
    <s v="ORD-10619"/>
    <x v="403"/>
    <x v="262"/>
    <x v="2"/>
    <x v="3"/>
    <x v="7"/>
    <x v="1"/>
    <s v="Furniture"/>
    <x v="10"/>
    <n v="1"/>
    <n v="6954.99"/>
    <n v="6954.99"/>
    <x v="0"/>
    <n v="1249.69"/>
    <n v="33.869999999999997"/>
    <x v="1"/>
    <x v="0"/>
  </r>
  <r>
    <s v="ORD-10380"/>
    <x v="404"/>
    <x v="314"/>
    <x v="2"/>
    <x v="2"/>
    <x v="8"/>
    <x v="5"/>
    <s v="Women's Wear"/>
    <x v="42"/>
    <n v="2"/>
    <n v="4348.05"/>
    <n v="8696.1"/>
    <x v="0"/>
    <n v="1775.46"/>
    <n v="124.55"/>
    <x v="4"/>
    <x v="0"/>
  </r>
  <r>
    <s v="ORD-10083"/>
    <x v="405"/>
    <x v="436"/>
    <x v="2"/>
    <x v="0"/>
    <x v="12"/>
    <x v="3"/>
    <s v="Gym Equipment"/>
    <x v="57"/>
    <n v="1"/>
    <n v="5340.15"/>
    <n v="4539.13"/>
    <x v="1"/>
    <n v="492.85"/>
    <n v="251.72"/>
    <x v="0"/>
    <x v="2"/>
  </r>
  <r>
    <s v="ORD-10427"/>
    <x v="405"/>
    <x v="437"/>
    <x v="1"/>
    <x v="0"/>
    <x v="12"/>
    <x v="4"/>
    <s v="Makeup"/>
    <x v="63"/>
    <n v="1"/>
    <n v="1551.87"/>
    <n v="1396.68"/>
    <x v="2"/>
    <n v="273.13"/>
    <n v="137.04"/>
    <x v="3"/>
    <x v="3"/>
  </r>
  <r>
    <s v="ORD-10195"/>
    <x v="406"/>
    <x v="342"/>
    <x v="2"/>
    <x v="3"/>
    <x v="7"/>
    <x v="4"/>
    <s v="Makeup"/>
    <x v="59"/>
    <n v="5"/>
    <n v="747.82"/>
    <n v="3739.1"/>
    <x v="0"/>
    <n v="1002.02"/>
    <n v="321.13"/>
    <x v="4"/>
    <x v="2"/>
  </r>
  <r>
    <s v="ORD-10809"/>
    <x v="407"/>
    <x v="438"/>
    <x v="2"/>
    <x v="0"/>
    <x v="0"/>
    <x v="5"/>
    <s v="Men's Wear"/>
    <x v="21"/>
    <n v="1"/>
    <n v="1158.68"/>
    <n v="984.88"/>
    <x v="1"/>
    <n v="134.99"/>
    <n v="226.84"/>
    <x v="3"/>
    <x v="0"/>
  </r>
  <r>
    <s v="ORD-10150"/>
    <x v="407"/>
    <x v="73"/>
    <x v="2"/>
    <x v="2"/>
    <x v="11"/>
    <x v="5"/>
    <s v="Footwear"/>
    <x v="37"/>
    <n v="2"/>
    <n v="1017.73"/>
    <n v="1526.6"/>
    <x v="4"/>
    <n v="117.95"/>
    <n v="258.97000000000003"/>
    <x v="4"/>
    <x v="2"/>
  </r>
  <r>
    <s v="ORD-10081"/>
    <x v="408"/>
    <x v="243"/>
    <x v="2"/>
    <x v="2"/>
    <x v="11"/>
    <x v="4"/>
    <s v="Makeup"/>
    <x v="71"/>
    <n v="1"/>
    <n v="1067.7"/>
    <n v="907.54"/>
    <x v="1"/>
    <n v="177.44"/>
    <n v="137.69999999999999"/>
    <x v="3"/>
    <x v="0"/>
  </r>
  <r>
    <s v="ORD-10055"/>
    <x v="408"/>
    <x v="227"/>
    <x v="1"/>
    <x v="2"/>
    <x v="2"/>
    <x v="3"/>
    <s v="Apparel"/>
    <x v="75"/>
    <n v="3"/>
    <n v="14467.03"/>
    <n v="39060.980000000003"/>
    <x v="2"/>
    <n v="4584.8599999999997"/>
    <n v="183.23"/>
    <x v="3"/>
    <x v="1"/>
  </r>
  <r>
    <s v="ORD-10377"/>
    <x v="409"/>
    <x v="186"/>
    <x v="2"/>
    <x v="2"/>
    <x v="2"/>
    <x v="1"/>
    <s v="Appliances"/>
    <x v="40"/>
    <n v="2"/>
    <n v="6309.3"/>
    <n v="11987.67"/>
    <x v="3"/>
    <n v="878.52"/>
    <n v="244.65"/>
    <x v="0"/>
    <x v="1"/>
  </r>
  <r>
    <s v="ORD-10861"/>
    <x v="410"/>
    <x v="35"/>
    <x v="1"/>
    <x v="0"/>
    <x v="12"/>
    <x v="3"/>
    <s v="Gym Equipment"/>
    <x v="57"/>
    <n v="2"/>
    <n v="12428.51"/>
    <n v="22371.32"/>
    <x v="2"/>
    <n v="3393.76"/>
    <n v="217.89"/>
    <x v="3"/>
    <x v="2"/>
  </r>
  <r>
    <s v="ORD-10678"/>
    <x v="410"/>
    <x v="347"/>
    <x v="2"/>
    <x v="1"/>
    <x v="3"/>
    <x v="1"/>
    <s v="Furniture"/>
    <x v="39"/>
    <n v="1"/>
    <n v="4733.24"/>
    <n v="4023.25"/>
    <x v="1"/>
    <n v="417.77"/>
    <n v="46.16"/>
    <x v="2"/>
    <x v="0"/>
  </r>
  <r>
    <s v="ORD-10478"/>
    <x v="411"/>
    <x v="160"/>
    <x v="0"/>
    <x v="3"/>
    <x v="5"/>
    <x v="5"/>
    <s v="Men's Wear"/>
    <x v="69"/>
    <n v="1"/>
    <n v="1902.77"/>
    <n v="1807.63"/>
    <x v="3"/>
    <n v="402.23"/>
    <n v="71.23"/>
    <x v="2"/>
    <x v="3"/>
  </r>
  <r>
    <s v="ORD-10854"/>
    <x v="411"/>
    <x v="289"/>
    <x v="0"/>
    <x v="2"/>
    <x v="9"/>
    <x v="3"/>
    <s v="Outdoor Gear"/>
    <x v="82"/>
    <n v="1"/>
    <n v="10331.82"/>
    <n v="9298.64"/>
    <x v="2"/>
    <n v="1406.05"/>
    <n v="330.86"/>
    <x v="3"/>
    <x v="3"/>
  </r>
  <r>
    <s v="ORD-10460"/>
    <x v="412"/>
    <x v="418"/>
    <x v="2"/>
    <x v="3"/>
    <x v="6"/>
    <x v="2"/>
    <s v="Non-Fiction"/>
    <x v="36"/>
    <n v="5"/>
    <n v="612.34"/>
    <n v="2755.53"/>
    <x v="2"/>
    <n v="138.53"/>
    <n v="286.89999999999998"/>
    <x v="1"/>
    <x v="0"/>
  </r>
  <r>
    <s v="ORD-10145"/>
    <x v="412"/>
    <x v="6"/>
    <x v="1"/>
    <x v="2"/>
    <x v="9"/>
    <x v="2"/>
    <s v="Comics"/>
    <x v="95"/>
    <n v="1"/>
    <n v="531.24"/>
    <n v="478.12"/>
    <x v="2"/>
    <n v="65.17"/>
    <n v="143.94999999999999"/>
    <x v="1"/>
    <x v="1"/>
  </r>
  <r>
    <s v="ORD-10711"/>
    <x v="413"/>
    <x v="439"/>
    <x v="2"/>
    <x v="3"/>
    <x v="5"/>
    <x v="4"/>
    <s v="Fragrances"/>
    <x v="41"/>
    <n v="1"/>
    <n v="2184.84"/>
    <n v="1966.36"/>
    <x v="2"/>
    <n v="576.30999999999995"/>
    <n v="124.97"/>
    <x v="2"/>
    <x v="3"/>
  </r>
  <r>
    <s v="ORD-10681"/>
    <x v="414"/>
    <x v="83"/>
    <x v="0"/>
    <x v="3"/>
    <x v="10"/>
    <x v="2"/>
    <s v="Academic"/>
    <x v="2"/>
    <n v="1"/>
    <n v="926.38"/>
    <n v="926.38"/>
    <x v="0"/>
    <n v="168.89"/>
    <n v="189.37"/>
    <x v="3"/>
    <x v="0"/>
  </r>
  <r>
    <s v="ORD-10434"/>
    <x v="414"/>
    <x v="106"/>
    <x v="2"/>
    <x v="0"/>
    <x v="12"/>
    <x v="4"/>
    <s v="Skincare"/>
    <x v="54"/>
    <n v="2"/>
    <n v="849.03"/>
    <n v="1358.45"/>
    <x v="5"/>
    <n v="149.47999999999999"/>
    <n v="128.75"/>
    <x v="1"/>
    <x v="0"/>
  </r>
  <r>
    <s v="ORD-10572"/>
    <x v="415"/>
    <x v="319"/>
    <x v="1"/>
    <x v="1"/>
    <x v="3"/>
    <x v="4"/>
    <s v="Makeup"/>
    <x v="63"/>
    <n v="2"/>
    <n v="821.9"/>
    <n v="1561.61"/>
    <x v="3"/>
    <n v="478.29"/>
    <n v="314.67"/>
    <x v="3"/>
    <x v="0"/>
  </r>
  <r>
    <s v="ORD-10428"/>
    <x v="415"/>
    <x v="440"/>
    <x v="0"/>
    <x v="2"/>
    <x v="2"/>
    <x v="3"/>
    <s v="Outdoor Gear"/>
    <x v="82"/>
    <n v="3"/>
    <n v="704.41"/>
    <n v="2113.23"/>
    <x v="0"/>
    <n v="304.35000000000002"/>
    <n v="326.14"/>
    <x v="1"/>
    <x v="0"/>
  </r>
  <r>
    <s v="ORD-10027"/>
    <x v="416"/>
    <x v="441"/>
    <x v="2"/>
    <x v="3"/>
    <x v="10"/>
    <x v="0"/>
    <s v="Cameras"/>
    <x v="8"/>
    <n v="3"/>
    <n v="13103.17"/>
    <n v="31447.61"/>
    <x v="5"/>
    <n v="-476.31"/>
    <n v="318.38"/>
    <x v="1"/>
    <x v="3"/>
  </r>
  <r>
    <s v="ORD-10309"/>
    <x v="416"/>
    <x v="442"/>
    <x v="2"/>
    <x v="2"/>
    <x v="8"/>
    <x v="5"/>
    <s v="Men's Wear"/>
    <x v="21"/>
    <n v="1"/>
    <n v="2567.6"/>
    <n v="1925.7"/>
    <x v="4"/>
    <n v="103.83"/>
    <n v="46.54"/>
    <x v="0"/>
    <x v="3"/>
  </r>
  <r>
    <s v="ORD-10862"/>
    <x v="416"/>
    <x v="89"/>
    <x v="1"/>
    <x v="3"/>
    <x v="6"/>
    <x v="3"/>
    <s v="Outdoor Gear"/>
    <x v="3"/>
    <n v="1"/>
    <n v="5902.94"/>
    <n v="5607.79"/>
    <x v="3"/>
    <n v="883.64"/>
    <n v="322.82"/>
    <x v="3"/>
    <x v="0"/>
  </r>
  <r>
    <s v="ORD-10746"/>
    <x v="417"/>
    <x v="443"/>
    <x v="2"/>
    <x v="3"/>
    <x v="5"/>
    <x v="4"/>
    <s v="Haircare"/>
    <x v="77"/>
    <n v="1"/>
    <n v="703.05"/>
    <n v="667.9"/>
    <x v="3"/>
    <n v="115.84"/>
    <n v="220.5"/>
    <x v="1"/>
    <x v="2"/>
  </r>
  <r>
    <s v="ORD-10214"/>
    <x v="418"/>
    <x v="444"/>
    <x v="2"/>
    <x v="0"/>
    <x v="0"/>
    <x v="0"/>
    <s v="Mobiles"/>
    <x v="4"/>
    <n v="1"/>
    <n v="62070.75"/>
    <n v="52760.14"/>
    <x v="1"/>
    <n v="-4098.34"/>
    <n v="73.2"/>
    <x v="3"/>
    <x v="0"/>
  </r>
  <r>
    <s v="ORD-10710"/>
    <x v="419"/>
    <x v="277"/>
    <x v="2"/>
    <x v="3"/>
    <x v="10"/>
    <x v="1"/>
    <s v="Cookware"/>
    <x v="6"/>
    <n v="3"/>
    <n v="1763.6"/>
    <n v="4232.6400000000003"/>
    <x v="5"/>
    <n v="118.75"/>
    <n v="112.89"/>
    <x v="1"/>
    <x v="3"/>
  </r>
  <r>
    <s v="ORD-10834"/>
    <x v="420"/>
    <x v="226"/>
    <x v="1"/>
    <x v="0"/>
    <x v="12"/>
    <x v="4"/>
    <s v="Haircare"/>
    <x v="85"/>
    <n v="2"/>
    <n v="304.07"/>
    <n v="547.33000000000004"/>
    <x v="2"/>
    <n v="157.96"/>
    <n v="114.73"/>
    <x v="3"/>
    <x v="3"/>
  </r>
  <r>
    <s v="ORD-10084"/>
    <x v="421"/>
    <x v="286"/>
    <x v="2"/>
    <x v="2"/>
    <x v="9"/>
    <x v="5"/>
    <s v="Kids Wear"/>
    <x v="48"/>
    <n v="2"/>
    <n v="2941.56"/>
    <n v="5294.81"/>
    <x v="2"/>
    <n v="392.76"/>
    <n v="325.79000000000002"/>
    <x v="1"/>
    <x v="2"/>
  </r>
  <r>
    <s v="ORD-10525"/>
    <x v="422"/>
    <x v="144"/>
    <x v="1"/>
    <x v="0"/>
    <x v="0"/>
    <x v="3"/>
    <s v="Gym Equipment"/>
    <x v="51"/>
    <n v="1"/>
    <n v="8850.25"/>
    <n v="8407.74"/>
    <x v="3"/>
    <n v="1034.92"/>
    <n v="83.56"/>
    <x v="1"/>
    <x v="3"/>
  </r>
  <r>
    <s v="ORD-10637"/>
    <x v="422"/>
    <x v="276"/>
    <x v="0"/>
    <x v="2"/>
    <x v="9"/>
    <x v="2"/>
    <s v="Non-Fiction"/>
    <x v="36"/>
    <n v="3"/>
    <n v="596.49"/>
    <n v="1789.47"/>
    <x v="0"/>
    <n v="330.18"/>
    <n v="77.48"/>
    <x v="2"/>
    <x v="2"/>
  </r>
  <r>
    <s v="ORD-10723"/>
    <x v="423"/>
    <x v="329"/>
    <x v="2"/>
    <x v="1"/>
    <x v="13"/>
    <x v="2"/>
    <s v="Non-Fiction"/>
    <x v="28"/>
    <n v="3"/>
    <n v="383"/>
    <n v="1091.55"/>
    <x v="3"/>
    <n v="165.66"/>
    <n v="294.02"/>
    <x v="2"/>
    <x v="2"/>
  </r>
  <r>
    <s v="ORD-10329"/>
    <x v="423"/>
    <x v="38"/>
    <x v="2"/>
    <x v="1"/>
    <x v="1"/>
    <x v="3"/>
    <s v="Apparel"/>
    <x v="5"/>
    <n v="1"/>
    <n v="12271.68"/>
    <n v="9817.34"/>
    <x v="5"/>
    <n v="-15.06"/>
    <n v="182.54"/>
    <x v="1"/>
    <x v="1"/>
  </r>
  <r>
    <s v="ORD-10512"/>
    <x v="423"/>
    <x v="343"/>
    <x v="0"/>
    <x v="3"/>
    <x v="5"/>
    <x v="5"/>
    <s v="Women's Wear"/>
    <x v="86"/>
    <n v="3"/>
    <n v="4090.3"/>
    <n v="11657.35"/>
    <x v="3"/>
    <n v="2029.93"/>
    <n v="81.260000000000005"/>
    <x v="3"/>
    <x v="2"/>
  </r>
  <r>
    <s v="ORD-10305"/>
    <x v="424"/>
    <x v="48"/>
    <x v="2"/>
    <x v="1"/>
    <x v="13"/>
    <x v="1"/>
    <s v="Furniture"/>
    <x v="44"/>
    <n v="1"/>
    <n v="2369.19"/>
    <n v="2250.73"/>
    <x v="3"/>
    <n v="101.83"/>
    <n v="295.24"/>
    <x v="3"/>
    <x v="0"/>
  </r>
  <r>
    <s v="ORD-10141"/>
    <x v="425"/>
    <x v="150"/>
    <x v="1"/>
    <x v="1"/>
    <x v="13"/>
    <x v="1"/>
    <s v="Furniture"/>
    <x v="44"/>
    <n v="1"/>
    <n v="4776.5"/>
    <n v="3582.38"/>
    <x v="4"/>
    <n v="-8.34"/>
    <n v="68.319999999999993"/>
    <x v="3"/>
    <x v="2"/>
  </r>
  <r>
    <s v="ORD-10488"/>
    <x v="426"/>
    <x v="298"/>
    <x v="1"/>
    <x v="0"/>
    <x v="0"/>
    <x v="2"/>
    <s v="Academic"/>
    <x v="91"/>
    <n v="5"/>
    <n v="344.6"/>
    <n v="1550.7"/>
    <x v="2"/>
    <n v="201.16"/>
    <n v="115.27"/>
    <x v="1"/>
    <x v="3"/>
  </r>
  <r>
    <s v="ORD-10435"/>
    <x v="426"/>
    <x v="268"/>
    <x v="2"/>
    <x v="0"/>
    <x v="12"/>
    <x v="3"/>
    <s v="Apparel"/>
    <x v="75"/>
    <n v="3"/>
    <n v="14631.33"/>
    <n v="41699.29"/>
    <x v="3"/>
    <n v="4859.53"/>
    <n v="330.33"/>
    <x v="4"/>
    <x v="2"/>
  </r>
  <r>
    <s v="ORD-10562"/>
    <x v="426"/>
    <x v="379"/>
    <x v="0"/>
    <x v="1"/>
    <x v="3"/>
    <x v="3"/>
    <s v="Apparel"/>
    <x v="5"/>
    <n v="1"/>
    <n v="6284.75"/>
    <n v="6284.75"/>
    <x v="0"/>
    <n v="1456.9"/>
    <n v="319.95999999999998"/>
    <x v="0"/>
    <x v="3"/>
  </r>
  <r>
    <s v="ORD-10308"/>
    <x v="426"/>
    <x v="130"/>
    <x v="2"/>
    <x v="3"/>
    <x v="6"/>
    <x v="4"/>
    <s v="Haircare"/>
    <x v="77"/>
    <n v="4"/>
    <n v="2053.04"/>
    <n v="6980.34"/>
    <x v="1"/>
    <n v="1752.94"/>
    <n v="262.31"/>
    <x v="2"/>
    <x v="2"/>
  </r>
  <r>
    <s v="ORD-10095"/>
    <x v="427"/>
    <x v="89"/>
    <x v="1"/>
    <x v="0"/>
    <x v="4"/>
    <x v="4"/>
    <s v="Fragrances"/>
    <x v="35"/>
    <n v="1"/>
    <n v="1215.52"/>
    <n v="1093.97"/>
    <x v="2"/>
    <n v="223.77"/>
    <n v="67.459999999999994"/>
    <x v="3"/>
    <x v="3"/>
  </r>
  <r>
    <s v="ORD-10246"/>
    <x v="428"/>
    <x v="445"/>
    <x v="2"/>
    <x v="1"/>
    <x v="3"/>
    <x v="5"/>
    <s v="Women's Wear"/>
    <x v="86"/>
    <n v="5"/>
    <n v="843.96"/>
    <n v="4008.81"/>
    <x v="3"/>
    <n v="987.31"/>
    <n v="374.4"/>
    <x v="2"/>
    <x v="3"/>
  </r>
  <r>
    <s v="ORD-10286"/>
    <x v="428"/>
    <x v="446"/>
    <x v="0"/>
    <x v="2"/>
    <x v="11"/>
    <x v="2"/>
    <s v="Academic"/>
    <x v="2"/>
    <n v="1"/>
    <n v="183.17"/>
    <n v="164.85"/>
    <x v="2"/>
    <n v="15.93"/>
    <n v="329.59"/>
    <x v="0"/>
    <x v="0"/>
  </r>
  <r>
    <s v="ORD-10299"/>
    <x v="429"/>
    <x v="425"/>
    <x v="0"/>
    <x v="1"/>
    <x v="1"/>
    <x v="2"/>
    <s v="Comics"/>
    <x v="43"/>
    <n v="2"/>
    <n v="371.2"/>
    <n v="668.16"/>
    <x v="2"/>
    <n v="109.46"/>
    <n v="279.60000000000002"/>
    <x v="3"/>
    <x v="2"/>
  </r>
  <r>
    <s v="ORD-10783"/>
    <x v="429"/>
    <x v="45"/>
    <x v="2"/>
    <x v="2"/>
    <x v="9"/>
    <x v="4"/>
    <s v="Skincare"/>
    <x v="26"/>
    <n v="3"/>
    <n v="895.7"/>
    <n v="2552.7399999999998"/>
    <x v="3"/>
    <n v="663.62"/>
    <n v="84.47"/>
    <x v="1"/>
    <x v="0"/>
  </r>
  <r>
    <s v="ORD-10906"/>
    <x v="430"/>
    <x v="336"/>
    <x v="0"/>
    <x v="0"/>
    <x v="12"/>
    <x v="1"/>
    <s v="Furniture"/>
    <x v="39"/>
    <n v="1"/>
    <n v="8494.86"/>
    <n v="8494.86"/>
    <x v="0"/>
    <n v="1217.67"/>
    <n v="318.08"/>
    <x v="0"/>
    <x v="3"/>
  </r>
  <r>
    <s v="ORD-10040"/>
    <x v="431"/>
    <x v="447"/>
    <x v="2"/>
    <x v="3"/>
    <x v="10"/>
    <x v="4"/>
    <s v="Skincare"/>
    <x v="67"/>
    <n v="2"/>
    <n v="1390.83"/>
    <n v="2781.66"/>
    <x v="0"/>
    <n v="608.78"/>
    <n v="313.07"/>
    <x v="0"/>
    <x v="0"/>
  </r>
  <r>
    <s v="ORD-10474"/>
    <x v="431"/>
    <x v="448"/>
    <x v="0"/>
    <x v="1"/>
    <x v="13"/>
    <x v="3"/>
    <s v="Footwear"/>
    <x v="11"/>
    <n v="1"/>
    <n v="9768.2199999999993"/>
    <n v="9279.81"/>
    <x v="3"/>
    <n v="1820.82"/>
    <n v="252.13"/>
    <x v="3"/>
    <x v="0"/>
  </r>
  <r>
    <s v="ORD-10050"/>
    <x v="431"/>
    <x v="4"/>
    <x v="1"/>
    <x v="2"/>
    <x v="11"/>
    <x v="5"/>
    <s v="Footwear"/>
    <x v="33"/>
    <n v="2"/>
    <n v="2686.9"/>
    <n v="5105.1099999999997"/>
    <x v="3"/>
    <n v="782.47"/>
    <n v="74.98"/>
    <x v="1"/>
    <x v="0"/>
  </r>
  <r>
    <s v="ORD-10182"/>
    <x v="431"/>
    <x v="303"/>
    <x v="1"/>
    <x v="3"/>
    <x v="10"/>
    <x v="3"/>
    <s v="Outdoor Gear"/>
    <x v="12"/>
    <n v="1"/>
    <n v="3640.46"/>
    <n v="2912.37"/>
    <x v="5"/>
    <n v="-172.5"/>
    <n v="174.78"/>
    <x v="4"/>
    <x v="3"/>
  </r>
  <r>
    <s v="ORD-10352"/>
    <x v="432"/>
    <x v="34"/>
    <x v="1"/>
    <x v="3"/>
    <x v="7"/>
    <x v="2"/>
    <s v="Academic"/>
    <x v="38"/>
    <n v="1"/>
    <n v="853.08"/>
    <n v="853.08"/>
    <x v="0"/>
    <n v="61.78"/>
    <n v="52.38"/>
    <x v="3"/>
    <x v="0"/>
  </r>
  <r>
    <s v="ORD-10877"/>
    <x v="432"/>
    <x v="449"/>
    <x v="2"/>
    <x v="0"/>
    <x v="12"/>
    <x v="3"/>
    <s v="Footwear"/>
    <x v="29"/>
    <n v="2"/>
    <n v="1256.6300000000001"/>
    <n v="1759.28"/>
    <x v="6"/>
    <n v="248.86"/>
    <n v="285.45999999999998"/>
    <x v="1"/>
    <x v="2"/>
  </r>
  <r>
    <s v="ORD-10192"/>
    <x v="433"/>
    <x v="370"/>
    <x v="0"/>
    <x v="2"/>
    <x v="8"/>
    <x v="2"/>
    <s v="Non-Fiction"/>
    <x v="64"/>
    <n v="2"/>
    <n v="541.97"/>
    <n v="758.76"/>
    <x v="6"/>
    <n v="-36.85"/>
    <n v="131.63999999999999"/>
    <x v="3"/>
    <x v="3"/>
  </r>
  <r>
    <s v="ORD-10770"/>
    <x v="433"/>
    <x v="450"/>
    <x v="2"/>
    <x v="2"/>
    <x v="11"/>
    <x v="5"/>
    <s v="Men's Wear"/>
    <x v="32"/>
    <n v="3"/>
    <n v="2983.94"/>
    <n v="6266.27"/>
    <x v="6"/>
    <n v="-391.75"/>
    <n v="365.13"/>
    <x v="1"/>
    <x v="3"/>
  </r>
  <r>
    <s v="ORD-10798"/>
    <x v="433"/>
    <x v="388"/>
    <x v="2"/>
    <x v="1"/>
    <x v="13"/>
    <x v="3"/>
    <s v="Gym Equipment"/>
    <x v="57"/>
    <n v="1"/>
    <n v="3028.57"/>
    <n v="2574.2800000000002"/>
    <x v="1"/>
    <n v="320.61"/>
    <n v="294.23"/>
    <x v="1"/>
    <x v="3"/>
  </r>
  <r>
    <s v="ORD-10323"/>
    <x v="434"/>
    <x v="375"/>
    <x v="0"/>
    <x v="0"/>
    <x v="4"/>
    <x v="4"/>
    <s v="Skincare"/>
    <x v="54"/>
    <n v="2"/>
    <n v="1735.46"/>
    <n v="2950.28"/>
    <x v="1"/>
    <n v="648.67999999999995"/>
    <n v="300.3"/>
    <x v="3"/>
    <x v="1"/>
  </r>
  <r>
    <s v="ORD-10938"/>
    <x v="434"/>
    <x v="88"/>
    <x v="2"/>
    <x v="3"/>
    <x v="5"/>
    <x v="2"/>
    <s v="Comics"/>
    <x v="58"/>
    <n v="3"/>
    <n v="369.27"/>
    <n v="886.25"/>
    <x v="5"/>
    <n v="10.56"/>
    <n v="78.739999999999995"/>
    <x v="1"/>
    <x v="3"/>
  </r>
  <r>
    <s v="ORD-10732"/>
    <x v="434"/>
    <x v="197"/>
    <x v="0"/>
    <x v="0"/>
    <x v="0"/>
    <x v="3"/>
    <s v="Gym Equipment"/>
    <x v="51"/>
    <n v="2"/>
    <n v="7151.09"/>
    <n v="12871.96"/>
    <x v="2"/>
    <n v="855.4"/>
    <n v="276.27999999999997"/>
    <x v="1"/>
    <x v="2"/>
  </r>
  <r>
    <s v="ORD-10209"/>
    <x v="435"/>
    <x v="110"/>
    <x v="2"/>
    <x v="3"/>
    <x v="5"/>
    <x v="1"/>
    <s v="Decor"/>
    <x v="83"/>
    <n v="2"/>
    <n v="8893.34"/>
    <n v="17786.68"/>
    <x v="0"/>
    <n v="3834.47"/>
    <n v="203.17"/>
    <x v="3"/>
    <x v="1"/>
  </r>
  <r>
    <s v="ORD-10265"/>
    <x v="435"/>
    <x v="451"/>
    <x v="0"/>
    <x v="3"/>
    <x v="7"/>
    <x v="4"/>
    <s v="Haircare"/>
    <x v="17"/>
    <n v="1"/>
    <n v="1055.22"/>
    <n v="896.94"/>
    <x v="1"/>
    <n v="144.96"/>
    <n v="30.33"/>
    <x v="0"/>
    <x v="0"/>
  </r>
  <r>
    <s v="ORD-10530"/>
    <x v="435"/>
    <x v="8"/>
    <x v="1"/>
    <x v="1"/>
    <x v="1"/>
    <x v="2"/>
    <s v="Fiction"/>
    <x v="87"/>
    <n v="2"/>
    <n v="783.09"/>
    <n v="1409.56"/>
    <x v="2"/>
    <n v="24.44"/>
    <n v="309.55"/>
    <x v="3"/>
    <x v="1"/>
  </r>
  <r>
    <s v="ORD-10994"/>
    <x v="435"/>
    <x v="452"/>
    <x v="0"/>
    <x v="2"/>
    <x v="8"/>
    <x v="4"/>
    <s v="Makeup"/>
    <x v="71"/>
    <n v="1"/>
    <n v="1556.2"/>
    <n v="1089.3399999999999"/>
    <x v="6"/>
    <n v="61.99"/>
    <n v="51.56"/>
    <x v="2"/>
    <x v="2"/>
  </r>
  <r>
    <s v="ORD-10466"/>
    <x v="435"/>
    <x v="128"/>
    <x v="2"/>
    <x v="1"/>
    <x v="13"/>
    <x v="3"/>
    <s v="Gym Equipment"/>
    <x v="51"/>
    <n v="2"/>
    <n v="10755.06"/>
    <n v="20434.61"/>
    <x v="3"/>
    <n v="4083.29"/>
    <n v="145.59"/>
    <x v="0"/>
    <x v="2"/>
  </r>
  <r>
    <s v="ORD-10554"/>
    <x v="436"/>
    <x v="433"/>
    <x v="2"/>
    <x v="0"/>
    <x v="0"/>
    <x v="2"/>
    <s v="Fiction"/>
    <x v="87"/>
    <n v="2"/>
    <n v="196.37"/>
    <n v="392.74"/>
    <x v="0"/>
    <n v="68.989999999999995"/>
    <n v="154.37"/>
    <x v="4"/>
    <x v="1"/>
  </r>
  <r>
    <s v="ORD-10351"/>
    <x v="437"/>
    <x v="436"/>
    <x v="0"/>
    <x v="3"/>
    <x v="6"/>
    <x v="2"/>
    <s v="Fiction"/>
    <x v="9"/>
    <n v="1"/>
    <n v="535.29999999999995"/>
    <n v="508.53"/>
    <x v="3"/>
    <n v="90.57"/>
    <n v="171.57"/>
    <x v="3"/>
    <x v="0"/>
  </r>
  <r>
    <s v="ORD-10499"/>
    <x v="437"/>
    <x v="453"/>
    <x v="2"/>
    <x v="0"/>
    <x v="12"/>
    <x v="3"/>
    <s v="Apparel"/>
    <x v="18"/>
    <n v="2"/>
    <n v="3849.25"/>
    <n v="6543.72"/>
    <x v="1"/>
    <n v="-98.75"/>
    <n v="196.35"/>
    <x v="3"/>
    <x v="2"/>
  </r>
  <r>
    <s v="ORD-10112"/>
    <x v="437"/>
    <x v="126"/>
    <x v="0"/>
    <x v="3"/>
    <x v="6"/>
    <x v="3"/>
    <s v="Outdoor Gear"/>
    <x v="82"/>
    <n v="1"/>
    <n v="5526.61"/>
    <n v="5250.28"/>
    <x v="3"/>
    <n v="1098.3599999999999"/>
    <n v="216.77"/>
    <x v="3"/>
    <x v="0"/>
  </r>
  <r>
    <s v="ORD-10099"/>
    <x v="437"/>
    <x v="27"/>
    <x v="0"/>
    <x v="1"/>
    <x v="3"/>
    <x v="0"/>
    <s v="Headphones"/>
    <x v="81"/>
    <n v="2"/>
    <n v="25078.48"/>
    <n v="45141.26"/>
    <x v="2"/>
    <n v="4411.1000000000004"/>
    <n v="348.12"/>
    <x v="3"/>
    <x v="2"/>
  </r>
  <r>
    <s v="ORD-10461"/>
    <x v="438"/>
    <x v="168"/>
    <x v="0"/>
    <x v="0"/>
    <x v="4"/>
    <x v="0"/>
    <s v="Mobiles"/>
    <x v="62"/>
    <n v="1"/>
    <n v="52469.91"/>
    <n v="49846.41"/>
    <x v="3"/>
    <n v="4788.4799999999996"/>
    <n v="163.68"/>
    <x v="3"/>
    <x v="0"/>
  </r>
  <r>
    <s v="ORD-10582"/>
    <x v="438"/>
    <x v="454"/>
    <x v="1"/>
    <x v="0"/>
    <x v="4"/>
    <x v="0"/>
    <s v="Cameras"/>
    <x v="8"/>
    <n v="2"/>
    <n v="43139.15"/>
    <n v="86278.3"/>
    <x v="0"/>
    <n v="7246.98"/>
    <n v="196.13"/>
    <x v="1"/>
    <x v="3"/>
  </r>
  <r>
    <s v="ORD-10782"/>
    <x v="439"/>
    <x v="295"/>
    <x v="0"/>
    <x v="1"/>
    <x v="3"/>
    <x v="5"/>
    <s v="Women's Wear"/>
    <x v="42"/>
    <n v="4"/>
    <n v="1377.14"/>
    <n v="4406.8500000000004"/>
    <x v="5"/>
    <n v="334.03"/>
    <n v="188.7"/>
    <x v="3"/>
    <x v="0"/>
  </r>
  <r>
    <s v="ORD-10638"/>
    <x v="439"/>
    <x v="198"/>
    <x v="2"/>
    <x v="3"/>
    <x v="6"/>
    <x v="0"/>
    <s v="Headphones"/>
    <x v="68"/>
    <n v="1"/>
    <n v="13995.74"/>
    <n v="12596.17"/>
    <x v="2"/>
    <n v="-1107.44"/>
    <n v="95.15"/>
    <x v="3"/>
    <x v="3"/>
  </r>
  <r>
    <s v="ORD-10587"/>
    <x v="439"/>
    <x v="75"/>
    <x v="0"/>
    <x v="1"/>
    <x v="1"/>
    <x v="3"/>
    <s v="Apparel"/>
    <x v="66"/>
    <n v="1"/>
    <n v="8316.75"/>
    <n v="7900.91"/>
    <x v="3"/>
    <n v="1461.03"/>
    <n v="107.4"/>
    <x v="0"/>
    <x v="3"/>
  </r>
  <r>
    <s v="ORD-10680"/>
    <x v="439"/>
    <x v="455"/>
    <x v="2"/>
    <x v="1"/>
    <x v="3"/>
    <x v="0"/>
    <s v="Mobiles"/>
    <x v="74"/>
    <n v="1"/>
    <n v="26658.45"/>
    <n v="22659.68"/>
    <x v="1"/>
    <n v="809.24"/>
    <n v="298.74"/>
    <x v="1"/>
    <x v="2"/>
  </r>
  <r>
    <s v="ORD-10742"/>
    <x v="439"/>
    <x v="456"/>
    <x v="2"/>
    <x v="2"/>
    <x v="8"/>
    <x v="3"/>
    <s v="Apparel"/>
    <x v="18"/>
    <n v="2"/>
    <n v="7778.42"/>
    <n v="15556.84"/>
    <x v="0"/>
    <n v="2500.9499999999998"/>
    <n v="105.13"/>
    <x v="4"/>
    <x v="2"/>
  </r>
  <r>
    <s v="ORD-10645"/>
    <x v="440"/>
    <x v="193"/>
    <x v="2"/>
    <x v="1"/>
    <x v="3"/>
    <x v="2"/>
    <s v="Fiction"/>
    <x v="49"/>
    <n v="1"/>
    <n v="809.86"/>
    <n v="688.38"/>
    <x v="1"/>
    <n v="-35.82"/>
    <n v="333.75"/>
    <x v="3"/>
    <x v="0"/>
  </r>
  <r>
    <s v="ORD-10761"/>
    <x v="440"/>
    <x v="386"/>
    <x v="2"/>
    <x v="0"/>
    <x v="12"/>
    <x v="3"/>
    <s v="Footwear"/>
    <x v="37"/>
    <n v="1"/>
    <n v="13961.89"/>
    <n v="10471.42"/>
    <x v="4"/>
    <n v="716.06"/>
    <n v="97.72"/>
    <x v="0"/>
    <x v="3"/>
  </r>
  <r>
    <s v="ORD-10392"/>
    <x v="440"/>
    <x v="445"/>
    <x v="0"/>
    <x v="2"/>
    <x v="11"/>
    <x v="0"/>
    <s v="Headphones"/>
    <x v="68"/>
    <n v="3"/>
    <n v="63133.85"/>
    <n v="179931.47"/>
    <x v="3"/>
    <n v="24280.05"/>
    <n v="361.54"/>
    <x v="2"/>
    <x v="0"/>
  </r>
  <r>
    <s v="ORD-10927"/>
    <x v="441"/>
    <x v="196"/>
    <x v="1"/>
    <x v="0"/>
    <x v="4"/>
    <x v="5"/>
    <s v="Kids Wear"/>
    <x v="65"/>
    <n v="1"/>
    <n v="1806.21"/>
    <n v="1715.9"/>
    <x v="3"/>
    <n v="293.92"/>
    <n v="275.29000000000002"/>
    <x v="3"/>
    <x v="3"/>
  </r>
  <r>
    <s v="ORD-10578"/>
    <x v="441"/>
    <x v="273"/>
    <x v="1"/>
    <x v="3"/>
    <x v="6"/>
    <x v="1"/>
    <s v="Furniture"/>
    <x v="44"/>
    <n v="2"/>
    <n v="11993.81"/>
    <n v="21588.86"/>
    <x v="2"/>
    <n v="2249.48"/>
    <n v="78.540000000000006"/>
    <x v="1"/>
    <x v="3"/>
  </r>
  <r>
    <s v="ORD-10920"/>
    <x v="442"/>
    <x v="344"/>
    <x v="2"/>
    <x v="0"/>
    <x v="0"/>
    <x v="4"/>
    <s v="Haircare"/>
    <x v="77"/>
    <n v="1"/>
    <n v="1749.51"/>
    <n v="1749.51"/>
    <x v="0"/>
    <n v="489.84"/>
    <n v="275.60000000000002"/>
    <x v="1"/>
    <x v="2"/>
  </r>
  <r>
    <s v="ORD-10846"/>
    <x v="442"/>
    <x v="450"/>
    <x v="1"/>
    <x v="2"/>
    <x v="9"/>
    <x v="2"/>
    <s v="Academic"/>
    <x v="91"/>
    <n v="1"/>
    <n v="238.92"/>
    <n v="203.08"/>
    <x v="1"/>
    <n v="-2"/>
    <n v="179.34"/>
    <x v="3"/>
    <x v="2"/>
  </r>
  <r>
    <s v="ORD-10371"/>
    <x v="442"/>
    <x v="277"/>
    <x v="2"/>
    <x v="2"/>
    <x v="9"/>
    <x v="1"/>
    <s v="Appliances"/>
    <x v="7"/>
    <n v="2"/>
    <n v="4663.3999999999996"/>
    <n v="8860.4599999999991"/>
    <x v="3"/>
    <n v="1554.02"/>
    <n v="183.4"/>
    <x v="0"/>
    <x v="0"/>
  </r>
  <r>
    <s v="ORD-10372"/>
    <x v="442"/>
    <x v="209"/>
    <x v="2"/>
    <x v="3"/>
    <x v="7"/>
    <x v="5"/>
    <s v="Kids Wear"/>
    <x v="65"/>
    <n v="4"/>
    <n v="4233.09"/>
    <n v="16932.36"/>
    <x v="0"/>
    <n v="3770.83"/>
    <n v="355.35"/>
    <x v="3"/>
    <x v="0"/>
  </r>
  <r>
    <s v="ORD-10361"/>
    <x v="443"/>
    <x v="457"/>
    <x v="0"/>
    <x v="2"/>
    <x v="8"/>
    <x v="5"/>
    <s v="Women's Wear"/>
    <x v="86"/>
    <n v="2"/>
    <n v="794.13"/>
    <n v="1350.02"/>
    <x v="1"/>
    <n v="129.46"/>
    <n v="166.89"/>
    <x v="4"/>
    <x v="3"/>
  </r>
  <r>
    <s v="ORD-10025"/>
    <x v="444"/>
    <x v="34"/>
    <x v="1"/>
    <x v="2"/>
    <x v="8"/>
    <x v="5"/>
    <s v="Men's Wear"/>
    <x v="21"/>
    <n v="1"/>
    <n v="3473.31"/>
    <n v="3473.31"/>
    <x v="0"/>
    <n v="623.72"/>
    <n v="327.5"/>
    <x v="1"/>
    <x v="2"/>
  </r>
  <r>
    <s v="ORD-10848"/>
    <x v="444"/>
    <x v="204"/>
    <x v="2"/>
    <x v="3"/>
    <x v="10"/>
    <x v="3"/>
    <s v="Gym Equipment"/>
    <x v="51"/>
    <n v="3"/>
    <n v="12416.09"/>
    <n v="37248.269999999997"/>
    <x v="0"/>
    <n v="7946.89"/>
    <n v="183.08"/>
    <x v="0"/>
    <x v="1"/>
  </r>
  <r>
    <s v="ORD-10451"/>
    <x v="444"/>
    <x v="329"/>
    <x v="1"/>
    <x v="2"/>
    <x v="9"/>
    <x v="2"/>
    <s v="Comics"/>
    <x v="95"/>
    <n v="1"/>
    <n v="365.13"/>
    <n v="310.36"/>
    <x v="1"/>
    <n v="13.03"/>
    <n v="174.4"/>
    <x v="3"/>
    <x v="0"/>
  </r>
  <r>
    <s v="ORD-10345"/>
    <x v="444"/>
    <x v="420"/>
    <x v="2"/>
    <x v="0"/>
    <x v="12"/>
    <x v="2"/>
    <s v="Fiction"/>
    <x v="49"/>
    <n v="3"/>
    <n v="391.76"/>
    <n v="998.99"/>
    <x v="1"/>
    <n v="87.85"/>
    <n v="142.19999999999999"/>
    <x v="3"/>
    <x v="2"/>
  </r>
  <r>
    <s v="ORD-10904"/>
    <x v="445"/>
    <x v="458"/>
    <x v="0"/>
    <x v="0"/>
    <x v="12"/>
    <x v="3"/>
    <s v="Footwear"/>
    <x v="33"/>
    <n v="2"/>
    <n v="2217.67"/>
    <n v="3991.81"/>
    <x v="2"/>
    <n v="558.95000000000005"/>
    <n v="301.07"/>
    <x v="4"/>
    <x v="0"/>
  </r>
  <r>
    <s v="ORD-10508"/>
    <x v="445"/>
    <x v="459"/>
    <x v="2"/>
    <x v="3"/>
    <x v="5"/>
    <x v="3"/>
    <s v="Gym Equipment"/>
    <x v="13"/>
    <n v="2"/>
    <n v="2027.24"/>
    <n v="3446.31"/>
    <x v="1"/>
    <n v="471.31"/>
    <n v="167.83"/>
    <x v="2"/>
    <x v="3"/>
  </r>
  <r>
    <s v="ORD-10517"/>
    <x v="445"/>
    <x v="144"/>
    <x v="0"/>
    <x v="0"/>
    <x v="12"/>
    <x v="5"/>
    <s v="Footwear"/>
    <x v="37"/>
    <n v="2"/>
    <n v="1996.37"/>
    <n v="3992.74"/>
    <x v="0"/>
    <n v="894.59"/>
    <n v="320.76"/>
    <x v="1"/>
    <x v="0"/>
  </r>
  <r>
    <s v="ORD-10580"/>
    <x v="445"/>
    <x v="318"/>
    <x v="2"/>
    <x v="2"/>
    <x v="9"/>
    <x v="1"/>
    <s v="Appliances"/>
    <x v="40"/>
    <n v="1"/>
    <n v="7759.32"/>
    <n v="6207.46"/>
    <x v="5"/>
    <n v="377.69"/>
    <n v="276.64999999999998"/>
    <x v="4"/>
    <x v="1"/>
  </r>
  <r>
    <s v="ORD-10479"/>
    <x v="446"/>
    <x v="455"/>
    <x v="0"/>
    <x v="2"/>
    <x v="2"/>
    <x v="0"/>
    <s v="Mobiles"/>
    <x v="62"/>
    <n v="1"/>
    <n v="63519.86"/>
    <n v="63519.86"/>
    <x v="0"/>
    <n v="5756.38"/>
    <n v="43.45"/>
    <x v="2"/>
    <x v="3"/>
  </r>
  <r>
    <s v="ORD-10656"/>
    <x v="446"/>
    <x v="291"/>
    <x v="2"/>
    <x v="1"/>
    <x v="3"/>
    <x v="0"/>
    <s v="Mobiles"/>
    <x v="62"/>
    <n v="2"/>
    <n v="26500.12"/>
    <n v="53000.24"/>
    <x v="0"/>
    <n v="136.88"/>
    <n v="87.15"/>
    <x v="3"/>
    <x v="2"/>
  </r>
  <r>
    <s v="ORD-10053"/>
    <x v="446"/>
    <x v="134"/>
    <x v="0"/>
    <x v="0"/>
    <x v="4"/>
    <x v="5"/>
    <s v="Men's Wear"/>
    <x v="69"/>
    <n v="1"/>
    <n v="2702.42"/>
    <n v="2432.1799999999998"/>
    <x v="2"/>
    <n v="387.74"/>
    <n v="119.46"/>
    <x v="3"/>
    <x v="3"/>
  </r>
  <r>
    <s v="ORD-10505"/>
    <x v="446"/>
    <x v="83"/>
    <x v="2"/>
    <x v="2"/>
    <x v="9"/>
    <x v="4"/>
    <s v="Skincare"/>
    <x v="56"/>
    <n v="1"/>
    <n v="1236.3699999999999"/>
    <n v="989.1"/>
    <x v="5"/>
    <n v="231.48"/>
    <n v="312.32"/>
    <x v="0"/>
    <x v="3"/>
  </r>
  <r>
    <s v="ORD-10726"/>
    <x v="446"/>
    <x v="375"/>
    <x v="0"/>
    <x v="1"/>
    <x v="3"/>
    <x v="0"/>
    <s v="Laptops"/>
    <x v="94"/>
    <n v="1"/>
    <n v="55747.34"/>
    <n v="52959.97"/>
    <x v="3"/>
    <n v="1923.84"/>
    <n v="312.42"/>
    <x v="0"/>
    <x v="1"/>
  </r>
  <r>
    <s v="ORD-10773"/>
    <x v="447"/>
    <x v="389"/>
    <x v="2"/>
    <x v="1"/>
    <x v="1"/>
    <x v="5"/>
    <s v="Kids Wear"/>
    <x v="48"/>
    <n v="1"/>
    <n v="433.32"/>
    <n v="303.32"/>
    <x v="6"/>
    <n v="-0.11"/>
    <n v="224.19"/>
    <x v="0"/>
    <x v="0"/>
  </r>
  <r>
    <s v="ORD-10657"/>
    <x v="447"/>
    <x v="278"/>
    <x v="2"/>
    <x v="1"/>
    <x v="1"/>
    <x v="2"/>
    <s v="Academic"/>
    <x v="91"/>
    <n v="1"/>
    <n v="861.01"/>
    <n v="774.91"/>
    <x v="2"/>
    <n v="12.04"/>
    <n v="291.25"/>
    <x v="3"/>
    <x v="3"/>
  </r>
  <r>
    <s v="ORD-10282"/>
    <x v="447"/>
    <x v="460"/>
    <x v="2"/>
    <x v="0"/>
    <x v="0"/>
    <x v="4"/>
    <s v="Makeup"/>
    <x v="59"/>
    <n v="3"/>
    <n v="995.84"/>
    <n v="2539.39"/>
    <x v="1"/>
    <n v="335.41"/>
    <n v="308.26"/>
    <x v="0"/>
    <x v="0"/>
  </r>
  <r>
    <s v="ORD-10344"/>
    <x v="448"/>
    <x v="180"/>
    <x v="2"/>
    <x v="0"/>
    <x v="12"/>
    <x v="2"/>
    <s v="Non-Fiction"/>
    <x v="28"/>
    <n v="1"/>
    <n v="250.5"/>
    <n v="237.97"/>
    <x v="3"/>
    <n v="19.809999999999999"/>
    <n v="37.56"/>
    <x v="1"/>
    <x v="2"/>
  </r>
  <r>
    <s v="ORD-10179"/>
    <x v="448"/>
    <x v="461"/>
    <x v="0"/>
    <x v="0"/>
    <x v="12"/>
    <x v="0"/>
    <s v="Headphones"/>
    <x v="81"/>
    <n v="1"/>
    <n v="25399.7"/>
    <n v="25399.7"/>
    <x v="0"/>
    <n v="1528.42"/>
    <n v="282.08999999999997"/>
    <x v="0"/>
    <x v="1"/>
  </r>
  <r>
    <s v="ORD-10762"/>
    <x v="448"/>
    <x v="194"/>
    <x v="1"/>
    <x v="1"/>
    <x v="3"/>
    <x v="0"/>
    <s v="Headphones"/>
    <x v="15"/>
    <n v="2"/>
    <n v="63795.32"/>
    <n v="127590.64"/>
    <x v="0"/>
    <n v="-638.12"/>
    <n v="252.84"/>
    <x v="3"/>
    <x v="0"/>
  </r>
  <r>
    <s v="ORD-10404"/>
    <x v="449"/>
    <x v="462"/>
    <x v="2"/>
    <x v="3"/>
    <x v="7"/>
    <x v="2"/>
    <s v="Fiction"/>
    <x v="87"/>
    <n v="3"/>
    <n v="1183.9000000000001"/>
    <n v="3196.53"/>
    <x v="2"/>
    <n v="475.24"/>
    <n v="359.96"/>
    <x v="1"/>
    <x v="0"/>
  </r>
  <r>
    <s v="ORD-10707"/>
    <x v="449"/>
    <x v="52"/>
    <x v="0"/>
    <x v="1"/>
    <x v="1"/>
    <x v="4"/>
    <s v="Haircare"/>
    <x v="53"/>
    <n v="2"/>
    <n v="1399.68"/>
    <n v="2379.46"/>
    <x v="1"/>
    <n v="485.92"/>
    <n v="155.33000000000001"/>
    <x v="4"/>
    <x v="0"/>
  </r>
  <r>
    <s v="ORD-10956"/>
    <x v="449"/>
    <x v="411"/>
    <x v="0"/>
    <x v="3"/>
    <x v="5"/>
    <x v="5"/>
    <s v="Kids Wear"/>
    <x v="65"/>
    <n v="1"/>
    <n v="550.27"/>
    <n v="495.24"/>
    <x v="2"/>
    <n v="50.1"/>
    <n v="223.39"/>
    <x v="0"/>
    <x v="3"/>
  </r>
  <r>
    <s v="ORD-10058"/>
    <x v="450"/>
    <x v="119"/>
    <x v="0"/>
    <x v="3"/>
    <x v="7"/>
    <x v="4"/>
    <s v="Skincare"/>
    <x v="26"/>
    <n v="4"/>
    <n v="522.19000000000005"/>
    <n v="2088.7600000000002"/>
    <x v="0"/>
    <n v="600.91"/>
    <n v="240.87"/>
    <x v="3"/>
    <x v="3"/>
  </r>
  <r>
    <s v="ORD-10881"/>
    <x v="450"/>
    <x v="463"/>
    <x v="2"/>
    <x v="3"/>
    <x v="7"/>
    <x v="2"/>
    <s v="Academic"/>
    <x v="97"/>
    <n v="3"/>
    <n v="371.68"/>
    <n v="947.78"/>
    <x v="1"/>
    <n v="-80.89"/>
    <n v="167.01"/>
    <x v="4"/>
    <x v="1"/>
  </r>
  <r>
    <s v="ORD-10087"/>
    <x v="451"/>
    <x v="263"/>
    <x v="2"/>
    <x v="1"/>
    <x v="13"/>
    <x v="3"/>
    <s v="Footwear"/>
    <x v="11"/>
    <n v="1"/>
    <n v="13053.26"/>
    <n v="11747.93"/>
    <x v="2"/>
    <n v="743.61"/>
    <n v="247.55"/>
    <x v="1"/>
    <x v="3"/>
  </r>
  <r>
    <s v="ORD-10538"/>
    <x v="451"/>
    <x v="318"/>
    <x v="2"/>
    <x v="2"/>
    <x v="11"/>
    <x v="1"/>
    <s v="Appliances"/>
    <x v="45"/>
    <n v="3"/>
    <n v="7599.66"/>
    <n v="21659.03"/>
    <x v="3"/>
    <n v="4174.8999999999996"/>
    <n v="124.42"/>
    <x v="0"/>
    <x v="3"/>
  </r>
  <r>
    <s v="ORD-10422"/>
    <x v="451"/>
    <x v="351"/>
    <x v="1"/>
    <x v="3"/>
    <x v="10"/>
    <x v="4"/>
    <s v="Haircare"/>
    <x v="17"/>
    <n v="2"/>
    <n v="968.75"/>
    <n v="1840.62"/>
    <x v="3"/>
    <n v="409.43"/>
    <n v="296.17"/>
    <x v="1"/>
    <x v="3"/>
  </r>
  <r>
    <s v="ORD-10594"/>
    <x v="452"/>
    <x v="21"/>
    <x v="2"/>
    <x v="2"/>
    <x v="11"/>
    <x v="5"/>
    <s v="Women's Wear"/>
    <x v="24"/>
    <n v="1"/>
    <n v="3547.2"/>
    <n v="3192.48"/>
    <x v="2"/>
    <n v="294.74"/>
    <n v="195.75"/>
    <x v="2"/>
    <x v="2"/>
  </r>
  <r>
    <s v="ORD-10703"/>
    <x v="452"/>
    <x v="209"/>
    <x v="2"/>
    <x v="0"/>
    <x v="4"/>
    <x v="1"/>
    <s v="Cookware"/>
    <x v="6"/>
    <n v="2"/>
    <n v="4539.88"/>
    <n v="8171.78"/>
    <x v="2"/>
    <n v="1409.21"/>
    <n v="297.57"/>
    <x v="3"/>
    <x v="0"/>
  </r>
  <r>
    <s v="ORD-10236"/>
    <x v="452"/>
    <x v="337"/>
    <x v="2"/>
    <x v="3"/>
    <x v="6"/>
    <x v="4"/>
    <s v="Makeup"/>
    <x v="71"/>
    <n v="2"/>
    <n v="837.71"/>
    <n v="1591.65"/>
    <x v="3"/>
    <n v="314.27999999999997"/>
    <n v="336.31"/>
    <x v="1"/>
    <x v="0"/>
  </r>
  <r>
    <s v="ORD-10760"/>
    <x v="452"/>
    <x v="273"/>
    <x v="0"/>
    <x v="2"/>
    <x v="9"/>
    <x v="0"/>
    <s v="Cameras"/>
    <x v="47"/>
    <n v="2"/>
    <n v="15802.25"/>
    <n v="30024.27"/>
    <x v="3"/>
    <n v="3301.3"/>
    <n v="235.99"/>
    <x v="3"/>
    <x v="0"/>
  </r>
  <r>
    <s v="ORD-10465"/>
    <x v="453"/>
    <x v="372"/>
    <x v="1"/>
    <x v="2"/>
    <x v="8"/>
    <x v="1"/>
    <s v="Furniture"/>
    <x v="39"/>
    <n v="1"/>
    <n v="1321.12"/>
    <n v="1122.95"/>
    <x v="1"/>
    <n v="55.85"/>
    <n v="304.62"/>
    <x v="3"/>
    <x v="0"/>
  </r>
  <r>
    <s v="ORD-10180"/>
    <x v="453"/>
    <x v="422"/>
    <x v="2"/>
    <x v="1"/>
    <x v="13"/>
    <x v="2"/>
    <s v="Academic"/>
    <x v="91"/>
    <n v="1"/>
    <n v="500.17"/>
    <n v="375.13"/>
    <x v="4"/>
    <n v="12.39"/>
    <n v="157.41"/>
    <x v="1"/>
    <x v="0"/>
  </r>
  <r>
    <s v="ORD-10139"/>
    <x v="453"/>
    <x v="464"/>
    <x v="2"/>
    <x v="1"/>
    <x v="1"/>
    <x v="2"/>
    <s v="Academic"/>
    <x v="38"/>
    <n v="1"/>
    <n v="188.52"/>
    <n v="160.24"/>
    <x v="1"/>
    <n v="16.440000000000001"/>
    <n v="316.47000000000003"/>
    <x v="3"/>
    <x v="3"/>
  </r>
  <r>
    <s v="ORD-10923"/>
    <x v="453"/>
    <x v="129"/>
    <x v="0"/>
    <x v="2"/>
    <x v="9"/>
    <x v="3"/>
    <s v="Apparel"/>
    <x v="66"/>
    <n v="1"/>
    <n v="4681.49"/>
    <n v="4447.42"/>
    <x v="3"/>
    <n v="765.09"/>
    <n v="116.97"/>
    <x v="1"/>
    <x v="3"/>
  </r>
  <r>
    <s v="ORD-10527"/>
    <x v="453"/>
    <x v="143"/>
    <x v="2"/>
    <x v="3"/>
    <x v="7"/>
    <x v="1"/>
    <s v="Cookware"/>
    <x v="6"/>
    <n v="1"/>
    <n v="852.35"/>
    <n v="852.35"/>
    <x v="0"/>
    <n v="149.66"/>
    <n v="81.209999999999994"/>
    <x v="2"/>
    <x v="2"/>
  </r>
  <r>
    <s v="ORD-10133"/>
    <x v="454"/>
    <x v="34"/>
    <x v="2"/>
    <x v="1"/>
    <x v="3"/>
    <x v="1"/>
    <s v="Decor"/>
    <x v="23"/>
    <n v="2"/>
    <n v="8143.67"/>
    <n v="16287.34"/>
    <x v="0"/>
    <n v="2567.96"/>
    <n v="58.08"/>
    <x v="3"/>
    <x v="0"/>
  </r>
  <r>
    <s v="ORD-10612"/>
    <x v="455"/>
    <x v="50"/>
    <x v="0"/>
    <x v="3"/>
    <x v="6"/>
    <x v="5"/>
    <s v="Kids Wear"/>
    <x v="48"/>
    <n v="2"/>
    <n v="3068.28"/>
    <n v="6136.56"/>
    <x v="0"/>
    <n v="1473.64"/>
    <n v="79.849999999999994"/>
    <x v="3"/>
    <x v="1"/>
  </r>
  <r>
    <s v="ORD-10522"/>
    <x v="456"/>
    <x v="51"/>
    <x v="2"/>
    <x v="1"/>
    <x v="3"/>
    <x v="5"/>
    <s v="Women's Wear"/>
    <x v="22"/>
    <n v="1"/>
    <n v="2472.41"/>
    <n v="2101.5500000000002"/>
    <x v="1"/>
    <n v="286.8"/>
    <n v="151.25"/>
    <x v="0"/>
    <x v="1"/>
  </r>
  <r>
    <s v="ORD-10495"/>
    <x v="456"/>
    <x v="465"/>
    <x v="2"/>
    <x v="0"/>
    <x v="4"/>
    <x v="1"/>
    <s v="Furniture"/>
    <x v="39"/>
    <n v="2"/>
    <n v="7819.42"/>
    <n v="14856.9"/>
    <x v="3"/>
    <n v="1625.72"/>
    <n v="119.94"/>
    <x v="3"/>
    <x v="3"/>
  </r>
  <r>
    <s v="ORD-10316"/>
    <x v="456"/>
    <x v="430"/>
    <x v="2"/>
    <x v="1"/>
    <x v="1"/>
    <x v="4"/>
    <s v="Skincare"/>
    <x v="26"/>
    <n v="1"/>
    <n v="1220.6300000000001"/>
    <n v="1098.57"/>
    <x v="2"/>
    <n v="183.82"/>
    <n v="307.81"/>
    <x v="2"/>
    <x v="3"/>
  </r>
  <r>
    <s v="ORD-10068"/>
    <x v="457"/>
    <x v="233"/>
    <x v="2"/>
    <x v="3"/>
    <x v="5"/>
    <x v="2"/>
    <s v="Non-Fiction"/>
    <x v="93"/>
    <n v="3"/>
    <n v="193.12"/>
    <n v="550.39"/>
    <x v="3"/>
    <n v="88.85"/>
    <n v="187.62"/>
    <x v="0"/>
    <x v="0"/>
  </r>
  <r>
    <s v="ORD-10462"/>
    <x v="457"/>
    <x v="289"/>
    <x v="2"/>
    <x v="1"/>
    <x v="13"/>
    <x v="1"/>
    <s v="Furniture"/>
    <x v="44"/>
    <n v="1"/>
    <n v="7762.19"/>
    <n v="7374.08"/>
    <x v="3"/>
    <n v="1108.25"/>
    <n v="83.11"/>
    <x v="4"/>
    <x v="0"/>
  </r>
  <r>
    <s v="ORD-10357"/>
    <x v="457"/>
    <x v="193"/>
    <x v="1"/>
    <x v="0"/>
    <x v="0"/>
    <x v="5"/>
    <s v="Kids Wear"/>
    <x v="52"/>
    <n v="1"/>
    <n v="2191.56"/>
    <n v="1862.83"/>
    <x v="1"/>
    <n v="173.66"/>
    <n v="242.77"/>
    <x v="4"/>
    <x v="0"/>
  </r>
  <r>
    <s v="ORD-10421"/>
    <x v="457"/>
    <x v="466"/>
    <x v="1"/>
    <x v="3"/>
    <x v="10"/>
    <x v="2"/>
    <s v="Comics"/>
    <x v="43"/>
    <n v="3"/>
    <n v="995.24"/>
    <n v="2836.43"/>
    <x v="3"/>
    <n v="450.76"/>
    <n v="219.44"/>
    <x v="1"/>
    <x v="1"/>
  </r>
  <r>
    <s v="ORD-10944"/>
    <x v="457"/>
    <x v="467"/>
    <x v="2"/>
    <x v="1"/>
    <x v="1"/>
    <x v="2"/>
    <s v="Fiction"/>
    <x v="76"/>
    <n v="3"/>
    <n v="480.76"/>
    <n v="1370.17"/>
    <x v="3"/>
    <n v="266.44"/>
    <n v="313.25"/>
    <x v="1"/>
    <x v="3"/>
  </r>
  <r>
    <s v="ORD-10902"/>
    <x v="458"/>
    <x v="390"/>
    <x v="0"/>
    <x v="3"/>
    <x v="7"/>
    <x v="2"/>
    <s v="Fiction"/>
    <x v="76"/>
    <n v="1"/>
    <n v="995.8"/>
    <n v="846.43"/>
    <x v="1"/>
    <n v="131.68"/>
    <n v="157.32"/>
    <x v="1"/>
    <x v="2"/>
  </r>
  <r>
    <s v="ORD-10439"/>
    <x v="459"/>
    <x v="410"/>
    <x v="2"/>
    <x v="2"/>
    <x v="9"/>
    <x v="0"/>
    <s v="Laptops"/>
    <x v="96"/>
    <n v="4"/>
    <n v="43549.78"/>
    <n v="174199.12"/>
    <x v="0"/>
    <n v="18003.400000000001"/>
    <n v="374.78"/>
    <x v="3"/>
    <x v="0"/>
  </r>
  <r>
    <s v="ORD-10198"/>
    <x v="460"/>
    <x v="12"/>
    <x v="0"/>
    <x v="3"/>
    <x v="6"/>
    <x v="2"/>
    <s v="Fiction"/>
    <x v="76"/>
    <n v="1"/>
    <n v="368.28"/>
    <n v="368.28"/>
    <x v="0"/>
    <n v="49.54"/>
    <n v="38.49"/>
    <x v="0"/>
    <x v="0"/>
  </r>
  <r>
    <s v="ORD-10154"/>
    <x v="460"/>
    <x v="109"/>
    <x v="0"/>
    <x v="3"/>
    <x v="10"/>
    <x v="0"/>
    <s v="Headphones"/>
    <x v="15"/>
    <n v="5"/>
    <n v="24756.9"/>
    <n v="111406.05"/>
    <x v="2"/>
    <n v="-4798.93"/>
    <n v="235.37"/>
    <x v="0"/>
    <x v="1"/>
  </r>
  <r>
    <s v="ORD-10123"/>
    <x v="461"/>
    <x v="406"/>
    <x v="1"/>
    <x v="0"/>
    <x v="0"/>
    <x v="1"/>
    <s v="Cookware"/>
    <x v="1"/>
    <n v="2"/>
    <n v="5924.04"/>
    <n v="8886.06"/>
    <x v="4"/>
    <n v="36.47"/>
    <n v="306.24"/>
    <x v="3"/>
    <x v="2"/>
  </r>
  <r>
    <s v="ORD-10714"/>
    <x v="461"/>
    <x v="468"/>
    <x v="1"/>
    <x v="2"/>
    <x v="8"/>
    <x v="4"/>
    <s v="Skincare"/>
    <x v="26"/>
    <n v="5"/>
    <n v="1394.22"/>
    <n v="6273.99"/>
    <x v="2"/>
    <n v="985.49"/>
    <n v="284.48"/>
    <x v="1"/>
    <x v="3"/>
  </r>
  <r>
    <s v="ORD-10624"/>
    <x v="462"/>
    <x v="196"/>
    <x v="0"/>
    <x v="0"/>
    <x v="4"/>
    <x v="1"/>
    <s v="Decor"/>
    <x v="70"/>
    <n v="1"/>
    <n v="1069.3499999999999"/>
    <n v="1069.3499999999999"/>
    <x v="0"/>
    <n v="263.13"/>
    <n v="172.2"/>
    <x v="4"/>
    <x v="0"/>
  </r>
  <r>
    <s v="ORD-10589"/>
    <x v="462"/>
    <x v="219"/>
    <x v="2"/>
    <x v="0"/>
    <x v="0"/>
    <x v="4"/>
    <s v="Makeup"/>
    <x v="63"/>
    <n v="2"/>
    <n v="1333.59"/>
    <n v="2267.1"/>
    <x v="1"/>
    <n v="519.04999999999995"/>
    <n v="235.44"/>
    <x v="1"/>
    <x v="0"/>
  </r>
  <r>
    <s v="ORD-10213"/>
    <x v="463"/>
    <x v="469"/>
    <x v="1"/>
    <x v="3"/>
    <x v="5"/>
    <x v="3"/>
    <s v="Outdoor Gear"/>
    <x v="34"/>
    <n v="2"/>
    <n v="10884.02"/>
    <n v="18502.830000000002"/>
    <x v="1"/>
    <n v="2566.31"/>
    <n v="197.34"/>
    <x v="3"/>
    <x v="0"/>
  </r>
  <r>
    <s v="ORD-10888"/>
    <x v="464"/>
    <x v="260"/>
    <x v="2"/>
    <x v="2"/>
    <x v="9"/>
    <x v="1"/>
    <s v="Appliances"/>
    <x v="16"/>
    <n v="2"/>
    <n v="1351.47"/>
    <n v="2702.94"/>
    <x v="0"/>
    <n v="534.51"/>
    <n v="56.18"/>
    <x v="3"/>
    <x v="0"/>
  </r>
  <r>
    <s v="ORD-10276"/>
    <x v="465"/>
    <x v="470"/>
    <x v="2"/>
    <x v="2"/>
    <x v="8"/>
    <x v="2"/>
    <s v="Fiction"/>
    <x v="49"/>
    <n v="2"/>
    <n v="386.82"/>
    <n v="773.64"/>
    <x v="0"/>
    <n v="174.11"/>
    <n v="96.46"/>
    <x v="2"/>
    <x v="3"/>
  </r>
  <r>
    <s v="ORD-10745"/>
    <x v="465"/>
    <x v="214"/>
    <x v="2"/>
    <x v="0"/>
    <x v="4"/>
    <x v="5"/>
    <s v="Men's Wear"/>
    <x v="32"/>
    <n v="2"/>
    <n v="3442.58"/>
    <n v="6196.64"/>
    <x v="2"/>
    <n v="1041.02"/>
    <n v="309.29000000000002"/>
    <x v="1"/>
    <x v="2"/>
  </r>
  <r>
    <s v="ORD-10365"/>
    <x v="465"/>
    <x v="275"/>
    <x v="2"/>
    <x v="3"/>
    <x v="7"/>
    <x v="4"/>
    <s v="Haircare"/>
    <x v="17"/>
    <n v="1"/>
    <n v="2080.13"/>
    <n v="1976.12"/>
    <x v="3"/>
    <n v="584.84"/>
    <n v="307.77999999999997"/>
    <x v="3"/>
    <x v="0"/>
  </r>
  <r>
    <s v="ORD-10715"/>
    <x v="466"/>
    <x v="447"/>
    <x v="2"/>
    <x v="1"/>
    <x v="13"/>
    <x v="5"/>
    <s v="Men's Wear"/>
    <x v="21"/>
    <n v="1"/>
    <n v="542.48"/>
    <n v="542.48"/>
    <x v="0"/>
    <n v="81.98"/>
    <n v="100.26"/>
    <x v="3"/>
    <x v="2"/>
  </r>
  <r>
    <s v="ORD-10791"/>
    <x v="466"/>
    <x v="260"/>
    <x v="1"/>
    <x v="2"/>
    <x v="11"/>
    <x v="0"/>
    <s v="Laptops"/>
    <x v="96"/>
    <n v="1"/>
    <n v="37091.019999999997"/>
    <n v="35236.47"/>
    <x v="3"/>
    <n v="2495.71"/>
    <n v="180.68"/>
    <x v="1"/>
    <x v="2"/>
  </r>
  <r>
    <s v="ORD-10448"/>
    <x v="466"/>
    <x v="2"/>
    <x v="2"/>
    <x v="2"/>
    <x v="2"/>
    <x v="5"/>
    <s v="Men's Wear"/>
    <x v="21"/>
    <n v="1"/>
    <n v="2590.81"/>
    <n v="2590.81"/>
    <x v="0"/>
    <n v="830.36"/>
    <n v="49.93"/>
    <x v="2"/>
    <x v="0"/>
  </r>
  <r>
    <s v="ORD-10919"/>
    <x v="466"/>
    <x v="404"/>
    <x v="2"/>
    <x v="0"/>
    <x v="0"/>
    <x v="5"/>
    <s v="Footwear"/>
    <x v="33"/>
    <n v="2"/>
    <n v="3966.01"/>
    <n v="7535.42"/>
    <x v="3"/>
    <n v="2095.29"/>
    <n v="243.14"/>
    <x v="0"/>
    <x v="0"/>
  </r>
  <r>
    <s v="ORD-10694"/>
    <x v="467"/>
    <x v="426"/>
    <x v="2"/>
    <x v="0"/>
    <x v="4"/>
    <x v="3"/>
    <s v="Apparel"/>
    <x v="18"/>
    <n v="5"/>
    <n v="6833.29"/>
    <n v="30749.8"/>
    <x v="2"/>
    <n v="3940.47"/>
    <n v="297.77999999999997"/>
    <x v="1"/>
    <x v="3"/>
  </r>
  <r>
    <s v="ORD-10048"/>
    <x v="468"/>
    <x v="195"/>
    <x v="2"/>
    <x v="1"/>
    <x v="1"/>
    <x v="5"/>
    <s v="Footwear"/>
    <x v="29"/>
    <n v="1"/>
    <n v="1038.8900000000001"/>
    <n v="883.06"/>
    <x v="1"/>
    <n v="29.38"/>
    <n v="35.78"/>
    <x v="0"/>
    <x v="3"/>
  </r>
  <r>
    <s v="ORD-10252"/>
    <x v="468"/>
    <x v="471"/>
    <x v="1"/>
    <x v="1"/>
    <x v="3"/>
    <x v="4"/>
    <s v="Skincare"/>
    <x v="26"/>
    <n v="1"/>
    <n v="968.22"/>
    <n v="871.4"/>
    <x v="2"/>
    <n v="215.53"/>
    <n v="106.38"/>
    <x v="2"/>
    <x v="2"/>
  </r>
  <r>
    <s v="ORD-10553"/>
    <x v="468"/>
    <x v="8"/>
    <x v="0"/>
    <x v="0"/>
    <x v="4"/>
    <x v="0"/>
    <s v="Accessories"/>
    <x v="89"/>
    <n v="1"/>
    <n v="18984.88"/>
    <n v="18984.88"/>
    <x v="0"/>
    <n v="2803.24"/>
    <n v="124.28"/>
    <x v="4"/>
    <x v="3"/>
  </r>
  <r>
    <s v="ORD-10340"/>
    <x v="469"/>
    <x v="26"/>
    <x v="0"/>
    <x v="1"/>
    <x v="13"/>
    <x v="5"/>
    <s v="Women's Wear"/>
    <x v="22"/>
    <n v="4"/>
    <n v="4080.1"/>
    <n v="13872.34"/>
    <x v="1"/>
    <n v="1831.56"/>
    <n v="188.09"/>
    <x v="1"/>
    <x v="0"/>
  </r>
  <r>
    <s v="ORD-10174"/>
    <x v="470"/>
    <x v="90"/>
    <x v="2"/>
    <x v="3"/>
    <x v="7"/>
    <x v="0"/>
    <s v="Mobiles"/>
    <x v="72"/>
    <n v="3"/>
    <n v="60669.15"/>
    <n v="136505.59"/>
    <x v="4"/>
    <n v="-9827.48"/>
    <n v="240.84"/>
    <x v="0"/>
    <x v="2"/>
  </r>
  <r>
    <s v="ORD-10031"/>
    <x v="471"/>
    <x v="3"/>
    <x v="0"/>
    <x v="0"/>
    <x v="0"/>
    <x v="5"/>
    <s v="Women's Wear"/>
    <x v="24"/>
    <n v="4"/>
    <n v="1325.33"/>
    <n v="4771.1899999999996"/>
    <x v="2"/>
    <n v="648.14"/>
    <n v="253.59"/>
    <x v="0"/>
    <x v="3"/>
  </r>
  <r>
    <s v="ORD-10559"/>
    <x v="472"/>
    <x v="472"/>
    <x v="2"/>
    <x v="2"/>
    <x v="2"/>
    <x v="0"/>
    <s v="Accessories"/>
    <x v="14"/>
    <n v="1"/>
    <n v="45716.85"/>
    <n v="41145.17"/>
    <x v="2"/>
    <n v="2449.4"/>
    <n v="66.14"/>
    <x v="1"/>
    <x v="0"/>
  </r>
  <r>
    <s v="ORD-10210"/>
    <x v="472"/>
    <x v="350"/>
    <x v="1"/>
    <x v="3"/>
    <x v="5"/>
    <x v="1"/>
    <s v="Furniture"/>
    <x v="39"/>
    <n v="1"/>
    <n v="10122.040000000001"/>
    <n v="9615.94"/>
    <x v="3"/>
    <n v="801.61"/>
    <n v="159.4"/>
    <x v="3"/>
    <x v="2"/>
  </r>
  <r>
    <s v="ORD-10872"/>
    <x v="472"/>
    <x v="436"/>
    <x v="2"/>
    <x v="1"/>
    <x v="3"/>
    <x v="1"/>
    <s v="Decor"/>
    <x v="61"/>
    <n v="5"/>
    <n v="3933.39"/>
    <n v="15733.56"/>
    <x v="5"/>
    <n v="2246.29"/>
    <n v="174.65"/>
    <x v="4"/>
    <x v="2"/>
  </r>
  <r>
    <s v="ORD-10541"/>
    <x v="472"/>
    <x v="246"/>
    <x v="2"/>
    <x v="2"/>
    <x v="2"/>
    <x v="3"/>
    <s v="Outdoor Gear"/>
    <x v="12"/>
    <n v="1"/>
    <n v="7066.53"/>
    <n v="5299.9"/>
    <x v="4"/>
    <n v="85.19"/>
    <n v="247.84"/>
    <x v="0"/>
    <x v="3"/>
  </r>
  <r>
    <s v="ORD-10401"/>
    <x v="473"/>
    <x v="22"/>
    <x v="1"/>
    <x v="0"/>
    <x v="0"/>
    <x v="0"/>
    <s v="Headphones"/>
    <x v="15"/>
    <n v="1"/>
    <n v="2011.21"/>
    <n v="1608.97"/>
    <x v="5"/>
    <n v="27.85"/>
    <n v="112.7"/>
    <x v="0"/>
    <x v="3"/>
  </r>
  <r>
    <s v="ORD-10606"/>
    <x v="473"/>
    <x v="473"/>
    <x v="2"/>
    <x v="1"/>
    <x v="3"/>
    <x v="2"/>
    <s v="Fiction"/>
    <x v="49"/>
    <n v="2"/>
    <n v="215.31"/>
    <n v="387.56"/>
    <x v="2"/>
    <n v="-0.69"/>
    <n v="92.14"/>
    <x v="2"/>
    <x v="0"/>
  </r>
  <r>
    <s v="ORD-10690"/>
    <x v="473"/>
    <x v="474"/>
    <x v="0"/>
    <x v="0"/>
    <x v="0"/>
    <x v="5"/>
    <s v="Kids Wear"/>
    <x v="52"/>
    <n v="2"/>
    <n v="1969.28"/>
    <n v="3347.78"/>
    <x v="1"/>
    <n v="514.22"/>
    <n v="209.36"/>
    <x v="0"/>
    <x v="3"/>
  </r>
  <r>
    <s v="ORD-10274"/>
    <x v="473"/>
    <x v="392"/>
    <x v="2"/>
    <x v="0"/>
    <x v="0"/>
    <x v="0"/>
    <s v="Headphones"/>
    <x v="81"/>
    <n v="5"/>
    <n v="35036.61"/>
    <n v="166423.9"/>
    <x v="3"/>
    <n v="15450.41"/>
    <n v="95.72"/>
    <x v="0"/>
    <x v="2"/>
  </r>
  <r>
    <s v="ORD-10285"/>
    <x v="473"/>
    <x v="426"/>
    <x v="1"/>
    <x v="1"/>
    <x v="1"/>
    <x v="4"/>
    <s v="Makeup"/>
    <x v="20"/>
    <n v="3"/>
    <n v="1794.35"/>
    <n v="5113.8999999999996"/>
    <x v="3"/>
    <n v="1368.45"/>
    <n v="99.75"/>
    <x v="2"/>
    <x v="1"/>
  </r>
  <r>
    <s v="ORD-10592"/>
    <x v="474"/>
    <x v="88"/>
    <x v="2"/>
    <x v="2"/>
    <x v="11"/>
    <x v="1"/>
    <s v="Furniture"/>
    <x v="44"/>
    <n v="1"/>
    <n v="2949.74"/>
    <n v="2949.74"/>
    <x v="0"/>
    <n v="695.3"/>
    <n v="72.09"/>
    <x v="1"/>
    <x v="0"/>
  </r>
  <r>
    <s v="ORD-10007"/>
    <x v="474"/>
    <x v="129"/>
    <x v="2"/>
    <x v="0"/>
    <x v="4"/>
    <x v="3"/>
    <s v="Footwear"/>
    <x v="29"/>
    <n v="1"/>
    <n v="9409.36"/>
    <n v="7997.96"/>
    <x v="1"/>
    <n v="936.75"/>
    <n v="179.36"/>
    <x v="3"/>
    <x v="2"/>
  </r>
  <r>
    <s v="ORD-10547"/>
    <x v="474"/>
    <x v="356"/>
    <x v="2"/>
    <x v="1"/>
    <x v="1"/>
    <x v="0"/>
    <s v="Laptops"/>
    <x v="90"/>
    <n v="1"/>
    <n v="49976.87"/>
    <n v="34983.81"/>
    <x v="6"/>
    <n v="-1826.85"/>
    <n v="94.15"/>
    <x v="4"/>
    <x v="0"/>
  </r>
  <r>
    <s v="ORD-10605"/>
    <x v="474"/>
    <x v="475"/>
    <x v="2"/>
    <x v="0"/>
    <x v="12"/>
    <x v="4"/>
    <s v="Skincare"/>
    <x v="67"/>
    <n v="4"/>
    <n v="2310.2199999999998"/>
    <n v="8778.84"/>
    <x v="3"/>
    <n v="2079.2800000000002"/>
    <n v="359.85"/>
    <x v="3"/>
    <x v="3"/>
  </r>
  <r>
    <s v="ORD-10227"/>
    <x v="475"/>
    <x v="322"/>
    <x v="2"/>
    <x v="0"/>
    <x v="4"/>
    <x v="0"/>
    <s v="Cameras"/>
    <x v="47"/>
    <n v="2"/>
    <n v="8554.99"/>
    <n v="15398.98"/>
    <x v="2"/>
    <n v="1660.67"/>
    <n v="283.42"/>
    <x v="0"/>
    <x v="3"/>
  </r>
  <r>
    <s v="ORD-10086"/>
    <x v="476"/>
    <x v="308"/>
    <x v="0"/>
    <x v="1"/>
    <x v="3"/>
    <x v="0"/>
    <s v="Mobiles"/>
    <x v="74"/>
    <n v="1"/>
    <n v="47879.13"/>
    <n v="47879.13"/>
    <x v="0"/>
    <n v="8114.47"/>
    <n v="70.86"/>
    <x v="1"/>
    <x v="1"/>
  </r>
  <r>
    <s v="ORD-10670"/>
    <x v="476"/>
    <x v="332"/>
    <x v="1"/>
    <x v="1"/>
    <x v="1"/>
    <x v="3"/>
    <s v="Outdoor Gear"/>
    <x v="82"/>
    <n v="1"/>
    <n v="6175.02"/>
    <n v="5866.27"/>
    <x v="3"/>
    <n v="619.62"/>
    <n v="114.57"/>
    <x v="1"/>
    <x v="0"/>
  </r>
  <r>
    <s v="ORD-10501"/>
    <x v="476"/>
    <x v="452"/>
    <x v="1"/>
    <x v="2"/>
    <x v="2"/>
    <x v="2"/>
    <s v="Non-Fiction"/>
    <x v="36"/>
    <n v="1"/>
    <n v="692.4"/>
    <n v="553.91999999999996"/>
    <x v="5"/>
    <n v="8.0500000000000007"/>
    <n v="286.83"/>
    <x v="2"/>
    <x v="3"/>
  </r>
  <r>
    <s v="ORD-10078"/>
    <x v="477"/>
    <x v="427"/>
    <x v="1"/>
    <x v="1"/>
    <x v="13"/>
    <x v="0"/>
    <s v="Headphones"/>
    <x v="60"/>
    <n v="3"/>
    <n v="37780.82"/>
    <n v="113342.46"/>
    <x v="0"/>
    <n v="12048.84"/>
    <n v="101.12"/>
    <x v="3"/>
    <x v="3"/>
  </r>
  <r>
    <s v="ORD-10682"/>
    <x v="477"/>
    <x v="5"/>
    <x v="0"/>
    <x v="2"/>
    <x v="8"/>
    <x v="5"/>
    <s v="Footwear"/>
    <x v="11"/>
    <n v="1"/>
    <n v="689.03"/>
    <n v="551.22"/>
    <x v="5"/>
    <n v="24.32"/>
    <n v="269.48"/>
    <x v="3"/>
    <x v="0"/>
  </r>
  <r>
    <s v="ORD-10438"/>
    <x v="477"/>
    <x v="454"/>
    <x v="2"/>
    <x v="1"/>
    <x v="3"/>
    <x v="0"/>
    <s v="Headphones"/>
    <x v="68"/>
    <n v="1"/>
    <n v="27427.9"/>
    <n v="23313.72"/>
    <x v="1"/>
    <n v="2603.33"/>
    <n v="141.15"/>
    <x v="3"/>
    <x v="1"/>
  </r>
  <r>
    <s v="ORD-10750"/>
    <x v="477"/>
    <x v="201"/>
    <x v="2"/>
    <x v="0"/>
    <x v="12"/>
    <x v="0"/>
    <s v="Mobiles"/>
    <x v="62"/>
    <n v="1"/>
    <n v="51204.68"/>
    <n v="51204.68"/>
    <x v="0"/>
    <n v="6378.93"/>
    <n v="167.28"/>
    <x v="1"/>
    <x v="3"/>
  </r>
  <r>
    <s v="ORD-10546"/>
    <x v="478"/>
    <x v="434"/>
    <x v="2"/>
    <x v="3"/>
    <x v="5"/>
    <x v="4"/>
    <s v="Skincare"/>
    <x v="67"/>
    <n v="1"/>
    <n v="2257.2399999999998"/>
    <n v="2257.2399999999998"/>
    <x v="0"/>
    <n v="653.17999999999995"/>
    <n v="175.91"/>
    <x v="0"/>
    <x v="2"/>
  </r>
  <r>
    <s v="ORD-10691"/>
    <x v="478"/>
    <x v="286"/>
    <x v="2"/>
    <x v="2"/>
    <x v="8"/>
    <x v="4"/>
    <s v="Fragrances"/>
    <x v="19"/>
    <n v="1"/>
    <n v="1972.71"/>
    <n v="1972.71"/>
    <x v="0"/>
    <n v="416.63"/>
    <n v="285.91000000000003"/>
    <x v="1"/>
    <x v="3"/>
  </r>
  <r>
    <s v="ORD-10079"/>
    <x v="478"/>
    <x v="476"/>
    <x v="2"/>
    <x v="0"/>
    <x v="4"/>
    <x v="2"/>
    <s v="Academic"/>
    <x v="38"/>
    <n v="1"/>
    <n v="1011.67"/>
    <n v="910.5"/>
    <x v="2"/>
    <n v="133.71"/>
    <n v="238.48"/>
    <x v="2"/>
    <x v="0"/>
  </r>
  <r>
    <s v="ORD-10574"/>
    <x v="478"/>
    <x v="431"/>
    <x v="0"/>
    <x v="1"/>
    <x v="1"/>
    <x v="0"/>
    <s v="Mobiles"/>
    <x v="25"/>
    <n v="1"/>
    <n v="6896.67"/>
    <n v="5517.34"/>
    <x v="5"/>
    <n v="-438.37"/>
    <n v="249.85"/>
    <x v="4"/>
    <x v="3"/>
  </r>
  <r>
    <s v="ORD-10977"/>
    <x v="479"/>
    <x v="359"/>
    <x v="0"/>
    <x v="3"/>
    <x v="7"/>
    <x v="1"/>
    <s v="Cookware"/>
    <x v="1"/>
    <n v="1"/>
    <n v="10450.51"/>
    <n v="10450.51"/>
    <x v="0"/>
    <n v="1964.55"/>
    <n v="74.8"/>
    <x v="1"/>
    <x v="0"/>
  </r>
  <r>
    <s v="ORD-10950"/>
    <x v="479"/>
    <x v="227"/>
    <x v="1"/>
    <x v="1"/>
    <x v="1"/>
    <x v="5"/>
    <s v="Women's Wear"/>
    <x v="42"/>
    <n v="1"/>
    <n v="401.26"/>
    <n v="321.01"/>
    <x v="5"/>
    <n v="25.63"/>
    <n v="67.27"/>
    <x v="1"/>
    <x v="2"/>
  </r>
  <r>
    <s v="ORD-10886"/>
    <x v="479"/>
    <x v="477"/>
    <x v="0"/>
    <x v="1"/>
    <x v="3"/>
    <x v="0"/>
    <s v="Headphones"/>
    <x v="81"/>
    <n v="2"/>
    <n v="58345.02"/>
    <n v="93352.03"/>
    <x v="5"/>
    <n v="1609.85"/>
    <n v="140.13"/>
    <x v="1"/>
    <x v="3"/>
  </r>
  <r>
    <s v="ORD-10032"/>
    <x v="479"/>
    <x v="427"/>
    <x v="0"/>
    <x v="0"/>
    <x v="4"/>
    <x v="2"/>
    <s v="Academic"/>
    <x v="91"/>
    <n v="2"/>
    <n v="531.80999999999995"/>
    <n v="904.08"/>
    <x v="1"/>
    <n v="28.49"/>
    <n v="355.97"/>
    <x v="2"/>
    <x v="2"/>
  </r>
  <r>
    <s v="ORD-10727"/>
    <x v="480"/>
    <x v="272"/>
    <x v="1"/>
    <x v="1"/>
    <x v="3"/>
    <x v="1"/>
    <s v="Appliances"/>
    <x v="45"/>
    <n v="1"/>
    <n v="5152.9799999999996"/>
    <n v="5152.9799999999996"/>
    <x v="0"/>
    <n v="696.41"/>
    <n v="43.44"/>
    <x v="3"/>
    <x v="1"/>
  </r>
  <r>
    <s v="ORD-10312"/>
    <x v="480"/>
    <x v="114"/>
    <x v="2"/>
    <x v="2"/>
    <x v="8"/>
    <x v="5"/>
    <s v="Women's Wear"/>
    <x v="22"/>
    <n v="1"/>
    <n v="2315.5700000000002"/>
    <n v="2199.79"/>
    <x v="3"/>
    <n v="418.98"/>
    <n v="249.51"/>
    <x v="3"/>
    <x v="0"/>
  </r>
  <r>
    <s v="ORD-10275"/>
    <x v="480"/>
    <x v="338"/>
    <x v="1"/>
    <x v="2"/>
    <x v="9"/>
    <x v="5"/>
    <s v="Men's Wear"/>
    <x v="55"/>
    <n v="2"/>
    <n v="4129.71"/>
    <n v="7433.48"/>
    <x v="2"/>
    <n v="1798.2"/>
    <n v="124.21"/>
    <x v="0"/>
    <x v="3"/>
  </r>
  <r>
    <s v="ORD-10829"/>
    <x v="480"/>
    <x v="478"/>
    <x v="0"/>
    <x v="1"/>
    <x v="3"/>
    <x v="1"/>
    <s v="Furniture"/>
    <x v="44"/>
    <n v="2"/>
    <n v="3293.72"/>
    <n v="5269.95"/>
    <x v="5"/>
    <n v="507.78"/>
    <n v="159.16999999999999"/>
    <x v="0"/>
    <x v="0"/>
  </r>
  <r>
    <s v="ORD-10593"/>
    <x v="480"/>
    <x v="479"/>
    <x v="1"/>
    <x v="3"/>
    <x v="7"/>
    <x v="5"/>
    <s v="Kids Wear"/>
    <x v="65"/>
    <n v="2"/>
    <n v="620.82000000000005"/>
    <n v="931.23"/>
    <x v="4"/>
    <n v="-5.81"/>
    <n v="103.16"/>
    <x v="2"/>
    <x v="1"/>
  </r>
  <r>
    <s v="ORD-10253"/>
    <x v="480"/>
    <x v="479"/>
    <x v="2"/>
    <x v="1"/>
    <x v="1"/>
    <x v="2"/>
    <s v="Fiction"/>
    <x v="87"/>
    <n v="1"/>
    <n v="864.15"/>
    <n v="604.9"/>
    <x v="6"/>
    <n v="23.66"/>
    <n v="80.75"/>
    <x v="3"/>
    <x v="3"/>
  </r>
  <r>
    <s v="ORD-10844"/>
    <x v="481"/>
    <x v="480"/>
    <x v="0"/>
    <x v="1"/>
    <x v="1"/>
    <x v="2"/>
    <s v="Academic"/>
    <x v="97"/>
    <n v="1"/>
    <n v="1092.6300000000001"/>
    <n v="928.74"/>
    <x v="1"/>
    <n v="86.06"/>
    <n v="268.45999999999998"/>
    <x v="0"/>
    <x v="3"/>
  </r>
  <r>
    <s v="ORD-10693"/>
    <x v="481"/>
    <x v="415"/>
    <x v="1"/>
    <x v="2"/>
    <x v="2"/>
    <x v="5"/>
    <s v="Kids Wear"/>
    <x v="52"/>
    <n v="1"/>
    <n v="3911.26"/>
    <n v="3911.26"/>
    <x v="0"/>
    <n v="1055.9100000000001"/>
    <n v="234.15"/>
    <x v="3"/>
    <x v="3"/>
  </r>
  <r>
    <s v="ORD-10292"/>
    <x v="482"/>
    <x v="396"/>
    <x v="0"/>
    <x v="1"/>
    <x v="3"/>
    <x v="2"/>
    <s v="Academic"/>
    <x v="2"/>
    <n v="1"/>
    <n v="195.84"/>
    <n v="186.05"/>
    <x v="3"/>
    <n v="17.399999999999999"/>
    <n v="81.739999999999995"/>
    <x v="3"/>
    <x v="0"/>
  </r>
  <r>
    <s v="ORD-10132"/>
    <x v="483"/>
    <x v="150"/>
    <x v="2"/>
    <x v="1"/>
    <x v="3"/>
    <x v="5"/>
    <s v="Kids Wear"/>
    <x v="52"/>
    <n v="4"/>
    <n v="2028.98"/>
    <n v="6898.53"/>
    <x v="1"/>
    <n v="572.62"/>
    <n v="354.78"/>
    <x v="3"/>
    <x v="3"/>
  </r>
  <r>
    <s v="ORD-10437"/>
    <x v="483"/>
    <x v="273"/>
    <x v="0"/>
    <x v="1"/>
    <x v="1"/>
    <x v="5"/>
    <s v="Women's Wear"/>
    <x v="22"/>
    <n v="2"/>
    <n v="495.3"/>
    <n v="891.54"/>
    <x v="2"/>
    <n v="189.59"/>
    <n v="155.69"/>
    <x v="1"/>
    <x v="3"/>
  </r>
  <r>
    <s v="ORD-10073"/>
    <x v="484"/>
    <x v="11"/>
    <x v="2"/>
    <x v="2"/>
    <x v="9"/>
    <x v="1"/>
    <s v="Decor"/>
    <x v="23"/>
    <n v="2"/>
    <n v="4365.8"/>
    <n v="6112.12"/>
    <x v="6"/>
    <n v="213.65"/>
    <n v="155.82"/>
    <x v="3"/>
    <x v="2"/>
  </r>
  <r>
    <s v="ORD-10420"/>
    <x v="485"/>
    <x v="461"/>
    <x v="0"/>
    <x v="0"/>
    <x v="12"/>
    <x v="4"/>
    <s v="Skincare"/>
    <x v="67"/>
    <n v="2"/>
    <n v="1491.41"/>
    <n v="2535.4"/>
    <x v="1"/>
    <n v="618.04"/>
    <n v="224.41"/>
    <x v="3"/>
    <x v="3"/>
  </r>
  <r>
    <s v="ORD-10976"/>
    <x v="486"/>
    <x v="287"/>
    <x v="2"/>
    <x v="2"/>
    <x v="2"/>
    <x v="4"/>
    <s v="Haircare"/>
    <x v="53"/>
    <n v="3"/>
    <n v="1055.8800000000001"/>
    <n v="3009.26"/>
    <x v="3"/>
    <n v="914.5"/>
    <n v="227"/>
    <x v="3"/>
    <x v="1"/>
  </r>
  <r>
    <s v="ORD-10034"/>
    <x v="486"/>
    <x v="204"/>
    <x v="1"/>
    <x v="2"/>
    <x v="8"/>
    <x v="2"/>
    <s v="Comics"/>
    <x v="95"/>
    <n v="3"/>
    <n v="790.04"/>
    <n v="1896.1"/>
    <x v="5"/>
    <n v="54.37"/>
    <n v="220.86"/>
    <x v="4"/>
    <x v="0"/>
  </r>
  <r>
    <s v="ORD-10876"/>
    <x v="487"/>
    <x v="31"/>
    <x v="0"/>
    <x v="1"/>
    <x v="1"/>
    <x v="5"/>
    <s v="Footwear"/>
    <x v="29"/>
    <n v="3"/>
    <n v="1970.27"/>
    <n v="5910.81"/>
    <x v="0"/>
    <n v="1060.3699999999999"/>
    <n v="371.62"/>
    <x v="1"/>
    <x v="2"/>
  </r>
  <r>
    <s v="ORD-10006"/>
    <x v="487"/>
    <x v="481"/>
    <x v="2"/>
    <x v="1"/>
    <x v="13"/>
    <x v="1"/>
    <s v="Furniture"/>
    <x v="44"/>
    <n v="1"/>
    <n v="4649.8"/>
    <n v="4417.3100000000004"/>
    <x v="3"/>
    <n v="795.88"/>
    <n v="175.94"/>
    <x v="1"/>
    <x v="0"/>
  </r>
  <r>
    <s v="ORD-10823"/>
    <x v="487"/>
    <x v="482"/>
    <x v="1"/>
    <x v="3"/>
    <x v="10"/>
    <x v="0"/>
    <s v="Laptops"/>
    <x v="94"/>
    <n v="4"/>
    <n v="64368.94"/>
    <n v="193106.82"/>
    <x v="4"/>
    <n v="-20163.439999999999"/>
    <n v="100.26"/>
    <x v="0"/>
    <x v="3"/>
  </r>
  <r>
    <s v="ORD-10290"/>
    <x v="487"/>
    <x v="383"/>
    <x v="1"/>
    <x v="2"/>
    <x v="2"/>
    <x v="3"/>
    <s v="Gym Equipment"/>
    <x v="51"/>
    <n v="5"/>
    <n v="11067.79"/>
    <n v="52572"/>
    <x v="3"/>
    <n v="12399.84"/>
    <n v="116.12"/>
    <x v="3"/>
    <x v="0"/>
  </r>
  <r>
    <s v="ORD-10839"/>
    <x v="487"/>
    <x v="483"/>
    <x v="2"/>
    <x v="3"/>
    <x v="6"/>
    <x v="1"/>
    <s v="Furniture"/>
    <x v="10"/>
    <n v="2"/>
    <n v="7556.55"/>
    <n v="14357.44"/>
    <x v="3"/>
    <n v="1892.52"/>
    <n v="324.39"/>
    <x v="1"/>
    <x v="3"/>
  </r>
  <r>
    <s v="ORD-10211"/>
    <x v="488"/>
    <x v="484"/>
    <x v="2"/>
    <x v="1"/>
    <x v="3"/>
    <x v="3"/>
    <s v="Outdoor Gear"/>
    <x v="82"/>
    <n v="4"/>
    <n v="7952.14"/>
    <n v="22265.99"/>
    <x v="6"/>
    <n v="57.88"/>
    <n v="268.01"/>
    <x v="1"/>
    <x v="0"/>
  </r>
  <r>
    <s v="ORD-10362"/>
    <x v="488"/>
    <x v="359"/>
    <x v="2"/>
    <x v="3"/>
    <x v="6"/>
    <x v="5"/>
    <s v="Footwear"/>
    <x v="33"/>
    <n v="2"/>
    <n v="2178.25"/>
    <n v="3267.38"/>
    <x v="4"/>
    <n v="36.840000000000003"/>
    <n v="237.19"/>
    <x v="2"/>
    <x v="3"/>
  </r>
  <r>
    <s v="ORD-10878"/>
    <x v="489"/>
    <x v="134"/>
    <x v="0"/>
    <x v="2"/>
    <x v="2"/>
    <x v="1"/>
    <s v="Decor"/>
    <x v="70"/>
    <n v="4"/>
    <n v="4746.7700000000004"/>
    <n v="17088.37"/>
    <x v="2"/>
    <n v="3161.62"/>
    <n v="250.96"/>
    <x v="1"/>
    <x v="0"/>
  </r>
  <r>
    <s v="ORD-10423"/>
    <x v="490"/>
    <x v="485"/>
    <x v="0"/>
    <x v="2"/>
    <x v="2"/>
    <x v="1"/>
    <s v="Decor"/>
    <x v="70"/>
    <n v="4"/>
    <n v="6435.44"/>
    <n v="21880.5"/>
    <x v="1"/>
    <n v="979.68"/>
    <n v="310.36"/>
    <x v="3"/>
    <x v="3"/>
  </r>
  <r>
    <s v="ORD-10113"/>
    <x v="490"/>
    <x v="199"/>
    <x v="0"/>
    <x v="3"/>
    <x v="10"/>
    <x v="2"/>
    <s v="Fiction"/>
    <x v="49"/>
    <n v="1"/>
    <n v="625.9"/>
    <n v="625.9"/>
    <x v="0"/>
    <n v="147.94999999999999"/>
    <n v="116.71"/>
    <x v="1"/>
    <x v="3"/>
  </r>
  <r>
    <s v="ORD-10126"/>
    <x v="490"/>
    <x v="299"/>
    <x v="2"/>
    <x v="2"/>
    <x v="11"/>
    <x v="2"/>
    <s v="Fiction"/>
    <x v="87"/>
    <n v="1"/>
    <n v="165.27"/>
    <n v="123.95"/>
    <x v="4"/>
    <n v="5.44"/>
    <n v="142.19"/>
    <x v="1"/>
    <x v="1"/>
  </r>
  <r>
    <s v="ORD-10147"/>
    <x v="491"/>
    <x v="269"/>
    <x v="1"/>
    <x v="0"/>
    <x v="0"/>
    <x v="3"/>
    <s v="Outdoor Gear"/>
    <x v="3"/>
    <n v="2"/>
    <n v="5702.48"/>
    <n v="11404.96"/>
    <x v="0"/>
    <n v="2958.9"/>
    <n v="73.12"/>
    <x v="3"/>
    <x v="0"/>
  </r>
  <r>
    <s v="ORD-10429"/>
    <x v="491"/>
    <x v="33"/>
    <x v="2"/>
    <x v="2"/>
    <x v="2"/>
    <x v="1"/>
    <s v="Furniture"/>
    <x v="39"/>
    <n v="4"/>
    <n v="6409.71"/>
    <n v="21793.01"/>
    <x v="1"/>
    <n v="2313.5100000000002"/>
    <n v="157.97"/>
    <x v="4"/>
    <x v="1"/>
  </r>
  <r>
    <s v="ORD-10225"/>
    <x v="492"/>
    <x v="476"/>
    <x v="2"/>
    <x v="2"/>
    <x v="9"/>
    <x v="2"/>
    <s v="Comics"/>
    <x v="95"/>
    <n v="3"/>
    <n v="1199.32"/>
    <n v="3597.96"/>
    <x v="0"/>
    <n v="314.64"/>
    <n v="160.11000000000001"/>
    <x v="1"/>
    <x v="2"/>
  </r>
  <r>
    <s v="ORD-10667"/>
    <x v="493"/>
    <x v="280"/>
    <x v="2"/>
    <x v="3"/>
    <x v="5"/>
    <x v="5"/>
    <s v="Kids Wear"/>
    <x v="65"/>
    <n v="2"/>
    <n v="4141.87"/>
    <n v="7869.55"/>
    <x v="3"/>
    <n v="1484.48"/>
    <n v="357.67"/>
    <x v="1"/>
    <x v="0"/>
  </r>
  <r>
    <s v="ORD-10728"/>
    <x v="494"/>
    <x v="273"/>
    <x v="1"/>
    <x v="0"/>
    <x v="12"/>
    <x v="2"/>
    <s v="Non-Fiction"/>
    <x v="28"/>
    <n v="2"/>
    <n v="340.81"/>
    <n v="647.54"/>
    <x v="3"/>
    <n v="55.91"/>
    <n v="282.79000000000002"/>
    <x v="3"/>
    <x v="0"/>
  </r>
  <r>
    <s v="ORD-10840"/>
    <x v="495"/>
    <x v="280"/>
    <x v="2"/>
    <x v="2"/>
    <x v="9"/>
    <x v="0"/>
    <s v="Mobiles"/>
    <x v="25"/>
    <n v="2"/>
    <n v="37436.76"/>
    <n v="74873.52"/>
    <x v="0"/>
    <n v="9274.4"/>
    <n v="139.83000000000001"/>
    <x v="0"/>
    <x v="0"/>
  </r>
  <r>
    <s v="ORD-10625"/>
    <x v="496"/>
    <x v="8"/>
    <x v="2"/>
    <x v="3"/>
    <x v="6"/>
    <x v="3"/>
    <s v="Outdoor Gear"/>
    <x v="12"/>
    <n v="2"/>
    <n v="9462.8799999999992"/>
    <n v="18925.759999999998"/>
    <x v="0"/>
    <n v="2043.67"/>
    <n v="316.13"/>
    <x v="3"/>
    <x v="1"/>
  </r>
  <r>
    <s v="ORD-10933"/>
    <x v="497"/>
    <x v="195"/>
    <x v="2"/>
    <x v="3"/>
    <x v="7"/>
    <x v="2"/>
    <s v="Academic"/>
    <x v="97"/>
    <n v="3"/>
    <n v="269.85000000000002"/>
    <n v="769.07"/>
    <x v="3"/>
    <n v="104.14"/>
    <n v="60.06"/>
    <x v="2"/>
    <x v="3"/>
  </r>
  <r>
    <s v="ORD-10203"/>
    <x v="498"/>
    <x v="486"/>
    <x v="0"/>
    <x v="3"/>
    <x v="7"/>
    <x v="3"/>
    <s v="Outdoor Gear"/>
    <x v="34"/>
    <n v="3"/>
    <n v="7452"/>
    <n v="21238.2"/>
    <x v="3"/>
    <n v="5417.26"/>
    <n v="283.63"/>
    <x v="1"/>
    <x v="0"/>
  </r>
  <r>
    <s v="ORD-10768"/>
    <x v="498"/>
    <x v="112"/>
    <x v="2"/>
    <x v="0"/>
    <x v="0"/>
    <x v="0"/>
    <s v="Laptops"/>
    <x v="98"/>
    <n v="1"/>
    <n v="54624.02"/>
    <n v="49161.62"/>
    <x v="2"/>
    <n v="1009.87"/>
    <n v="84.31"/>
    <x v="0"/>
    <x v="0"/>
  </r>
  <r>
    <s v="ORD-10231"/>
    <x v="499"/>
    <x v="94"/>
    <x v="2"/>
    <x v="2"/>
    <x v="2"/>
    <x v="4"/>
    <s v="Skincare"/>
    <x v="26"/>
    <n v="3"/>
    <n v="1396.39"/>
    <n v="3351.34"/>
    <x v="5"/>
    <n v="705.48"/>
    <n v="193.6"/>
    <x v="1"/>
    <x v="3"/>
  </r>
  <r>
    <s v="ORD-10765"/>
    <x v="499"/>
    <x v="153"/>
    <x v="0"/>
    <x v="0"/>
    <x v="0"/>
    <x v="4"/>
    <s v="Fragrances"/>
    <x v="19"/>
    <n v="4"/>
    <n v="453.15"/>
    <n v="1812.6"/>
    <x v="0"/>
    <n v="525.84"/>
    <n v="92.41"/>
    <x v="1"/>
    <x v="0"/>
  </r>
  <r>
    <s v="ORD-10993"/>
    <x v="500"/>
    <x v="28"/>
    <x v="1"/>
    <x v="2"/>
    <x v="9"/>
    <x v="4"/>
    <s v="Skincare"/>
    <x v="67"/>
    <n v="2"/>
    <n v="1606.79"/>
    <n v="3052.9"/>
    <x v="3"/>
    <n v="605.9"/>
    <n v="149.77000000000001"/>
    <x v="3"/>
    <x v="3"/>
  </r>
  <r>
    <s v="ORD-10293"/>
    <x v="500"/>
    <x v="302"/>
    <x v="0"/>
    <x v="0"/>
    <x v="0"/>
    <x v="0"/>
    <s v="Accessories"/>
    <x v="89"/>
    <n v="1"/>
    <n v="15775.41"/>
    <n v="13409.1"/>
    <x v="1"/>
    <n v="-622.07000000000005"/>
    <n v="247.67"/>
    <x v="3"/>
    <x v="1"/>
  </r>
  <r>
    <s v="ORD-10152"/>
    <x v="501"/>
    <x v="335"/>
    <x v="2"/>
    <x v="1"/>
    <x v="3"/>
    <x v="3"/>
    <s v="Outdoor Gear"/>
    <x v="12"/>
    <n v="1"/>
    <n v="7786.49"/>
    <n v="7786.49"/>
    <x v="0"/>
    <n v="1749.84"/>
    <n v="107.57"/>
    <x v="0"/>
    <x v="3"/>
  </r>
  <r>
    <s v="ORD-10325"/>
    <x v="502"/>
    <x v="60"/>
    <x v="2"/>
    <x v="0"/>
    <x v="12"/>
    <x v="1"/>
    <s v="Appliances"/>
    <x v="40"/>
    <n v="3"/>
    <n v="4165.2"/>
    <n v="12495.6"/>
    <x v="0"/>
    <n v="1450.73"/>
    <n v="282.55"/>
    <x v="1"/>
    <x v="0"/>
  </r>
  <r>
    <s v="ORD-10975"/>
    <x v="503"/>
    <x v="11"/>
    <x v="0"/>
    <x v="0"/>
    <x v="4"/>
    <x v="4"/>
    <s v="Makeup"/>
    <x v="59"/>
    <n v="2"/>
    <n v="616.04999999999995"/>
    <n v="1108.8900000000001"/>
    <x v="2"/>
    <n v="210.83"/>
    <n v="278.88"/>
    <x v="2"/>
    <x v="0"/>
  </r>
  <r>
    <s v="ORD-10866"/>
    <x v="503"/>
    <x v="183"/>
    <x v="2"/>
    <x v="3"/>
    <x v="6"/>
    <x v="1"/>
    <s v="Cookware"/>
    <x v="78"/>
    <n v="1"/>
    <n v="9916.9500000000007"/>
    <n v="9916.9500000000007"/>
    <x v="0"/>
    <n v="1441.85"/>
    <n v="170.98"/>
    <x v="3"/>
    <x v="0"/>
  </r>
  <r>
    <s v="ORD-10138"/>
    <x v="503"/>
    <x v="17"/>
    <x v="2"/>
    <x v="3"/>
    <x v="6"/>
    <x v="0"/>
    <s v="Cameras"/>
    <x v="0"/>
    <n v="1"/>
    <n v="16264.23"/>
    <n v="14637.81"/>
    <x v="2"/>
    <n v="611.59"/>
    <n v="273.19"/>
    <x v="3"/>
    <x v="3"/>
  </r>
  <r>
    <s v="ORD-10570"/>
    <x v="503"/>
    <x v="123"/>
    <x v="2"/>
    <x v="1"/>
    <x v="3"/>
    <x v="0"/>
    <s v="Cameras"/>
    <x v="0"/>
    <n v="4"/>
    <n v="46305.1"/>
    <n v="166698.35999999999"/>
    <x v="2"/>
    <n v="6590.42"/>
    <n v="95.06"/>
    <x v="3"/>
    <x v="2"/>
  </r>
  <r>
    <s v="ORD-10832"/>
    <x v="503"/>
    <x v="423"/>
    <x v="2"/>
    <x v="3"/>
    <x v="6"/>
    <x v="5"/>
    <s v="Footwear"/>
    <x v="37"/>
    <n v="1"/>
    <n v="1028.04"/>
    <n v="822.43"/>
    <x v="5"/>
    <n v="85.41"/>
    <n v="185.46"/>
    <x v="3"/>
    <x v="0"/>
  </r>
  <r>
    <s v="ORD-10020"/>
    <x v="504"/>
    <x v="487"/>
    <x v="2"/>
    <x v="3"/>
    <x v="10"/>
    <x v="3"/>
    <s v="Apparel"/>
    <x v="66"/>
    <n v="1"/>
    <n v="10105.76"/>
    <n v="8589.9"/>
    <x v="1"/>
    <n v="1445.15"/>
    <n v="219.22"/>
    <x v="0"/>
    <x v="0"/>
  </r>
  <r>
    <s v="ORD-10597"/>
    <x v="505"/>
    <x v="248"/>
    <x v="2"/>
    <x v="1"/>
    <x v="1"/>
    <x v="4"/>
    <s v="Skincare"/>
    <x v="26"/>
    <n v="1"/>
    <n v="869.63"/>
    <n v="869.63"/>
    <x v="0"/>
    <n v="222.98"/>
    <n v="317.8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FA0986-1703-4B70-BC72-79A3C9E1340A}" name="PivotTable90"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3">
  <location ref="G4:I9" firstHeaderRow="0"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items count="5">
        <item x="0"/>
        <item x="3"/>
        <item x="2"/>
        <item x="1"/>
        <item t="default"/>
      </items>
    </pivotField>
    <pivotField showAll="0"/>
    <pivotField showAll="0"/>
    <pivotField showAll="0"/>
    <pivotField showAll="0" includeNewItemsInFilter="1"/>
    <pivotField showAll="0"/>
    <pivotField numFmtId="4" showAll="0"/>
    <pivotField numFmtId="4" showAll="0"/>
    <pivotField dataField="1" numFmtId="164" showAll="0"/>
    <pivotField numFmtId="4" showAll="0"/>
    <pivotField dataField="1"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Sum of Shipping Cost" fld="14" baseField="0" baseItem="0" numFmtId="166"/>
    <dataField name="Average of Discount %" fld="12" subtotal="average" baseField="4" baseItem="0" numFmtId="2"/>
  </dataFields>
  <formats count="2">
    <format dxfId="13">
      <pivotArea outline="0" collapsedLevelsAreSubtotals="1" fieldPosition="0"/>
    </format>
    <format dxfId="1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9B26A9-3442-44E5-BA3B-D733950F00D6}" name="PivotTable87"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L350:Q366" firstHeaderRow="0" firstDataRow="1" firstDataCol="1" rowPageCount="1" colPageCount="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measureFilter="1" sortType="ascending">
      <autoSortScope>
        <pivotArea dataOnly="0" outline="0" fieldPosition="0">
          <references count="1">
            <reference field="4294967294" count="1" selected="0">
              <x v="2"/>
            </reference>
          </references>
        </pivotArea>
      </autoSortScope>
    </pivotField>
    <pivotField axis="axisPage" showAll="0">
      <items count="7">
        <item x="4"/>
        <item x="2"/>
        <item x="5"/>
        <item x="0"/>
        <item x="1"/>
        <item x="3"/>
        <item t="default"/>
      </items>
    </pivotField>
    <pivotField showAll="0"/>
    <pivotField axis="axisRow" showAll="0" measureFilter="1" sortType="descending">
      <items count="100">
        <item x="0"/>
        <item x="57"/>
        <item x="7"/>
        <item x="98"/>
        <item x="26"/>
        <item x="17"/>
        <item x="68"/>
        <item x="76"/>
        <item x="46"/>
        <item x="2"/>
        <item x="34"/>
        <item x="52"/>
        <item x="21"/>
        <item x="33"/>
        <item x="61"/>
        <item x="79"/>
        <item x="32"/>
        <item x="47"/>
        <item x="58"/>
        <item x="20"/>
        <item x="66"/>
        <item x="85"/>
        <item x="80"/>
        <item x="69"/>
        <item x="97"/>
        <item x="42"/>
        <item x="73"/>
        <item x="15"/>
        <item x="16"/>
        <item x="24"/>
        <item x="63"/>
        <item x="54"/>
        <item x="27"/>
        <item x="22"/>
        <item x="35"/>
        <item x="37"/>
        <item x="71"/>
        <item x="74"/>
        <item x="90"/>
        <item x="43"/>
        <item x="77"/>
        <item x="53"/>
        <item x="3"/>
        <item x="93"/>
        <item x="4"/>
        <item x="83"/>
        <item x="95"/>
        <item x="59"/>
        <item x="40"/>
        <item x="28"/>
        <item x="45"/>
        <item x="64"/>
        <item x="41"/>
        <item x="9"/>
        <item x="6"/>
        <item x="72"/>
        <item x="25"/>
        <item x="14"/>
        <item x="91"/>
        <item x="62"/>
        <item x="8"/>
        <item x="50"/>
        <item x="78"/>
        <item x="94"/>
        <item x="92"/>
        <item x="11"/>
        <item x="29"/>
        <item x="65"/>
        <item x="89"/>
        <item x="81"/>
        <item x="86"/>
        <item x="55"/>
        <item x="31"/>
        <item x="44"/>
        <item x="60"/>
        <item x="75"/>
        <item x="5"/>
        <item x="38"/>
        <item x="1"/>
        <item x="84"/>
        <item x="10"/>
        <item x="56"/>
        <item x="30"/>
        <item x="23"/>
        <item x="36"/>
        <item x="87"/>
        <item x="18"/>
        <item x="51"/>
        <item x="12"/>
        <item x="96"/>
        <item x="67"/>
        <item x="70"/>
        <item x="82"/>
        <item x="49"/>
        <item x="48"/>
        <item x="39"/>
        <item x="19"/>
        <item x="88"/>
        <item x="13"/>
        <item t="default"/>
      </items>
      <autoSortScope>
        <pivotArea dataOnly="0" outline="0" fieldPosition="0">
          <references count="1">
            <reference field="4294967294" count="1" selected="0">
              <x v="0"/>
            </reference>
          </references>
        </pivotArea>
      </autoSortScope>
    </pivotField>
    <pivotField dataField="1" showAll="0"/>
    <pivotField numFmtId="4" showAll="0"/>
    <pivotField dataField="1" numFmtId="4" showAll="0"/>
    <pivotField dataField="1" numFmtId="164" showAll="0"/>
    <pivotField dataField="1" numFmtId="4" showAll="0"/>
    <pivotField dataField="1" numFmtId="4" showAll="0"/>
    <pivotField showAll="0"/>
    <pivotField multipleItemSelectionAllowe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2">
    <field x="4"/>
    <field x="8"/>
  </rowFields>
  <rowItems count="16">
    <i>
      <x v="1"/>
    </i>
    <i r="1">
      <x v="63"/>
    </i>
    <i r="1">
      <x v="55"/>
    </i>
    <i r="1">
      <x v="38"/>
    </i>
    <i r="1">
      <x v="6"/>
    </i>
    <i>
      <x v="2"/>
    </i>
    <i r="1">
      <x v="68"/>
    </i>
    <i r="1">
      <x v="17"/>
    </i>
    <i r="1">
      <x v="63"/>
    </i>
    <i>
      <x v="3"/>
    </i>
    <i r="1">
      <x v="32"/>
    </i>
    <i r="1">
      <x v="68"/>
    </i>
    <i r="1">
      <x v="38"/>
    </i>
    <i>
      <x/>
    </i>
    <i r="1">
      <x v="56"/>
    </i>
    <i t="grand">
      <x/>
    </i>
  </rowItems>
  <colFields count="1">
    <field x="-2"/>
  </colFields>
  <colItems count="5">
    <i>
      <x/>
    </i>
    <i i="1">
      <x v="1"/>
    </i>
    <i i="2">
      <x v="2"/>
    </i>
    <i i="3">
      <x v="3"/>
    </i>
    <i i="4">
      <x v="4"/>
    </i>
  </colItems>
  <pageFields count="1">
    <pageField fld="6" item="3" hier="-1"/>
  </pageFields>
  <dataFields count="5">
    <dataField name="Sum of Sales" fld="11" baseField="0" baseItem="0" numFmtId="4"/>
    <dataField name="Sum of Quantity" fld="9" baseField="0" baseItem="0" numFmtId="1"/>
    <dataField name="Sum of Profit" fld="13" baseField="0" baseItem="0" numFmtId="166"/>
    <dataField name="Average of Discount %" fld="12" subtotal="average" baseField="0" baseItem="0" numFmtId="2"/>
    <dataField name="Sum of Shipping Cost" fld="14" baseField="0" baseItem="0" numFmtId="4"/>
  </dataFields>
  <formats count="3">
    <format dxfId="15">
      <pivotArea outline="0" collapsedLevelsAreSubtotals="1" fieldPosition="0"/>
    </format>
    <format dxfId="16">
      <pivotArea outline="0" collapsedLevelsAreSubtotals="1" fieldPosition="0">
        <references count="1">
          <reference field="4294967294" count="1" selected="0">
            <x v="3"/>
          </reference>
        </references>
      </pivotArea>
    </format>
    <format dxfId="14">
      <pivotArea outline="0" collapsedLevelsAreSubtotals="1" fieldPosition="0">
        <references count="1">
          <reference field="4294967294" count="1" selected="0">
            <x v="1"/>
          </reference>
        </references>
      </pivotArea>
    </format>
  </formats>
  <conditionalFormats count="2">
    <conditionalFormat priority="1">
      <pivotAreas count="1">
        <pivotArea type="data" collapsedLevelsAreSubtotals="1" fieldPosition="0">
          <references count="2">
            <reference field="4294967294" count="1" selected="0">
              <x v="2"/>
            </reference>
            <reference field="4" count="4">
              <x v="0"/>
              <x v="1"/>
              <x v="2"/>
              <x v="3"/>
            </reference>
          </references>
        </pivotArea>
      </pivotAreas>
    </conditionalFormat>
    <conditionalFormat priority="2">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pivotTableStyleInfo name="PivotStyleLight16" showRowHeaders="1" showColHeaders="1" showRowStripes="0" showColStripes="0" showLastColumn="1"/>
  <filters count="2">
    <filter fld="8" type="valueLessThan" evalOrder="-1" id="7" iMeasureFld="2">
      <autoFilter ref="A1">
        <filterColumn colId="0">
          <customFilters>
            <customFilter operator="lessThan" val="0"/>
          </customFilters>
        </filterColumn>
      </autoFilter>
    </filter>
    <filter fld="5" type="count" evalOrder="-1" id="3" iMeasureFld="2">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147D09-A09E-42F7-8A26-E8C03C015E83}" name="PivotTable86"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E350:I355" firstHeaderRow="0" firstDataRow="1" firstDataCol="1" rowPageCount="1" colPageCount="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measureFilter="1" sortType="ascending">
      <autoSortScope>
        <pivotArea dataOnly="0" outline="0" fieldPosition="0">
          <references count="1">
            <reference field="4294967294" count="1" selected="0">
              <x v="1"/>
            </reference>
          </references>
        </pivotArea>
      </autoSortScope>
    </pivotField>
    <pivotField axis="axisPage" showAll="0">
      <items count="7">
        <item x="4"/>
        <item x="2"/>
        <item x="5"/>
        <item x="0"/>
        <item x="1"/>
        <item x="3"/>
        <item t="default"/>
      </items>
    </pivotField>
    <pivotField showAll="0"/>
    <pivotField showAll="0"/>
    <pivotField showAll="0"/>
    <pivotField numFmtId="4" showAll="0"/>
    <pivotField dataField="1" numFmtId="4" showAll="0"/>
    <pivotField dataField="1" numFmtId="164" showAll="0"/>
    <pivotField dataField="1" numFmtId="4" showAll="0"/>
    <pivotField dataField="1" numFmtId="4" showAll="0"/>
    <pivotField showAll="0"/>
    <pivotField multipleItemSelectionAllowe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4"/>
  </rowFields>
  <rowItems count="5">
    <i>
      <x v="1"/>
    </i>
    <i>
      <x v="3"/>
    </i>
    <i>
      <x/>
    </i>
    <i>
      <x v="2"/>
    </i>
    <i t="grand">
      <x/>
    </i>
  </rowItems>
  <colFields count="1">
    <field x="-2"/>
  </colFields>
  <colItems count="4">
    <i>
      <x/>
    </i>
    <i i="1">
      <x v="1"/>
    </i>
    <i i="2">
      <x v="2"/>
    </i>
    <i i="3">
      <x v="3"/>
    </i>
  </colItems>
  <pageFields count="1">
    <pageField fld="6" item="3" hier="-1"/>
  </pageFields>
  <dataFields count="4">
    <dataField name="Sum of Sales" fld="11" baseField="0" baseItem="0" numFmtId="4"/>
    <dataField name="Sum of Profit" fld="13" baseField="0" baseItem="0" numFmtId="166"/>
    <dataField name="Average of Discount %" fld="12" subtotal="average" baseField="0" baseItem="0" numFmtId="2"/>
    <dataField name="Sum of Shipping Cost" fld="14" baseField="0" baseItem="0" numFmtId="4"/>
  </dataFields>
  <formats count="2">
    <format dxfId="18">
      <pivotArea outline="0" collapsedLevelsAreSubtotals="1" fieldPosition="0"/>
    </format>
    <format dxfId="17">
      <pivotArea outline="0" collapsedLevelsAreSubtotals="1" fieldPosition="0">
        <references count="1">
          <reference field="4294967294" count="1" selected="0">
            <x v="2"/>
          </reference>
        </references>
      </pivotArea>
    </format>
  </formats>
  <conditionalFormats count="2">
    <conditionalFormat priority="3">
      <pivotAreas count="1">
        <pivotArea type="data" collapsedLevelsAreSubtotals="1" fieldPosition="0">
          <references count="2">
            <reference field="4294967294" count="1" selected="0">
              <x v="1"/>
            </reference>
            <reference field="4" count="4">
              <x v="0"/>
              <x v="1"/>
              <x v="2"/>
              <x v="3"/>
            </reference>
          </references>
        </pivotArea>
      </pivotAreas>
    </conditionalFormat>
    <conditionalFormat priority="4">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pivotTableStyleInfo name="PivotStyleLight16" showRowHeaders="1" showColHeaders="1" showRowStripes="0" showColStripes="0" showLastColumn="1"/>
  <filters count="1">
    <filter fld="5" type="count" evalOrder="-1" id="3"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B46120-A5B6-472C-8D83-9B180BDFDBDC}" name="Metrics"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0">
  <location ref="D16:J17" firstHeaderRow="0" firstDataRow="1" firstDataCol="0"/>
  <pivotFields count="21">
    <pivotField dataField="1"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dataField="1" showAll="0"/>
    <pivotField showAll="0"/>
    <pivotField showAll="0" sortType="descending">
      <items count="5">
        <item h="1" x="0"/>
        <item x="3"/>
        <item h="1" x="2"/>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ncludeNewItemsInFilter="1"/>
    <pivotField dataField="1" showAll="0"/>
    <pivotField numFmtId="4" showAll="0"/>
    <pivotField dataField="1" numFmtId="4" showAll="0"/>
    <pivotField dataField="1" numFmtId="164" showAll="0"/>
    <pivotField dataField="1"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Fields count="1">
    <field x="-2"/>
  </colFields>
  <colItems count="7">
    <i>
      <x/>
    </i>
    <i i="1">
      <x v="1"/>
    </i>
    <i i="2">
      <x v="2"/>
    </i>
    <i i="3">
      <x v="3"/>
    </i>
    <i i="4">
      <x v="4"/>
    </i>
    <i i="5">
      <x v="5"/>
    </i>
    <i i="6">
      <x v="6"/>
    </i>
  </colItems>
  <dataFields count="7">
    <dataField name="Sum of Profit" fld="13" baseField="0" baseItem="0" numFmtId="184"/>
    <dataField name="Sum of Sales" fld="11" baseField="0" baseItem="0" numFmtId="184"/>
    <dataField name="Count of Customer Name" fld="2" subtotal="count" baseField="0" baseItem="0" numFmtId="169"/>
    <dataField name="Sum of Quantity" fld="9" baseField="0" baseItem="0" numFmtId="169"/>
    <dataField name="Average of Sales2" fld="11" subtotal="average" baseField="0" baseItem="0" numFmtId="184"/>
    <dataField name="Average of Discount %" fld="12" subtotal="average" baseField="0" baseItem="5" numFmtId="2"/>
    <dataField name="Count of Order ID" fld="0" subtotal="count" baseField="0" baseItem="0"/>
  </dataFields>
  <formats count="6">
    <format dxfId="24">
      <pivotArea outline="0" collapsedLevelsAreSubtotals="1" fieldPosition="0"/>
    </format>
    <format dxfId="23">
      <pivotArea outline="0" collapsedLevelsAreSubtotals="1" fieldPosition="0">
        <references count="1">
          <reference field="4294967294" count="1" selected="0">
            <x v="3"/>
          </reference>
        </references>
      </pivotArea>
    </format>
    <format dxfId="22">
      <pivotArea outline="0" collapsedLevelsAreSubtotals="1" fieldPosition="0">
        <references count="1">
          <reference field="4294967294" count="1" selected="0">
            <x v="2"/>
          </reference>
        </references>
      </pivotArea>
    </format>
    <format dxfId="21">
      <pivotArea outline="0" collapsedLevelsAreSubtotals="1" fieldPosition="0">
        <references count="1">
          <reference field="4294967294" count="1" selected="0">
            <x v="5"/>
          </reference>
        </references>
      </pivotArea>
    </format>
    <format dxfId="20">
      <pivotArea outline="0" collapsedLevelsAreSubtotals="1" fieldPosition="0">
        <references count="1">
          <reference field="4294967294" count="2" selected="0">
            <x v="0"/>
            <x v="1"/>
          </reference>
        </references>
      </pivotArea>
    </format>
    <format dxfId="19">
      <pivotArea outline="0" collapsedLevelsAreSubtotals="1" fieldPosition="0">
        <references count="1">
          <reference field="4294967294" count="1" selected="0">
            <x v="4"/>
          </reference>
        </references>
      </pivotArea>
    </format>
  </formats>
  <chartFormats count="6">
    <chartFormat chart="12" format="0"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1"/>
          </reference>
        </references>
      </pivotArea>
    </chartFormat>
    <chartFormat chart="29"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1"/>
          </reference>
        </references>
      </pivotArea>
    </chartFormat>
    <chartFormat chart="31" format="2" series="1">
      <pivotArea type="data" outline="0" fieldPosition="0">
        <references count="1">
          <reference field="4294967294" count="1" selected="0">
            <x v="1"/>
          </reference>
        </references>
      </pivotArea>
    </chartFormat>
    <chartFormat chart="37" format="1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79658E-A3A5-4373-8456-9BB4B83625C1}" name="RegionProfit"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5">
  <location ref="D4:E9"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sortType="a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ncludeNewItemsInFilter="1"/>
    <pivotField showAll="0"/>
    <pivotField numFmtId="4" showAll="0"/>
    <pivotField numFmtId="4" showAll="0"/>
    <pivotField numFmtId="164" showAll="0"/>
    <pivotField dataField="1"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4"/>
  </rowFields>
  <rowItems count="5">
    <i>
      <x v="1"/>
    </i>
    <i>
      <x v="2"/>
    </i>
    <i>
      <x v="3"/>
    </i>
    <i>
      <x/>
    </i>
    <i t="grand">
      <x/>
    </i>
  </rowItems>
  <colItems count="1">
    <i/>
  </colItems>
  <dataFields count="1">
    <dataField name="Sum of Profit" fld="13" baseField="0" baseItem="0" numFmtId="4"/>
  </dataFields>
  <formats count="1">
    <format dxfId="27">
      <pivotArea outline="0" collapsedLevelsAreSubtotals="1" fieldPosition="0"/>
    </format>
  </formats>
  <chartFormats count="2">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65C0C3-630B-4187-8196-A01D98E071AA}" name="PivotTable78"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3">
  <location ref="A502:B991" firstHeaderRow="1" firstDataRow="1" firstDataCol="1"/>
  <pivotFields count="21">
    <pivotField dataField="1"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axis="axisRow" showAll="0" sortType="descending">
      <items count="489">
        <item x="426"/>
        <item x="219"/>
        <item x="416"/>
        <item x="17"/>
        <item x="453"/>
        <item x="62"/>
        <item x="466"/>
        <item x="259"/>
        <item x="178"/>
        <item x="240"/>
        <item x="20"/>
        <item x="67"/>
        <item x="308"/>
        <item x="126"/>
        <item x="258"/>
        <item x="39"/>
        <item x="33"/>
        <item x="431"/>
        <item x="357"/>
        <item x="158"/>
        <item x="282"/>
        <item x="367"/>
        <item x="425"/>
        <item x="324"/>
        <item x="96"/>
        <item x="118"/>
        <item x="404"/>
        <item x="417"/>
        <item x="125"/>
        <item x="244"/>
        <item x="107"/>
        <item x="157"/>
        <item x="371"/>
        <item x="63"/>
        <item x="22"/>
        <item x="314"/>
        <item x="27"/>
        <item x="381"/>
        <item x="335"/>
        <item x="402"/>
        <item x="163"/>
        <item x="387"/>
        <item x="484"/>
        <item x="52"/>
        <item x="140"/>
        <item x="89"/>
        <item x="227"/>
        <item x="362"/>
        <item x="148"/>
        <item x="112"/>
        <item x="170"/>
        <item x="15"/>
        <item x="44"/>
        <item x="356"/>
        <item x="116"/>
        <item x="222"/>
        <item x="385"/>
        <item x="214"/>
        <item x="391"/>
        <item x="373"/>
        <item x="87"/>
        <item x="388"/>
        <item x="177"/>
        <item x="318"/>
        <item x="68"/>
        <item x="454"/>
        <item x="127"/>
        <item x="8"/>
        <item x="363"/>
        <item x="377"/>
        <item x="55"/>
        <item x="299"/>
        <item x="95"/>
        <item x="114"/>
        <item x="78"/>
        <item x="462"/>
        <item x="247"/>
        <item x="225"/>
        <item x="320"/>
        <item x="196"/>
        <item x="434"/>
        <item x="418"/>
        <item x="393"/>
        <item x="113"/>
        <item x="235"/>
        <item x="384"/>
        <item x="32"/>
        <item x="455"/>
        <item x="482"/>
        <item x="398"/>
        <item x="296"/>
        <item x="133"/>
        <item x="452"/>
        <item x="396"/>
        <item x="257"/>
        <item x="25"/>
        <item x="204"/>
        <item x="26"/>
        <item x="445"/>
        <item x="328"/>
        <item x="461"/>
        <item x="400"/>
        <item x="90"/>
        <item x="326"/>
        <item x="142"/>
        <item x="115"/>
        <item x="479"/>
        <item x="409"/>
        <item x="51"/>
        <item x="248"/>
        <item x="238"/>
        <item x="2"/>
        <item x="456"/>
        <item x="208"/>
        <item x="236"/>
        <item x="218"/>
        <item x="353"/>
        <item x="446"/>
        <item x="16"/>
        <item x="5"/>
        <item x="305"/>
        <item x="105"/>
        <item x="21"/>
        <item x="341"/>
        <item x="287"/>
        <item x="292"/>
        <item x="61"/>
        <item x="253"/>
        <item x="374"/>
        <item x="139"/>
        <item x="245"/>
        <item x="246"/>
        <item x="81"/>
        <item x="154"/>
        <item x="448"/>
        <item x="290"/>
        <item x="199"/>
        <item x="428"/>
        <item x="160"/>
        <item x="144"/>
        <item x="156"/>
        <item x="111"/>
        <item x="366"/>
        <item x="278"/>
        <item x="442"/>
        <item x="34"/>
        <item x="134"/>
        <item x="463"/>
        <item x="297"/>
        <item x="281"/>
        <item x="174"/>
        <item x="209"/>
        <item x="344"/>
        <item x="269"/>
        <item x="175"/>
        <item x="250"/>
        <item x="382"/>
        <item x="265"/>
        <item x="429"/>
        <item x="200"/>
        <item x="412"/>
        <item x="210"/>
        <item x="132"/>
        <item x="263"/>
        <item x="345"/>
        <item x="450"/>
        <item x="161"/>
        <item x="131"/>
        <item x="10"/>
        <item x="309"/>
        <item x="229"/>
        <item x="203"/>
        <item x="313"/>
        <item x="1"/>
        <item x="285"/>
        <item x="331"/>
        <item x="146"/>
        <item x="298"/>
        <item x="188"/>
        <item x="173"/>
        <item x="193"/>
        <item x="50"/>
        <item x="152"/>
        <item x="54"/>
        <item x="3"/>
        <item x="394"/>
        <item x="365"/>
        <item x="351"/>
        <item x="277"/>
        <item x="359"/>
        <item x="423"/>
        <item x="340"/>
        <item x="451"/>
        <item x="121"/>
        <item x="172"/>
        <item x="129"/>
        <item x="389"/>
        <item x="48"/>
        <item x="137"/>
        <item x="181"/>
        <item x="192"/>
        <item x="65"/>
        <item x="413"/>
        <item x="406"/>
        <item x="97"/>
        <item x="230"/>
        <item x="334"/>
        <item x="233"/>
        <item x="128"/>
        <item x="73"/>
        <item x="427"/>
        <item x="355"/>
        <item x="464"/>
        <item x="330"/>
        <item x="346"/>
        <item x="212"/>
        <item x="232"/>
        <item x="231"/>
        <item x="180"/>
        <item x="159"/>
        <item x="130"/>
        <item x="64"/>
        <item x="124"/>
        <item x="195"/>
        <item x="480"/>
        <item x="470"/>
        <item x="395"/>
        <item x="267"/>
        <item x="288"/>
        <item x="459"/>
        <item x="149"/>
        <item x="92"/>
        <item x="437"/>
        <item x="171"/>
        <item x="408"/>
        <item x="182"/>
        <item x="41"/>
        <item x="104"/>
        <item x="136"/>
        <item x="397"/>
        <item x="399"/>
        <item x="333"/>
        <item x="82"/>
        <item x="254"/>
        <item x="262"/>
        <item x="162"/>
        <item x="475"/>
        <item x="66"/>
        <item x="375"/>
        <item x="37"/>
        <item x="6"/>
        <item x="358"/>
        <item x="380"/>
        <item x="167"/>
        <item x="270"/>
        <item x="360"/>
        <item x="350"/>
        <item x="166"/>
        <item x="101"/>
        <item x="207"/>
        <item x="76"/>
        <item x="264"/>
        <item x="83"/>
        <item x="187"/>
        <item x="119"/>
        <item x="436"/>
        <item x="155"/>
        <item x="93"/>
        <item x="302"/>
        <item x="378"/>
        <item x="98"/>
        <item x="106"/>
        <item x="261"/>
        <item x="401"/>
        <item x="29"/>
        <item x="143"/>
        <item x="18"/>
        <item x="465"/>
        <item x="369"/>
        <item x="206"/>
        <item x="449"/>
        <item x="272"/>
        <item x="306"/>
        <item x="165"/>
        <item x="169"/>
        <item x="38"/>
        <item x="234"/>
        <item x="120"/>
        <item x="301"/>
        <item x="440"/>
        <item x="211"/>
        <item x="342"/>
        <item x="420"/>
        <item x="294"/>
        <item x="23"/>
        <item x="467"/>
        <item x="151"/>
        <item x="354"/>
        <item x="242"/>
        <item x="274"/>
        <item x="191"/>
        <item x="439"/>
        <item x="19"/>
        <item x="260"/>
        <item x="249"/>
        <item x="343"/>
        <item x="47"/>
        <item x="56"/>
        <item x="35"/>
        <item x="88"/>
        <item x="317"/>
        <item x="12"/>
        <item x="386"/>
        <item x="117"/>
        <item x="443"/>
        <item x="100"/>
        <item x="300"/>
        <item x="336"/>
        <item x="419"/>
        <item x="53"/>
        <item x="80"/>
        <item x="379"/>
        <item x="458"/>
        <item x="201"/>
        <item x="86"/>
        <item x="30"/>
        <item x="164"/>
        <item x="407"/>
        <item x="303"/>
        <item x="14"/>
        <item x="283"/>
        <item x="224"/>
        <item x="444"/>
        <item x="183"/>
        <item x="311"/>
        <item x="108"/>
        <item x="438"/>
        <item x="352"/>
        <item x="220"/>
        <item x="228"/>
        <item x="372"/>
        <item x="252"/>
        <item x="185"/>
        <item x="376"/>
        <item x="424"/>
        <item x="364"/>
        <item x="4"/>
        <item x="186"/>
        <item x="485"/>
        <item x="9"/>
        <item x="215"/>
        <item x="368"/>
        <item x="441"/>
        <item x="487"/>
        <item x="473"/>
        <item x="405"/>
        <item x="85"/>
        <item x="77"/>
        <item x="179"/>
        <item x="49"/>
        <item x="348"/>
        <item x="347"/>
        <item x="69"/>
        <item x="58"/>
        <item x="471"/>
        <item x="45"/>
        <item x="273"/>
        <item x="310"/>
        <item x="276"/>
        <item x="414"/>
        <item x="213"/>
        <item x="122"/>
        <item x="329"/>
        <item x="75"/>
        <item x="361"/>
        <item x="94"/>
        <item x="403"/>
        <item x="432"/>
        <item x="279"/>
        <item x="457"/>
        <item x="60"/>
        <item x="478"/>
        <item x="312"/>
        <item x="241"/>
        <item x="474"/>
        <item x="184"/>
        <item x="28"/>
        <item x="370"/>
        <item x="332"/>
        <item x="57"/>
        <item x="349"/>
        <item x="102"/>
        <item x="319"/>
        <item x="176"/>
        <item x="295"/>
        <item x="337"/>
        <item x="123"/>
        <item x="72"/>
        <item x="447"/>
        <item x="293"/>
        <item x="410"/>
        <item x="415"/>
        <item x="59"/>
        <item x="286"/>
        <item x="251"/>
        <item x="291"/>
        <item x="316"/>
        <item x="202"/>
        <item x="70"/>
        <item x="390"/>
        <item x="430"/>
        <item x="325"/>
        <item x="42"/>
        <item x="486"/>
        <item x="110"/>
        <item x="468"/>
        <item x="383"/>
        <item x="198"/>
        <item x="307"/>
        <item x="79"/>
        <item x="239"/>
        <item x="71"/>
        <item x="469"/>
        <item x="135"/>
        <item x="91"/>
        <item x="109"/>
        <item x="205"/>
        <item x="266"/>
        <item x="289"/>
        <item x="339"/>
        <item x="194"/>
        <item x="322"/>
        <item x="40"/>
        <item x="11"/>
        <item x="147"/>
        <item x="392"/>
        <item x="138"/>
        <item x="237"/>
        <item x="422"/>
        <item x="31"/>
        <item x="255"/>
        <item x="189"/>
        <item x="483"/>
        <item x="7"/>
        <item x="197"/>
        <item x="168"/>
        <item x="411"/>
        <item x="433"/>
        <item x="103"/>
        <item x="36"/>
        <item x="435"/>
        <item x="221"/>
        <item x="0"/>
        <item x="226"/>
        <item x="481"/>
        <item x="145"/>
        <item x="476"/>
        <item x="421"/>
        <item x="256"/>
        <item x="280"/>
        <item x="13"/>
        <item x="24"/>
        <item x="323"/>
        <item x="271"/>
        <item x="141"/>
        <item x="84"/>
        <item x="99"/>
        <item x="338"/>
        <item x="472"/>
        <item x="243"/>
        <item x="153"/>
        <item x="315"/>
        <item x="275"/>
        <item x="43"/>
        <item x="284"/>
        <item x="268"/>
        <item x="477"/>
        <item x="304"/>
        <item x="223"/>
        <item x="327"/>
        <item x="150"/>
        <item x="321"/>
        <item x="460"/>
        <item x="217"/>
        <item x="190"/>
        <item x="216"/>
        <item x="46"/>
        <item x="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4" showAll="0"/>
    <pivotField numFmtId="4" showAll="0"/>
    <pivotField numFmtId="164" showAll="0"/>
    <pivotField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
  </rowFields>
  <rowItems count="489">
    <i>
      <x v="178"/>
    </i>
    <i>
      <x v="303"/>
    </i>
    <i>
      <x v="180"/>
    </i>
    <i>
      <x v="138"/>
    </i>
    <i>
      <x v="366"/>
    </i>
    <i>
      <x v="433"/>
    </i>
    <i>
      <x v="250"/>
    </i>
    <i>
      <x v="222"/>
    </i>
    <i>
      <x v="146"/>
    </i>
    <i>
      <x v="67"/>
    </i>
    <i>
      <x v="470"/>
    </i>
    <i>
      <x v="131"/>
    </i>
    <i>
      <x v="145"/>
    </i>
    <i>
      <x v="45"/>
    </i>
    <i>
      <x v="182"/>
    </i>
    <i>
      <x v="173"/>
    </i>
    <i>
      <x v="471"/>
    </i>
    <i>
      <x v="414"/>
    </i>
    <i>
      <x v="286"/>
    </i>
    <i>
      <x v="260"/>
    </i>
    <i>
      <x v="64"/>
    </i>
    <i>
      <x v="333"/>
    </i>
    <i>
      <x v="3"/>
    </i>
    <i>
      <x v="448"/>
    </i>
    <i>
      <x v="79"/>
    </i>
    <i>
      <x v="271"/>
    </i>
    <i>
      <x v="122"/>
    </i>
    <i>
      <x v="323"/>
    </i>
    <i>
      <x v="9"/>
    </i>
    <i>
      <x v="373"/>
    </i>
    <i>
      <x v="132"/>
    </i>
    <i>
      <x v="62"/>
    </i>
    <i>
      <x v="32"/>
    </i>
    <i>
      <x v="259"/>
    </i>
    <i>
      <x v="150"/>
    </i>
    <i>
      <x v="268"/>
    </i>
    <i>
      <x v="151"/>
    </i>
    <i>
      <x v="281"/>
    </i>
    <i>
      <x v="171"/>
    </i>
    <i>
      <x v="311"/>
    </i>
    <i>
      <x v="34"/>
    </i>
    <i>
      <x v="324"/>
    </i>
    <i>
      <x v="183"/>
    </i>
    <i>
      <x v="356"/>
    </i>
    <i>
      <x v="195"/>
    </i>
    <i>
      <x v="394"/>
    </i>
    <i>
      <x v="205"/>
    </i>
    <i>
      <x v="428"/>
    </i>
    <i>
      <x v="480"/>
    </i>
    <i>
      <x v="439"/>
    </i>
    <i>
      <x v="49"/>
    </i>
    <i>
      <x v="453"/>
    </i>
    <i>
      <x v="248"/>
    </i>
    <i>
      <x v="257"/>
    </i>
    <i>
      <x v="408"/>
    </i>
    <i>
      <x v="113"/>
    </i>
    <i>
      <x v="466"/>
    </i>
    <i>
      <x v="74"/>
    </i>
    <i>
      <x v="380"/>
    </i>
    <i>
      <x v="201"/>
    </i>
    <i>
      <x v="188"/>
    </i>
    <i>
      <x v="76"/>
    </i>
    <i>
      <x v="164"/>
    </i>
    <i>
      <x v="207"/>
    </i>
    <i>
      <x v="61"/>
    </i>
    <i>
      <x v="208"/>
    </i>
    <i>
      <x v="395"/>
    </i>
    <i>
      <x v="209"/>
    </i>
    <i>
      <x v="425"/>
    </i>
    <i>
      <x v="210"/>
    </i>
    <i>
      <x v="446"/>
    </i>
    <i>
      <x v="218"/>
    </i>
    <i>
      <x v="315"/>
    </i>
    <i>
      <x v="220"/>
    </i>
    <i>
      <x v="343"/>
    </i>
    <i>
      <x v="221"/>
    </i>
    <i>
      <x v="362"/>
    </i>
    <i>
      <x v="46"/>
    </i>
    <i>
      <x v="36"/>
    </i>
    <i>
      <x v="71"/>
    </i>
    <i>
      <x v="389"/>
    </i>
    <i>
      <x v="11"/>
    </i>
    <i>
      <x v="401"/>
    </i>
    <i>
      <x v="472"/>
    </i>
    <i>
      <x v="417"/>
    </i>
    <i>
      <x/>
    </i>
    <i>
      <x v="429"/>
    </i>
    <i>
      <x v="247"/>
    </i>
    <i>
      <x v="441"/>
    </i>
    <i>
      <x v="139"/>
    </i>
    <i>
      <x v="193"/>
    </i>
    <i>
      <x v="57"/>
    </i>
    <i>
      <x v="194"/>
    </i>
    <i>
      <x v="251"/>
    </i>
    <i>
      <x v="163"/>
    </i>
    <i>
      <x v="256"/>
    </i>
    <i>
      <x v="105"/>
    </i>
    <i>
      <x v="63"/>
    </i>
    <i>
      <x v="346"/>
    </i>
    <i>
      <x v="140"/>
    </i>
    <i>
      <x v="357"/>
    </i>
    <i>
      <x v="143"/>
    </i>
    <i>
      <x v="365"/>
    </i>
    <i>
      <x v="262"/>
    </i>
    <i>
      <x v="372"/>
    </i>
    <i>
      <x v="264"/>
    </i>
    <i>
      <x v="375"/>
    </i>
    <i>
      <x v="265"/>
    </i>
    <i>
      <x v="386"/>
    </i>
    <i>
      <x v="267"/>
    </i>
    <i>
      <x v="38"/>
    </i>
    <i>
      <x v="28"/>
    </i>
    <i>
      <x v="396"/>
    </i>
    <i>
      <x v="270"/>
    </i>
    <i>
      <x v="403"/>
    </i>
    <i>
      <x v="90"/>
    </i>
    <i>
      <x v="1"/>
    </i>
    <i>
      <x v="91"/>
    </i>
    <i>
      <x v="424"/>
    </i>
    <i>
      <x v="284"/>
    </i>
    <i>
      <x v="115"/>
    </i>
    <i>
      <x v="96"/>
    </i>
    <i>
      <x v="431"/>
    </i>
    <i>
      <x v="287"/>
    </i>
    <i>
      <x v="189"/>
    </i>
    <i>
      <x v="294"/>
    </i>
    <i>
      <x v="443"/>
    </i>
    <i>
      <x v="302"/>
    </i>
    <i>
      <x v="190"/>
    </i>
    <i>
      <x v="60"/>
    </i>
    <i>
      <x v="459"/>
    </i>
    <i>
      <x v="308"/>
    </i>
    <i>
      <x v="469"/>
    </i>
    <i>
      <x v="309"/>
    </i>
    <i>
      <x v="162"/>
    </i>
    <i>
      <x v="236"/>
    </i>
    <i>
      <x v="238"/>
    </i>
    <i>
      <x v="223"/>
    </i>
    <i>
      <x v="435"/>
    </i>
    <i>
      <x v="390"/>
    </i>
    <i>
      <x v="361"/>
    </i>
    <i>
      <x v="216"/>
    </i>
    <i>
      <x v="184"/>
    </i>
    <i>
      <x v="17"/>
    </i>
    <i>
      <x v="458"/>
    </i>
    <i>
      <x v="219"/>
    </i>
    <i>
      <x v="68"/>
    </i>
    <i>
      <x v="97"/>
    </i>
    <i>
      <x v="400"/>
    </i>
    <i>
      <x v="98"/>
    </i>
    <i>
      <x v="427"/>
    </i>
    <i>
      <x v="100"/>
    </i>
    <i>
      <x v="445"/>
    </i>
    <i>
      <x v="475"/>
    </i>
    <i>
      <x v="93"/>
    </i>
    <i>
      <x v="478"/>
    </i>
    <i>
      <x v="367"/>
    </i>
    <i>
      <x v="101"/>
    </i>
    <i>
      <x v="174"/>
    </i>
    <i>
      <x v="233"/>
    </i>
    <i>
      <x v="177"/>
    </i>
    <i>
      <x v="102"/>
    </i>
    <i>
      <x v="405"/>
    </i>
    <i>
      <x v="103"/>
    </i>
    <i>
      <x v="419"/>
    </i>
    <i>
      <x v="104"/>
    </i>
    <i>
      <x v="81"/>
    </i>
    <i>
      <x v="244"/>
    </i>
    <i>
      <x v="440"/>
    </i>
    <i>
      <x v="245"/>
    </i>
    <i>
      <x v="449"/>
    </i>
    <i>
      <x v="19"/>
    </i>
    <i>
      <x v="40"/>
    </i>
    <i>
      <x v="106"/>
    </i>
    <i>
      <x v="65"/>
    </i>
    <i>
      <x v="108"/>
    </i>
    <i>
      <x v="165"/>
    </i>
    <i>
      <x v="109"/>
    </i>
    <i>
      <x v="371"/>
    </i>
    <i>
      <x v="111"/>
    </i>
    <i>
      <x v="376"/>
    </i>
    <i>
      <x v="47"/>
    </i>
    <i>
      <x v="388"/>
    </i>
    <i>
      <x v="114"/>
    </i>
    <i>
      <x v="392"/>
    </i>
    <i>
      <x v="48"/>
    </i>
    <i>
      <x v="73"/>
    </i>
    <i>
      <x v="261"/>
    </i>
    <i>
      <x v="15"/>
    </i>
    <i>
      <x v="119"/>
    </i>
    <i>
      <x v="409"/>
    </i>
    <i>
      <x v="121"/>
    </i>
    <i>
      <x v="187"/>
    </i>
    <i>
      <x v="20"/>
    </i>
    <i>
      <x v="77"/>
    </i>
    <i>
      <x v="124"/>
    </i>
    <i>
      <x v="191"/>
    </i>
    <i>
      <x v="127"/>
    </i>
    <i>
      <x v="83"/>
    </i>
    <i>
      <x v="269"/>
    </i>
    <i>
      <x v="438"/>
    </i>
    <i>
      <x v="51"/>
    </i>
    <i>
      <x v="197"/>
    </i>
    <i>
      <x v="52"/>
    </i>
    <i>
      <x v="447"/>
    </i>
    <i>
      <x v="272"/>
    </i>
    <i>
      <x v="87"/>
    </i>
    <i>
      <x v="274"/>
    </i>
    <i>
      <x v="460"/>
    </i>
    <i>
      <x v="275"/>
    </i>
    <i>
      <x v="43"/>
    </i>
    <i>
      <x v="276"/>
    </i>
    <i>
      <x v="473"/>
    </i>
    <i>
      <x v="279"/>
    </i>
    <i>
      <x v="359"/>
    </i>
    <i>
      <x v="133"/>
    </i>
    <i>
      <x v="13"/>
    </i>
    <i>
      <x v="136"/>
    </i>
    <i>
      <x v="167"/>
    </i>
    <i>
      <x v="285"/>
    </i>
    <i>
      <x v="368"/>
    </i>
    <i>
      <x v="53"/>
    </i>
    <i>
      <x v="170"/>
    </i>
    <i>
      <x v="54"/>
    </i>
    <i>
      <x v="172"/>
    </i>
    <i>
      <x v="290"/>
    </i>
    <i>
      <x v="70"/>
    </i>
    <i>
      <x v="291"/>
    </i>
    <i>
      <x v="387"/>
    </i>
    <i>
      <x v="292"/>
    </i>
    <i>
      <x v="176"/>
    </i>
    <i>
      <x v="293"/>
    </i>
    <i>
      <x v="391"/>
    </i>
    <i>
      <x v="22"/>
    </i>
    <i>
      <x v="393"/>
    </i>
    <i>
      <x v="297"/>
    </i>
    <i>
      <x v="35"/>
    </i>
    <i>
      <x v="298"/>
    </i>
    <i>
      <x v="398"/>
    </i>
    <i>
      <x v="59"/>
    </i>
    <i>
      <x v="181"/>
    </i>
    <i>
      <x v="25"/>
    </i>
    <i>
      <x v="404"/>
    </i>
    <i>
      <x v="305"/>
    </i>
    <i>
      <x v="37"/>
    </i>
    <i>
      <x v="306"/>
    </i>
    <i>
      <x v="410"/>
    </i>
    <i>
      <x v="307"/>
    </i>
    <i>
      <x v="416"/>
    </i>
    <i>
      <x v="26"/>
    </i>
    <i>
      <x v="418"/>
    </i>
    <i>
      <x v="148"/>
    </i>
    <i>
      <x v="423"/>
    </i>
    <i>
      <x v="149"/>
    </i>
    <i>
      <x v="16"/>
    </i>
    <i>
      <x v="312"/>
    </i>
    <i>
      <x v="80"/>
    </i>
    <i>
      <x v="8"/>
    </i>
    <i>
      <x v="430"/>
    </i>
    <i>
      <x v="316"/>
    </i>
    <i>
      <x v="432"/>
    </i>
    <i>
      <x v="317"/>
    </i>
    <i>
      <x v="434"/>
    </i>
    <i>
      <x v="319"/>
    </i>
    <i>
      <x v="436"/>
    </i>
    <i>
      <x v="321"/>
    </i>
    <i>
      <x v="86"/>
    </i>
    <i>
      <x v="31"/>
    </i>
    <i>
      <x v="196"/>
    </i>
    <i>
      <x v="152"/>
    </i>
    <i>
      <x v="444"/>
    </i>
    <i>
      <x v="328"/>
    </i>
    <i>
      <x v="199"/>
    </i>
    <i>
      <x v="331"/>
    </i>
    <i>
      <x v="200"/>
    </i>
    <i>
      <x v="153"/>
    </i>
    <i>
      <x v="451"/>
    </i>
    <i>
      <x v="337"/>
    </i>
    <i>
      <x v="456"/>
    </i>
    <i>
      <x v="338"/>
    </i>
    <i>
      <x v="203"/>
    </i>
    <i>
      <x v="340"/>
    </i>
    <i>
      <x v="461"/>
    </i>
    <i>
      <x v="159"/>
    </i>
    <i>
      <x v="467"/>
    </i>
    <i>
      <x v="161"/>
    </i>
    <i>
      <x v="92"/>
    </i>
    <i>
      <x v="347"/>
    </i>
    <i>
      <x v="94"/>
    </i>
    <i>
      <x v="349"/>
    </i>
    <i>
      <x v="213"/>
    </i>
    <i>
      <x v="12"/>
    </i>
    <i>
      <x v="479"/>
    </i>
    <i>
      <x v="226"/>
    </i>
    <i>
      <x v="487"/>
    </i>
    <i>
      <x v="230"/>
    </i>
    <i>
      <x v="243"/>
    </i>
    <i>
      <x v="255"/>
    </i>
    <i>
      <x v="186"/>
    </i>
    <i>
      <x v="280"/>
    </i>
    <i>
      <x v="78"/>
    </i>
    <i>
      <x v="246"/>
    </i>
    <i>
      <x v="299"/>
    </i>
    <i>
      <x v="168"/>
    </i>
    <i>
      <x v="300"/>
    </i>
    <i>
      <x v="50"/>
    </i>
    <i>
      <x v="301"/>
    </i>
    <i>
      <x v="241"/>
    </i>
    <i>
      <x v="120"/>
    </i>
    <i>
      <x v="156"/>
    </i>
    <i>
      <x v="10"/>
    </i>
    <i>
      <x v="14"/>
    </i>
    <i>
      <x v="304"/>
    </i>
    <i>
      <x v="110"/>
    </i>
    <i>
      <x v="18"/>
    </i>
    <i>
      <x v="464"/>
    </i>
    <i>
      <x v="123"/>
    </i>
    <i>
      <x v="295"/>
    </i>
    <i>
      <x v="192"/>
    </i>
    <i>
      <x v="239"/>
    </i>
    <i>
      <x v="33"/>
    </i>
    <i>
      <x v="24"/>
    </i>
    <i>
      <x v="125"/>
    </i>
    <i>
      <x v="412"/>
    </i>
    <i>
      <x v="310"/>
    </i>
    <i>
      <x v="420"/>
    </i>
    <i>
      <x v="126"/>
    </i>
    <i>
      <x v="258"/>
    </i>
    <i>
      <x v="82"/>
    </i>
    <i>
      <x v="266"/>
    </i>
    <i>
      <x v="313"/>
    </i>
    <i>
      <x v="107"/>
    </i>
    <i>
      <x v="314"/>
    </i>
    <i>
      <x v="452"/>
    </i>
    <i>
      <x v="128"/>
    </i>
    <i>
      <x v="283"/>
    </i>
    <i>
      <x v="198"/>
    </i>
    <i>
      <x v="468"/>
    </i>
    <i>
      <x v="129"/>
    </i>
    <i>
      <x v="476"/>
    </i>
    <i>
      <x v="318"/>
    </i>
    <i>
      <x v="484"/>
    </i>
    <i>
      <x v="130"/>
    </i>
    <i>
      <x v="237"/>
    </i>
    <i>
      <x v="320"/>
    </i>
    <i>
      <x v="240"/>
    </i>
    <i>
      <x v="5"/>
    </i>
    <i>
      <x v="402"/>
    </i>
    <i>
      <x v="322"/>
    </i>
    <i>
      <x v="406"/>
    </i>
    <i>
      <x v="202"/>
    </i>
    <i>
      <x v="155"/>
    </i>
    <i>
      <x v="84"/>
    </i>
    <i>
      <x v="249"/>
    </i>
    <i>
      <x v="325"/>
    </i>
    <i>
      <x v="252"/>
    </i>
    <i>
      <x v="326"/>
    </i>
    <i>
      <x v="422"/>
    </i>
    <i>
      <x v="327"/>
    </i>
    <i>
      <x v="426"/>
    </i>
    <i>
      <x v="204"/>
    </i>
    <i>
      <x v="42"/>
    </i>
    <i>
      <x v="329"/>
    </i>
    <i>
      <x v="44"/>
    </i>
    <i>
      <x v="330"/>
    </i>
    <i>
      <x v="166"/>
    </i>
    <i>
      <x v="85"/>
    </i>
    <i>
      <x v="442"/>
    </i>
    <i>
      <x v="332"/>
    </i>
    <i>
      <x v="72"/>
    </i>
    <i>
      <x v="206"/>
    </i>
    <i>
      <x v="450"/>
    </i>
    <i>
      <x v="334"/>
    </i>
    <i>
      <x v="454"/>
    </i>
    <i>
      <x v="335"/>
    </i>
    <i>
      <x v="29"/>
    </i>
    <i>
      <x v="336"/>
    </i>
    <i>
      <x v="462"/>
    </i>
    <i>
      <x v="134"/>
    </i>
    <i>
      <x v="75"/>
    </i>
    <i>
      <x v="135"/>
    </i>
    <i>
      <x v="288"/>
    </i>
    <i>
      <x v="339"/>
    </i>
    <i>
      <x v="474"/>
    </i>
    <i>
      <x v="55"/>
    </i>
    <i>
      <x v="118"/>
    </i>
    <i>
      <x v="341"/>
    </i>
    <i>
      <x v="482"/>
    </i>
    <i>
      <x v="342"/>
    </i>
    <i>
      <x v="486"/>
    </i>
    <i>
      <x v="137"/>
    </i>
    <i>
      <x v="23"/>
    </i>
    <i>
      <x v="344"/>
    </i>
    <i>
      <x v="95"/>
    </i>
    <i>
      <x v="345"/>
    </i>
    <i>
      <x v="397"/>
    </i>
    <i>
      <x v="211"/>
    </i>
    <i>
      <x v="399"/>
    </i>
    <i>
      <x v="212"/>
    </i>
    <i>
      <x v="242"/>
    </i>
    <i>
      <x v="348"/>
    </i>
    <i>
      <x v="39"/>
    </i>
    <i>
      <x v="56"/>
    </i>
    <i>
      <x v="41"/>
    </i>
    <i>
      <x v="350"/>
    </i>
    <i>
      <x v="407"/>
    </i>
    <i>
      <x v="351"/>
    </i>
    <i>
      <x v="154"/>
    </i>
    <i>
      <x v="352"/>
    </i>
    <i>
      <x v="411"/>
    </i>
    <i>
      <x v="353"/>
    </i>
    <i>
      <x v="413"/>
    </i>
    <i>
      <x v="354"/>
    </i>
    <i>
      <x v="415"/>
    </i>
    <i>
      <x v="355"/>
    </i>
    <i>
      <x v="157"/>
    </i>
    <i>
      <x v="214"/>
    </i>
    <i>
      <x v="253"/>
    </i>
    <i>
      <x v="215"/>
    </i>
    <i>
      <x v="421"/>
    </i>
    <i>
      <x v="358"/>
    </i>
    <i>
      <x v="254"/>
    </i>
    <i>
      <x v="88"/>
    </i>
    <i>
      <x v="158"/>
    </i>
    <i>
      <x v="360"/>
    </i>
    <i>
      <x v="99"/>
    </i>
    <i>
      <x v="217"/>
    </i>
    <i>
      <x v="160"/>
    </i>
    <i>
      <x v="89"/>
    </i>
    <i>
      <x v="66"/>
    </i>
    <i>
      <x v="363"/>
    </i>
    <i>
      <x v="263"/>
    </i>
    <i>
      <x v="364"/>
    </i>
    <i>
      <x v="69"/>
    </i>
    <i>
      <x v="141"/>
    </i>
    <i>
      <x v="437"/>
    </i>
    <i>
      <x v="142"/>
    </i>
    <i>
      <x v="2"/>
    </i>
    <i>
      <x v="6"/>
    </i>
    <i>
      <x v="169"/>
    </i>
    <i>
      <x v="144"/>
    </i>
    <i>
      <x v="27"/>
    </i>
    <i>
      <x v="369"/>
    </i>
    <i>
      <x v="273"/>
    </i>
    <i>
      <x v="370"/>
    </i>
    <i>
      <x v="4"/>
    </i>
    <i>
      <x v="58"/>
    </i>
    <i>
      <x v="277"/>
    </i>
    <i>
      <x v="224"/>
    </i>
    <i>
      <x v="278"/>
    </i>
    <i>
      <x v="225"/>
    </i>
    <i>
      <x v="175"/>
    </i>
    <i>
      <x v="374"/>
    </i>
    <i>
      <x v="455"/>
    </i>
    <i>
      <x v="21"/>
    </i>
    <i>
      <x v="457"/>
    </i>
    <i>
      <x v="227"/>
    </i>
    <i>
      <x v="282"/>
    </i>
    <i>
      <x v="377"/>
    </i>
    <i>
      <x v="112"/>
    </i>
    <i>
      <x v="378"/>
    </i>
    <i>
      <x v="463"/>
    </i>
    <i>
      <x v="379"/>
    </i>
    <i>
      <x v="465"/>
    </i>
    <i>
      <x v="228"/>
    </i>
    <i>
      <x v="179"/>
    </i>
    <i>
      <x v="381"/>
    </i>
    <i>
      <x v="30"/>
    </i>
    <i>
      <x v="382"/>
    </i>
    <i>
      <x v="289"/>
    </i>
    <i>
      <x v="383"/>
    </i>
    <i>
      <x v="116"/>
    </i>
    <i>
      <x v="384"/>
    </i>
    <i>
      <x v="117"/>
    </i>
    <i>
      <x v="385"/>
    </i>
    <i>
      <x v="477"/>
    </i>
    <i>
      <x v="229"/>
    </i>
    <i>
      <x v="185"/>
    </i>
    <i>
      <x v="147"/>
    </i>
    <i>
      <x v="481"/>
    </i>
    <i>
      <x v="231"/>
    </i>
    <i>
      <x v="483"/>
    </i>
    <i>
      <x v="232"/>
    </i>
    <i>
      <x v="485"/>
    </i>
    <i>
      <x v="7"/>
    </i>
    <i>
      <x v="296"/>
    </i>
    <i>
      <x v="234"/>
    </i>
    <i>
      <x v="235"/>
    </i>
    <i t="grand">
      <x/>
    </i>
  </rowItems>
  <colItems count="1">
    <i/>
  </colItems>
  <dataFields count="1">
    <dataField name="Count of Order ID" fld="0" subtotal="count" baseField="0" baseItem="0"/>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CCDAA6-E606-41B6-A7D8-1E1AD502F4B7}" name="PivotTable75"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Customer Segment">
  <location ref="A478:D484" firstHeaderRow="1" firstDataRow="2"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2">
    <field x="18"/>
    <field x="17"/>
  </rowFields>
  <rowItems count="5">
    <i>
      <x v="1"/>
    </i>
    <i>
      <x v="2"/>
    </i>
    <i>
      <x v="3"/>
    </i>
    <i>
      <x v="4"/>
    </i>
    <i t="grand">
      <x/>
    </i>
  </rowItems>
  <colFields count="1">
    <field x="19"/>
  </colFields>
  <colItems count="3">
    <i>
      <x v="1"/>
    </i>
    <i>
      <x v="2"/>
    </i>
    <i t="grand">
      <x/>
    </i>
  </colItems>
  <dataFields count="1">
    <dataField name="Sum of Sales" fld="11" baseField="0" baseItem="0" numFmtId="4"/>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CF40DD-DF9E-4122-A295-07B97856C880}" name="State" cacheId="211"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 rowHeaderCaption="Customer Segment">
  <location ref="A455:B462" firstHeaderRow="1" firstDataRow="1" firstDataCol="1" rowPageCount="1" colPageCount="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items count="5">
        <item h="1" x="0"/>
        <item x="3"/>
        <item h="1" x="2"/>
        <item x="1"/>
        <item t="default"/>
      </items>
    </pivotField>
    <pivotField axis="axisRow" showAll="0" defaultSubtotal="0">
      <items count="14">
        <item x="0"/>
        <item x="5"/>
        <item x="13"/>
        <item x="7"/>
        <item x="9"/>
        <item x="2"/>
        <item x="3"/>
        <item x="12"/>
        <item x="6"/>
        <item x="1"/>
        <item x="11"/>
        <item x="8"/>
        <item x="10"/>
        <item x="4"/>
      </items>
    </pivotField>
    <pivotField showAll="0"/>
    <pivotField showAll="0"/>
    <pivotField showAll="0" includeNewItemsInFilter="1"/>
    <pivotField showAll="0"/>
    <pivotField numFmtId="4" showAll="0"/>
    <pivotField dataField="1" numFmtId="4" showAll="0"/>
    <pivotField numFmtId="164" showAll="0"/>
    <pivotField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Page" multipleItemSelectionAllowed="1" showAll="0">
      <items count="5">
        <item x="0"/>
        <item x="1"/>
        <item x="2"/>
        <item x="3"/>
        <item t="default"/>
      </items>
    </pivotField>
    <pivotField dragToRow="0" dragToCol="0" dragToPage="0" showAll="0" defaultSubtotal="0"/>
  </pivotFields>
  <rowFields count="1">
    <field x="5"/>
  </rowFields>
  <rowItems count="7">
    <i>
      <x v="1"/>
    </i>
    <i>
      <x v="2"/>
    </i>
    <i>
      <x v="3"/>
    </i>
    <i>
      <x v="6"/>
    </i>
    <i>
      <x v="8"/>
    </i>
    <i>
      <x v="9"/>
    </i>
    <i>
      <x v="12"/>
    </i>
  </rowItems>
  <colItems count="1">
    <i/>
  </colItems>
  <pageFields count="1">
    <pageField fld="19" hier="-1"/>
  </pageFields>
  <dataFields count="1">
    <dataField name="Sum of Sales" fld="1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75F4C8-608B-4CC2-948C-51ADAA3A9F88}" name="PivotTable73"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3">
  <location ref="A438:C443" firstHeaderRow="0"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4" showAll="0"/>
    <pivotField dataField="1" numFmtId="4" showAll="0"/>
    <pivotField numFmtId="164" showAll="0"/>
    <pivotField dataField="1"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4"/>
  </rowFields>
  <rowItems count="5">
    <i>
      <x v="1"/>
    </i>
    <i>
      <x v="3"/>
    </i>
    <i>
      <x/>
    </i>
    <i>
      <x v="2"/>
    </i>
    <i t="grand">
      <x/>
    </i>
  </rowItems>
  <colFields count="1">
    <field x="-2"/>
  </colFields>
  <colItems count="2">
    <i>
      <x/>
    </i>
    <i i="1">
      <x v="1"/>
    </i>
  </colItems>
  <dataFields count="2">
    <dataField name="Sum of Sales" fld="11" baseField="0" baseItem="0" numFmtId="166"/>
    <dataField name="Sum of Profit" fld="13" baseField="4" baseItem="2" numFmtId="4"/>
  </dataFields>
  <formats count="1">
    <format dxfId="29">
      <pivotArea outline="0" collapsedLevelsAreSubtotals="1" fieldPosition="0"/>
    </format>
  </formats>
  <conditionalFormats count="1">
    <conditionalFormat priority="9">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chartFormats count="14">
    <chartFormat chart="7"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4" count="1" selected="0">
            <x v="1"/>
          </reference>
        </references>
      </pivotArea>
    </chartFormat>
    <chartFormat chart="16" format="8">
      <pivotArea type="data" outline="0" fieldPosition="0">
        <references count="2">
          <reference field="4294967294" count="1" selected="0">
            <x v="0"/>
          </reference>
          <reference field="4" count="1" selected="0">
            <x v="3"/>
          </reference>
        </references>
      </pivotArea>
    </chartFormat>
    <chartFormat chart="16" format="9">
      <pivotArea type="data" outline="0" fieldPosition="0">
        <references count="2">
          <reference field="4294967294" count="1" selected="0">
            <x v="0"/>
          </reference>
          <reference field="4" count="1" selected="0">
            <x v="0"/>
          </reference>
        </references>
      </pivotArea>
    </chartFormat>
    <chartFormat chart="16" format="10">
      <pivotArea type="data" outline="0" fieldPosition="0">
        <references count="2">
          <reference field="4294967294" count="1" selected="0">
            <x v="0"/>
          </reference>
          <reference field="4" count="1" selected="0">
            <x v="2"/>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4" count="1" selected="0">
            <x v="1"/>
          </reference>
        </references>
      </pivotArea>
    </chartFormat>
    <chartFormat chart="23" format="8">
      <pivotArea type="data" outline="0" fieldPosition="0">
        <references count="2">
          <reference field="4294967294" count="1" selected="0">
            <x v="0"/>
          </reference>
          <reference field="4" count="1" selected="0">
            <x v="3"/>
          </reference>
        </references>
      </pivotArea>
    </chartFormat>
    <chartFormat chart="23" format="9">
      <pivotArea type="data" outline="0" fieldPosition="0">
        <references count="2">
          <reference field="4294967294" count="1" selected="0">
            <x v="0"/>
          </reference>
          <reference field="4" count="1" selected="0">
            <x v="0"/>
          </reference>
        </references>
      </pivotArea>
    </chartFormat>
    <chartFormat chart="23" format="10">
      <pivotArea type="data" outline="0" fieldPosition="0">
        <references count="2">
          <reference field="4294967294" count="1" selected="0">
            <x v="0"/>
          </reference>
          <reference field="4" count="1" selected="0">
            <x v="2"/>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FEB180-5642-4D56-ABC1-A2B539FB7E41}" name="PivotTable68" cacheId="16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419:B426" firstHeaderRow="1" firstDataRow="1" firstDataCol="1"/>
  <pivotFields count="22">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numFmtId="167" showAl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6"/>
  </rowFields>
  <rowItems count="7">
    <i>
      <x/>
    </i>
    <i>
      <x v="1"/>
    </i>
    <i>
      <x v="2"/>
    </i>
    <i>
      <x v="3"/>
    </i>
    <i>
      <x v="4"/>
    </i>
    <i>
      <x v="5"/>
    </i>
    <i t="grand">
      <x/>
    </i>
  </rowItems>
  <colItems count="1">
    <i/>
  </colItems>
  <dataFields count="1">
    <dataField name="Sum of Sales" fld="11" showDataAs="percentOfCol" baseField="0" baseItem="0" numFmtId="9"/>
  </dataFields>
  <formats count="2">
    <format dxfId="31">
      <pivotArea outline="0" fieldPosition="0">
        <references count="1">
          <reference field="4294967294" count="1">
            <x v="0"/>
          </reference>
        </references>
      </pivotArea>
    </format>
    <format dxfId="30">
      <pivotArea outline="0" collapsedLevelsAreSubtotals="1" fieldPosition="0"/>
    </format>
  </formats>
  <pivotTableStyleInfo name="PivotStyleLight16" showRowHeaders="1" showColHeaders="1" showRowStripes="0" showColStripes="0" showLastColumn="1"/>
  <filters count="1">
    <filter fld="1" type="dateBetween" evalOrder="-1" id="4" name="Order Date">
      <autoFilter ref="A1">
        <filterColumn colId="0">
          <customFilters and="1">
            <customFilter operator="greaterThanOrEqual" val="45566"/>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61B937-C7BE-4A27-A63A-8802B2EF905D}" name="PivotTable58"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F235:G248"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17"/>
  </rowFields>
  <rowItems count="13">
    <i>
      <x v="1"/>
    </i>
    <i>
      <x v="2"/>
    </i>
    <i>
      <x v="3"/>
    </i>
    <i>
      <x v="4"/>
    </i>
    <i>
      <x v="5"/>
    </i>
    <i>
      <x v="6"/>
    </i>
    <i>
      <x v="7"/>
    </i>
    <i>
      <x v="8"/>
    </i>
    <i>
      <x v="9"/>
    </i>
    <i>
      <x v="10"/>
    </i>
    <i>
      <x v="11"/>
    </i>
    <i>
      <x v="12"/>
    </i>
    <i t="grand">
      <x/>
    </i>
  </rowItems>
  <colItems count="1">
    <i/>
  </colItems>
  <dataFields count="1">
    <dataField name="Sum of Sales" fld="11" showDataAs="percentDiff" baseField="17" baseItem="1048828" numFmtId="10"/>
  </dataFields>
  <formats count="2">
    <format dxfId="33">
      <pivotArea outline="0" collapsedLevelsAreSubtotals="1" fieldPosition="0"/>
    </format>
    <format dxfId="32">
      <pivotArea outline="0" fieldPosition="0">
        <references count="1">
          <reference field="4294967294" count="1">
            <x v="0"/>
          </reference>
        </references>
      </pivotArea>
    </format>
  </formats>
  <conditionalFormats count="1">
    <conditionalFormat priority="12">
      <pivotAreas count="1">
        <pivotArea type="data" collapsedLevelsAreSubtotals="1" fieldPosition="0">
          <references count="2">
            <reference field="4294967294" count="1" selected="0">
              <x v="0"/>
            </reference>
            <reference field="17" count="12">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ECF830-FA1F-44AA-8BBF-C080B1E8FB6E}" name="PivotTable49"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A312:C319" firstHeaderRow="0" firstDataRow="1" firstDataCol="1" rowPageCount="1" colPageCount="1"/>
  <pivotFields count="21">
    <pivotField dataField="1"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axis="axisRow" showAll="0" sortType="descending">
      <items count="7">
        <item x="4"/>
        <item x="2"/>
        <item x="5"/>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 showAll="0"/>
    <pivotField numFmtId="4" showAll="0"/>
    <pivotField numFmtId="164" showAll="0"/>
    <pivotField numFmtId="4" showAll="0"/>
    <pivotField numFmtId="4" showAll="0"/>
    <pivotField showAll="0"/>
    <pivotField axis="axisPage" multipleItemSelectionAllowed="1" showAll="0">
      <items count="5">
        <item x="1"/>
        <item x="2"/>
        <item h="1" x="0"/>
        <item h="1"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6"/>
  </rowFields>
  <rowItems count="7">
    <i>
      <x v="3"/>
    </i>
    <i>
      <x v="1"/>
    </i>
    <i>
      <x v="5"/>
    </i>
    <i>
      <x/>
    </i>
    <i>
      <x v="4"/>
    </i>
    <i>
      <x v="2"/>
    </i>
    <i t="grand">
      <x/>
    </i>
  </rowItems>
  <colFields count="1">
    <field x="-2"/>
  </colFields>
  <colItems count="2">
    <i>
      <x/>
    </i>
    <i i="1">
      <x v="1"/>
    </i>
  </colItems>
  <pageFields count="1">
    <pageField fld="16" hier="-1"/>
  </pageFields>
  <dataFields count="2">
    <dataField name="Count of Order ID" fld="0" subtotal="count" baseField="0" baseItem="0"/>
    <dataField name="Count of Order ID2" fld="0" subtotal="count" showDataAs="percentOfCol" baseField="0" baseItem="0" numFmtId="9"/>
  </dataFields>
  <formats count="3">
    <format dxfId="36">
      <pivotArea outline="0" collapsedLevelsAreSubtotals="1" fieldPosition="0"/>
    </format>
    <format dxfId="35">
      <pivotArea outline="0" fieldPosition="0">
        <references count="1">
          <reference field="4294967294" count="1">
            <x v="1"/>
          </reference>
        </references>
      </pivotArea>
    </format>
    <format dxfId="3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E83F60-174A-4EE5-B9A3-17E0C90F4D72}" name="PivotTable33"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F105:I119" firstHeaderRow="1" firstDataRow="2"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x="1"/>
        <item sd="0" x="2"/>
        <item sd="0" x="3"/>
        <item t="default"/>
      </items>
    </pivotField>
    <pivotField dragToRow="0" dragToCol="0" dragToPage="0" showAll="0" defaultSubtotal="0"/>
  </pivotFields>
  <rowFields count="1">
    <field x="17"/>
  </rowFields>
  <rowItems count="13">
    <i>
      <x v="1"/>
    </i>
    <i>
      <x v="2"/>
    </i>
    <i>
      <x v="3"/>
    </i>
    <i>
      <x v="4"/>
    </i>
    <i>
      <x v="5"/>
    </i>
    <i>
      <x v="6"/>
    </i>
    <i>
      <x v="7"/>
    </i>
    <i>
      <x v="8"/>
    </i>
    <i>
      <x v="9"/>
    </i>
    <i>
      <x v="10"/>
    </i>
    <i>
      <x v="11"/>
    </i>
    <i>
      <x v="12"/>
    </i>
    <i t="grand">
      <x/>
    </i>
  </rowItems>
  <colFields count="1">
    <field x="19"/>
  </colFields>
  <colItems count="3">
    <i>
      <x v="1"/>
    </i>
    <i>
      <x v="2"/>
    </i>
    <i t="grand">
      <x/>
    </i>
  </colItems>
  <dataFields count="1">
    <dataField name="Sum of Sales" fld="11" showDataAs="percentOfRow" baseField="0" baseItem="0" numFmtId="9"/>
  </dataFields>
  <formats count="9">
    <format dxfId="45">
      <pivotArea outline="0" fieldPosition="0">
        <references count="1">
          <reference field="4294967294" count="1">
            <x v="0"/>
          </reference>
        </references>
      </pivotArea>
    </format>
    <format dxfId="44">
      <pivotArea outline="0" collapsedLevelsAreSubtotals="1" fieldPosition="0"/>
    </format>
    <format dxfId="43">
      <pivotArea dataOnly="0" fieldPosition="0">
        <references count="1">
          <reference field="17" count="1">
            <x v="2"/>
          </reference>
        </references>
      </pivotArea>
    </format>
    <format dxfId="42">
      <pivotArea dataOnly="0" fieldPosition="0">
        <references count="1">
          <reference field="17" count="1">
            <x v="4"/>
          </reference>
        </references>
      </pivotArea>
    </format>
    <format dxfId="41">
      <pivotArea dataOnly="0" fieldPosition="0">
        <references count="1">
          <reference field="17" count="1">
            <x v="6"/>
          </reference>
        </references>
      </pivotArea>
    </format>
    <format dxfId="40">
      <pivotArea dataOnly="0" fieldPosition="0">
        <references count="1">
          <reference field="17" count="1">
            <x v="8"/>
          </reference>
        </references>
      </pivotArea>
    </format>
    <format dxfId="39">
      <pivotArea dataOnly="0" fieldPosition="0">
        <references count="1">
          <reference field="17" count="1">
            <x v="11"/>
          </reference>
        </references>
      </pivotArea>
    </format>
    <format dxfId="38">
      <pivotArea dataOnly="0" fieldPosition="0">
        <references count="1">
          <reference field="17" count="1">
            <x v="11"/>
          </reference>
        </references>
      </pivotArea>
    </format>
    <format dxfId="37">
      <pivotArea dataOnly="0" fieldPosition="0">
        <references count="1">
          <reference field="17"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733A889-6B70-4E7C-B00A-7596E15551C8}" name="PivotTable53"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A385:B393"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4" showAll="0"/>
    <pivotField numFmtId="4" showAll="0"/>
    <pivotField axis="axisRow" numFmtId="164" showAll="0">
      <items count="8">
        <item x="0"/>
        <item x="3"/>
        <item x="2"/>
        <item x="1"/>
        <item x="5"/>
        <item x="4"/>
        <item x="6"/>
        <item t="default"/>
      </items>
    </pivotField>
    <pivotField dataField="1" numFmtId="4" showAll="0"/>
    <pivotField numFmtId="4" showAll="0"/>
    <pivotField showAll="0"/>
    <pivotField multipleItemSelectionAllowe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12"/>
  </rowFields>
  <rowItems count="8">
    <i>
      <x/>
    </i>
    <i>
      <x v="1"/>
    </i>
    <i>
      <x v="2"/>
    </i>
    <i>
      <x v="3"/>
    </i>
    <i>
      <x v="4"/>
    </i>
    <i>
      <x v="5"/>
    </i>
    <i>
      <x v="6"/>
    </i>
    <i t="grand">
      <x/>
    </i>
  </rowItems>
  <colItems count="1">
    <i/>
  </colItems>
  <dataFields count="1">
    <dataField name="Average of Profit" fld="13" subtotal="average" baseField="0" baseItem="0" numFmtId="166"/>
  </dataFields>
  <formats count="1">
    <format dxfId="46">
      <pivotArea outline="0" collapsedLevelsAreSubtotals="1" fieldPosition="0"/>
    </format>
  </formats>
  <pivotTableStyleInfo name="PivotStyleLight16" showRowHeaders="1" showColHeaders="1" showRowStripes="0" showColStripes="0" showLastColumn="1"/>
  <filters count="1">
    <filter fld="5"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4EB8BB-F095-43FC-9826-EB6C470D3FF9}" name="PivotTable28"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52:B58"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showAll="0"/>
    <pivotField showAll="0"/>
    <pivotField numFmtId="4" showAll="0"/>
    <pivotField numFmtId="4" showAll="0"/>
    <pivotField dataField="1" numFmtId="164" showAll="0"/>
    <pivotField numFmtId="4" showAll="0"/>
    <pivotField numFmtId="4" showAll="0"/>
    <pivotField axis="axisRow" showAll="0">
      <items count="6">
        <item x="2"/>
        <item x="1"/>
        <item x="0"/>
        <item x="4"/>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5"/>
  </rowFields>
  <rowItems count="6">
    <i>
      <x/>
    </i>
    <i>
      <x v="1"/>
    </i>
    <i>
      <x v="2"/>
    </i>
    <i>
      <x v="3"/>
    </i>
    <i>
      <x v="4"/>
    </i>
    <i t="grand">
      <x/>
    </i>
  </rowItems>
  <colItems count="1">
    <i/>
  </colItems>
  <dataFields count="1">
    <dataField name="Avg Discount %" fld="12" subtotal="average" baseField="15" baseItem="0" numFmtId="168"/>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B27DE31-ABF5-49B6-902A-E1729224A552}" name="PivotTable37"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137:D143" firstHeaderRow="1" firstDataRow="2"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18"/>
  </rowFields>
  <rowItems count="5">
    <i>
      <x v="1"/>
    </i>
    <i>
      <x v="2"/>
    </i>
    <i>
      <x v="3"/>
    </i>
    <i>
      <x v="4"/>
    </i>
    <i t="grand">
      <x/>
    </i>
  </rowItems>
  <colFields count="1">
    <field x="19"/>
  </colFields>
  <colItems count="3">
    <i>
      <x v="1"/>
    </i>
    <i>
      <x v="2"/>
    </i>
    <i t="grand">
      <x/>
    </i>
  </colItems>
  <dataFields count="1">
    <dataField name="Sum of Sales" fld="11" baseField="0" baseItem="0" numFmtId="166"/>
  </dataFields>
  <formats count="2">
    <format dxfId="49">
      <pivotArea outline="0" collapsedLevelsAreSubtotals="1" fieldPosition="0"/>
    </format>
    <format dxfId="4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A9E8E8-C8B4-4B10-A9BC-B348320AA1F6}" name="PivotTable42"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214:D228" firstHeaderRow="1" firstDataRow="2"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17"/>
  </rowFields>
  <rowItems count="13">
    <i>
      <x v="1"/>
    </i>
    <i>
      <x v="2"/>
    </i>
    <i>
      <x v="3"/>
    </i>
    <i>
      <x v="4"/>
    </i>
    <i>
      <x v="5"/>
    </i>
    <i>
      <x v="6"/>
    </i>
    <i>
      <x v="7"/>
    </i>
    <i>
      <x v="8"/>
    </i>
    <i>
      <x v="9"/>
    </i>
    <i>
      <x v="10"/>
    </i>
    <i>
      <x v="11"/>
    </i>
    <i>
      <x v="12"/>
    </i>
    <i t="grand">
      <x/>
    </i>
  </rowItems>
  <colFields count="1">
    <field x="19"/>
  </colFields>
  <colItems count="3">
    <i>
      <x v="1"/>
    </i>
    <i>
      <x v="2"/>
    </i>
    <i t="grand">
      <x/>
    </i>
  </colItems>
  <dataFields count="1">
    <dataField name="Sum of Sales" fld="11" showDataAs="percentDiff" baseField="17" baseItem="1048828" numFmtId="10"/>
  </dataFields>
  <formats count="2">
    <format dxfId="51">
      <pivotArea outline="0" collapsedLevelsAreSubtotals="1" fieldPosition="0"/>
    </format>
    <format dxfId="50">
      <pivotArea outline="0" fieldPosition="0">
        <references count="1">
          <reference field="4294967294" count="1">
            <x v="0"/>
          </reference>
        </references>
      </pivotArea>
    </format>
  </formats>
  <conditionalFormats count="1">
    <conditionalFormat priority="25">
      <pivotAreas count="1">
        <pivotArea type="data" collapsedLevelsAreSubtotals="1" fieldPosition="0">
          <references count="2">
            <reference field="4294967294" count="1" selected="0">
              <x v="0"/>
            </reference>
            <reference field="17" count="12">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8FCA3AE-C669-4488-8096-B6A7BB1A0EDC}" name="ProdNameTop10"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A292:B303"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axis="axisRow" showAll="0" measureFilter="1" sortType="descending">
      <items count="100">
        <item x="0"/>
        <item x="57"/>
        <item x="7"/>
        <item x="98"/>
        <item x="26"/>
        <item x="17"/>
        <item x="68"/>
        <item x="76"/>
        <item x="46"/>
        <item x="2"/>
        <item x="34"/>
        <item x="52"/>
        <item x="21"/>
        <item x="33"/>
        <item x="61"/>
        <item x="79"/>
        <item x="32"/>
        <item x="47"/>
        <item x="58"/>
        <item x="20"/>
        <item x="66"/>
        <item x="85"/>
        <item x="80"/>
        <item x="69"/>
        <item x="97"/>
        <item x="42"/>
        <item x="73"/>
        <item x="15"/>
        <item x="16"/>
        <item x="24"/>
        <item x="63"/>
        <item x="54"/>
        <item x="27"/>
        <item x="22"/>
        <item x="35"/>
        <item x="37"/>
        <item x="71"/>
        <item x="74"/>
        <item x="90"/>
        <item x="43"/>
        <item x="77"/>
        <item x="53"/>
        <item x="3"/>
        <item x="93"/>
        <item x="4"/>
        <item x="83"/>
        <item x="95"/>
        <item x="59"/>
        <item x="40"/>
        <item x="28"/>
        <item x="45"/>
        <item x="64"/>
        <item x="41"/>
        <item x="9"/>
        <item x="6"/>
        <item x="72"/>
        <item x="25"/>
        <item x="14"/>
        <item x="91"/>
        <item x="62"/>
        <item x="8"/>
        <item x="50"/>
        <item x="78"/>
        <item x="94"/>
        <item x="92"/>
        <item x="11"/>
        <item x="29"/>
        <item x="65"/>
        <item x="89"/>
        <item x="81"/>
        <item x="86"/>
        <item x="55"/>
        <item x="31"/>
        <item x="44"/>
        <item x="60"/>
        <item x="75"/>
        <item x="5"/>
        <item x="38"/>
        <item x="1"/>
        <item x="84"/>
        <item x="10"/>
        <item x="56"/>
        <item x="30"/>
        <item x="23"/>
        <item x="36"/>
        <item x="87"/>
        <item x="18"/>
        <item x="51"/>
        <item x="12"/>
        <item x="96"/>
        <item x="67"/>
        <item x="70"/>
        <item x="82"/>
        <item x="49"/>
        <item x="48"/>
        <item x="39"/>
        <item x="19"/>
        <item x="88"/>
        <item x="13"/>
        <item t="default"/>
      </items>
      <autoSortScope>
        <pivotArea dataOnly="0" outline="0" fieldPosition="0">
          <references count="1">
            <reference field="4294967294" count="1" selected="0">
              <x v="0"/>
            </reference>
          </references>
        </pivotArea>
      </autoSortScope>
    </pivotField>
    <pivotField showAll="0"/>
    <pivotField numFmtId="4" showAll="0"/>
    <pivotField dataField="1" numFmtId="4" showAll="0"/>
    <pivotField numFmtId="164" showAll="0"/>
    <pivotField numFmtId="4" showAll="0"/>
    <pivotField numFmtId="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8"/>
  </rowFields>
  <rowItems count="11">
    <i>
      <x v="69"/>
    </i>
    <i>
      <x v="60"/>
    </i>
    <i>
      <x v="27"/>
    </i>
    <i>
      <x/>
    </i>
    <i>
      <x v="6"/>
    </i>
    <i>
      <x v="74"/>
    </i>
    <i>
      <x v="59"/>
    </i>
    <i>
      <x v="61"/>
    </i>
    <i>
      <x v="56"/>
    </i>
    <i>
      <x v="89"/>
    </i>
    <i t="grand">
      <x/>
    </i>
  </rowItems>
  <colItems count="1">
    <i/>
  </colItems>
  <dataFields count="1">
    <dataField name="Sum of Sales" fld="11" baseField="0" baseItem="0" numFmtId="4"/>
  </dataFields>
  <formats count="1">
    <format dxfId="52">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037EA46-45DC-4324-9B63-9E0D4D911498}" name="RegionSales"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location ref="A4:B9"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ncludeNewItemsInFilter="1"/>
    <pivotField showAll="0"/>
    <pivotField numFmtId="4" showAll="0"/>
    <pivotField dataField="1" numFmtId="4" showAll="0"/>
    <pivotField numFmtId="164" showAll="0"/>
    <pivotField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4"/>
  </rowFields>
  <rowItems count="5">
    <i>
      <x v="1"/>
    </i>
    <i>
      <x v="3"/>
    </i>
    <i>
      <x/>
    </i>
    <i>
      <x v="2"/>
    </i>
    <i t="grand">
      <x/>
    </i>
  </rowItems>
  <colItems count="1">
    <i/>
  </colItems>
  <dataFields count="1">
    <dataField name="Sum of Sales" fld="11" baseField="0" baseItem="0" numFmtId="166"/>
  </dataFields>
  <formats count="1">
    <format dxfId="53">
      <pivotArea outline="0" collapsedLevelsAreSubtotals="1" fieldPosition="0"/>
    </format>
  </formats>
  <conditionalFormats count="1">
    <conditionalFormat priority="36">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chartFormats count="14">
    <chartFormat chart="12"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4" count="1" selected="0">
            <x v="1"/>
          </reference>
        </references>
      </pivotArea>
    </chartFormat>
    <chartFormat chart="23" format="8">
      <pivotArea type="data" outline="0" fieldPosition="0">
        <references count="2">
          <reference field="4294967294" count="1" selected="0">
            <x v="0"/>
          </reference>
          <reference field="4" count="1" selected="0">
            <x v="3"/>
          </reference>
        </references>
      </pivotArea>
    </chartFormat>
    <chartFormat chart="23" format="9">
      <pivotArea type="data" outline="0" fieldPosition="0">
        <references count="2">
          <reference field="4294967294" count="1" selected="0">
            <x v="0"/>
          </reference>
          <reference field="4" count="1" selected="0">
            <x v="0"/>
          </reference>
        </references>
      </pivotArea>
    </chartFormat>
    <chartFormat chart="23" format="10">
      <pivotArea type="data" outline="0" fieldPosition="0">
        <references count="2">
          <reference field="4294967294" count="1" selected="0">
            <x v="0"/>
          </reference>
          <reference field="4" count="1" selected="0">
            <x v="2"/>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7" format="16" series="1">
      <pivotArea type="data" outline="0" fieldPosition="0">
        <references count="1">
          <reference field="4294967294" count="1" selected="0">
            <x v="0"/>
          </reference>
        </references>
      </pivotArea>
    </chartFormat>
    <chartFormat chart="37" format="17">
      <pivotArea type="data" outline="0" fieldPosition="0">
        <references count="2">
          <reference field="4294967294" count="1" selected="0">
            <x v="0"/>
          </reference>
          <reference field="4" count="1" selected="0">
            <x v="1"/>
          </reference>
        </references>
      </pivotArea>
    </chartFormat>
    <chartFormat chart="37" format="18">
      <pivotArea type="data" outline="0" fieldPosition="0">
        <references count="2">
          <reference field="4294967294" count="1" selected="0">
            <x v="0"/>
          </reference>
          <reference field="4" count="1" selected="0">
            <x v="3"/>
          </reference>
        </references>
      </pivotArea>
    </chartFormat>
    <chartFormat chart="37" format="19">
      <pivotArea type="data" outline="0" fieldPosition="0">
        <references count="2">
          <reference field="4294967294" count="1" selected="0">
            <x v="0"/>
          </reference>
          <reference field="4" count="1" selected="0">
            <x v="0"/>
          </reference>
        </references>
      </pivotArea>
    </chartFormat>
    <chartFormat chart="37" format="20">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B2236C1-8174-4CE6-8B9B-879D60DDF889}" name="PivotTable27"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rowHeaderCaption="Customer Segment">
  <location ref="A39:B46"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axis="axisRow" showAll="0" sortType="descending">
      <items count="7">
        <item x="4"/>
        <item x="2"/>
        <item x="5"/>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4" showAll="0"/>
    <pivotField numFmtId="4" showAll="0"/>
    <pivotField numFmtId="164" showAll="0"/>
    <pivotField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6"/>
  </rowFields>
  <rowItems count="7">
    <i>
      <x/>
    </i>
    <i>
      <x v="2"/>
    </i>
    <i>
      <x v="5"/>
    </i>
    <i>
      <x v="3"/>
    </i>
    <i>
      <x v="4"/>
    </i>
    <i>
      <x v="1"/>
    </i>
    <i t="grand">
      <x/>
    </i>
  </rowItems>
  <colItems count="1">
    <i/>
  </colItems>
  <dataFields count="1">
    <dataField name="Sum of Quantity"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2989840-681F-4B03-BC22-1EBF13E38265}" name="PivotTable32"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105:D119" firstHeaderRow="1" firstDataRow="2"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x="1"/>
        <item sd="0" x="2"/>
        <item sd="0" x="3"/>
        <item t="default"/>
      </items>
    </pivotField>
    <pivotField dragToRow="0" dragToCol="0" dragToPage="0" showAll="0" defaultSubtotal="0"/>
  </pivotFields>
  <rowFields count="1">
    <field x="17"/>
  </rowFields>
  <rowItems count="13">
    <i>
      <x v="1"/>
    </i>
    <i>
      <x v="2"/>
    </i>
    <i>
      <x v="3"/>
    </i>
    <i>
      <x v="4"/>
    </i>
    <i>
      <x v="5"/>
    </i>
    <i>
      <x v="6"/>
    </i>
    <i>
      <x v="7"/>
    </i>
    <i>
      <x v="8"/>
    </i>
    <i>
      <x v="9"/>
    </i>
    <i>
      <x v="10"/>
    </i>
    <i>
      <x v="11"/>
    </i>
    <i>
      <x v="12"/>
    </i>
    <i t="grand">
      <x/>
    </i>
  </rowItems>
  <colFields count="1">
    <field x="19"/>
  </colFields>
  <colItems count="3">
    <i>
      <x v="1"/>
    </i>
    <i>
      <x v="2"/>
    </i>
    <i t="grand">
      <x/>
    </i>
  </colItems>
  <dataFields count="1">
    <dataField name="Sum of Sales" fld="11" baseField="0" baseItem="0" numFmtId="166"/>
  </dataFields>
  <formats count="1">
    <format dxfId="54">
      <pivotArea outline="0" collapsedLevelsAreSubtotals="1" fieldPosition="0"/>
    </format>
  </formats>
  <conditionalFormats count="2">
    <conditionalFormat priority="32">
      <pivotAreas count="1">
        <pivotArea type="data" collapsedLevelsAreSubtotals="1" fieldPosition="0">
          <references count="3">
            <reference field="4294967294" count="1" selected="0">
              <x v="0"/>
            </reference>
            <reference field="17" count="12">
              <x v="1"/>
              <x v="2"/>
              <x v="3"/>
              <x v="4"/>
              <x v="5"/>
              <x v="6"/>
              <x v="7"/>
              <x v="8"/>
              <x v="9"/>
              <x v="10"/>
              <x v="11"/>
              <x v="12"/>
            </reference>
            <reference field="19" count="1" selected="0">
              <x v="2"/>
            </reference>
          </references>
        </pivotArea>
      </pivotAreas>
    </conditionalFormat>
    <conditionalFormat priority="33">
      <pivotAreas count="1">
        <pivotArea type="data" collapsedLevelsAreSubtotals="1" fieldPosition="0">
          <references count="3">
            <reference field="4294967294" count="1" selected="0">
              <x v="0"/>
            </reference>
            <reference field="17" count="12">
              <x v="1"/>
              <x v="2"/>
              <x v="3"/>
              <x v="4"/>
              <x v="5"/>
              <x v="6"/>
              <x v="7"/>
              <x v="8"/>
              <x v="9"/>
              <x v="10"/>
              <x v="11"/>
              <x v="12"/>
            </reference>
            <reference field="19"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664A270-2366-4813-91F1-ADF6CF6111CB}" name="PivotTable41"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
  <location ref="A184:C207" firstHeaderRow="0"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items count="5">
        <item x="0"/>
        <item x="3"/>
        <item x="2"/>
        <item sd="0" x="1"/>
        <item t="default"/>
      </items>
    </pivotField>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2">
    <field x="4"/>
    <field x="6"/>
  </rowFields>
  <rowItems count="23">
    <i>
      <x/>
    </i>
    <i r="1">
      <x/>
    </i>
    <i r="1">
      <x v="1"/>
    </i>
    <i r="1">
      <x v="2"/>
    </i>
    <i r="1">
      <x v="3"/>
    </i>
    <i r="1">
      <x v="4"/>
    </i>
    <i r="1">
      <x v="5"/>
    </i>
    <i>
      <x v="1"/>
    </i>
    <i r="1">
      <x/>
    </i>
    <i r="1">
      <x v="1"/>
    </i>
    <i r="1">
      <x v="2"/>
    </i>
    <i r="1">
      <x v="3"/>
    </i>
    <i r="1">
      <x v="4"/>
    </i>
    <i r="1">
      <x v="5"/>
    </i>
    <i>
      <x v="2"/>
    </i>
    <i r="1">
      <x/>
    </i>
    <i r="1">
      <x v="1"/>
    </i>
    <i r="1">
      <x v="2"/>
    </i>
    <i r="1">
      <x v="3"/>
    </i>
    <i r="1">
      <x v="4"/>
    </i>
    <i r="1">
      <x v="5"/>
    </i>
    <i>
      <x v="3"/>
    </i>
    <i t="grand">
      <x/>
    </i>
  </rowItems>
  <colFields count="1">
    <field x="-2"/>
  </colFields>
  <colItems count="2">
    <i>
      <x/>
    </i>
    <i i="1">
      <x v="1"/>
    </i>
  </colItems>
  <dataFields count="2">
    <dataField name="Sum of Sales" fld="11" baseField="0" baseItem="0" numFmtId="10">
      <extLst>
        <ext xmlns:x14="http://schemas.microsoft.com/office/spreadsheetml/2009/9/main" uri="{E15A36E0-9728-4e99-A89B-3F7291B0FE68}">
          <x14:dataField pivotShowAs="percentOfParentRow"/>
        </ext>
      </extLst>
    </dataField>
    <dataField name="Sum of Sales2" fld="11" showDataAs="percentOfTotal" baseField="0" baseItem="0" numFmtId="10"/>
  </dataFields>
  <formats count="3">
    <format dxfId="57">
      <pivotArea outline="0" collapsedLevelsAreSubtotals="1" fieldPosition="0"/>
    </format>
    <format dxfId="56">
      <pivotArea outline="0" fieldPosition="0">
        <references count="1">
          <reference field="4294967294" count="1">
            <x v="0"/>
          </reference>
        </references>
      </pivotArea>
    </format>
    <format dxfId="55">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75F154F-C7C3-43A4-AAF5-503CA15A260C}" name="PivotTable47"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gion">
  <location ref="A282:B287"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items count="5">
        <item x="0"/>
        <item x="3"/>
        <item x="2"/>
        <item x="1"/>
        <item t="default"/>
      </items>
    </pivotField>
    <pivotField showAll="0"/>
    <pivotField showAll="0"/>
    <pivotField showAll="0"/>
    <pivotField showAll="0"/>
    <pivotField showAll="0"/>
    <pivotField numFmtId="4" showAll="0"/>
    <pivotField numFmtId="4" showAll="0"/>
    <pivotField numFmtId="164" showAll="0"/>
    <pivotField numFmtId="4" showAll="0"/>
    <pivotField numFmtId="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ataField="1" dragToRow="0" dragToCol="0" dragToPage="0" showAll="0" defaultSubtotal="0"/>
  </pivotFields>
  <rowFields count="1">
    <field x="4"/>
  </rowFields>
  <rowItems count="5">
    <i>
      <x/>
    </i>
    <i>
      <x v="1"/>
    </i>
    <i>
      <x v="2"/>
    </i>
    <i>
      <x v="3"/>
    </i>
    <i t="grand">
      <x/>
    </i>
  </rowItems>
  <colItems count="1">
    <i/>
  </colItems>
  <dataFields count="1">
    <dataField name="Sum of Net Sales" fld="20" baseField="0" baseItem="0" numFmtId="166"/>
  </dataFields>
  <formats count="1">
    <format dxfId="58">
      <pivotArea outline="0" collapsedLevelsAreSubtotals="1" fieldPosition="0"/>
    </format>
  </formats>
  <conditionalFormats count="1">
    <conditionalFormat priority="21">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584628C-CE06-4AB7-A1E4-D43725CA4BAA}" name="PivotTable52"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A350:C379" firstHeaderRow="0"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measureFilter="1" sortType="ascending">
      <autoSortScope>
        <pivotArea dataOnly="0" outline="0" fieldPosition="0">
          <references count="1">
            <reference field="4294967294" count="1" selected="0">
              <x v="1"/>
            </reference>
          </references>
        </pivotArea>
      </autoSortScope>
    </pivotField>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dataField="1" numFmtId="4" showAll="0"/>
    <pivotField numFmtId="4" showAll="0"/>
    <pivotField showAll="0"/>
    <pivotField multipleItemSelectionAllowe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2">
    <field x="4"/>
    <field x="6"/>
  </rowFields>
  <rowItems count="29">
    <i>
      <x v="1"/>
    </i>
    <i r="1">
      <x/>
    </i>
    <i r="1">
      <x v="1"/>
    </i>
    <i r="1">
      <x v="2"/>
    </i>
    <i r="1">
      <x v="3"/>
    </i>
    <i r="1">
      <x v="4"/>
    </i>
    <i r="1">
      <x v="5"/>
    </i>
    <i>
      <x v="3"/>
    </i>
    <i r="1">
      <x/>
    </i>
    <i r="1">
      <x v="1"/>
    </i>
    <i r="1">
      <x v="2"/>
    </i>
    <i r="1">
      <x v="3"/>
    </i>
    <i r="1">
      <x v="4"/>
    </i>
    <i r="1">
      <x v="5"/>
    </i>
    <i>
      <x/>
    </i>
    <i r="1">
      <x/>
    </i>
    <i r="1">
      <x v="1"/>
    </i>
    <i r="1">
      <x v="2"/>
    </i>
    <i r="1">
      <x v="3"/>
    </i>
    <i r="1">
      <x v="4"/>
    </i>
    <i r="1">
      <x v="5"/>
    </i>
    <i>
      <x v="2"/>
    </i>
    <i r="1">
      <x/>
    </i>
    <i r="1">
      <x v="1"/>
    </i>
    <i r="1">
      <x v="2"/>
    </i>
    <i r="1">
      <x v="3"/>
    </i>
    <i r="1">
      <x v="4"/>
    </i>
    <i r="1">
      <x v="5"/>
    </i>
    <i t="grand">
      <x/>
    </i>
  </rowItems>
  <colFields count="1">
    <field x="-2"/>
  </colFields>
  <colItems count="2">
    <i>
      <x/>
    </i>
    <i i="1">
      <x v="1"/>
    </i>
  </colItems>
  <dataFields count="2">
    <dataField name="Sum of Sales" fld="11" baseField="0" baseItem="0" numFmtId="4"/>
    <dataField name="Sum of Profit" fld="13" baseField="0" baseItem="0" numFmtId="166"/>
  </dataFields>
  <formats count="1">
    <format dxfId="59">
      <pivotArea outline="0" collapsedLevelsAreSubtotals="1" fieldPosition="0"/>
    </format>
  </formats>
  <conditionalFormats count="2">
    <conditionalFormat priority="16">
      <pivotAreas count="1">
        <pivotArea type="data" collapsedLevelsAreSubtotals="1" fieldPosition="0">
          <references count="2">
            <reference field="4294967294" count="1" selected="0">
              <x v="1"/>
            </reference>
            <reference field="4" count="4">
              <x v="0"/>
              <x v="1"/>
              <x v="2"/>
              <x v="3"/>
            </reference>
          </references>
        </pivotArea>
      </pivotAreas>
    </conditionalFormat>
    <conditionalFormat priority="17">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pivotTableStyleInfo name="PivotStyleLight16" showRowHeaders="1" showColHeaders="1" showRowStripes="0" showColStripes="0" showLastColumn="1"/>
  <filters count="1">
    <filter fld="5" type="count" evalOrder="-1" id="3"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B9741B4-2ABA-4D13-9F91-DB220DC7E476}" name="PivotTable36"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F126:I132" firstHeaderRow="1" firstDataRow="2"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18"/>
  </rowFields>
  <rowItems count="5">
    <i>
      <x v="1"/>
    </i>
    <i>
      <x v="2"/>
    </i>
    <i>
      <x v="3"/>
    </i>
    <i>
      <x v="4"/>
    </i>
    <i t="grand">
      <x/>
    </i>
  </rowItems>
  <colFields count="1">
    <field x="19"/>
  </colFields>
  <colItems count="3">
    <i>
      <x v="1"/>
    </i>
    <i>
      <x v="2"/>
    </i>
    <i t="grand">
      <x/>
    </i>
  </colItems>
  <dataFields count="1">
    <dataField name="Sum of Sales" fld="11" showDataAs="percentDiff" baseField="19" baseItem="1048828" numFmtId="10"/>
  </dataFields>
  <formats count="2">
    <format dxfId="61">
      <pivotArea outline="0" collapsedLevelsAreSubtotals="1" fieldPosition="0"/>
    </format>
    <format dxfId="6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435EA11-7CFF-4C77-B81C-FB0ABD747833}" name="PivotTable46"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270:C277" firstHeaderRow="0" firstDataRow="1" firstDataCol="1"/>
  <pivotFields count="21">
    <pivotField dataField="1"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6"/>
  </rowFields>
  <rowItems count="7">
    <i>
      <x/>
    </i>
    <i>
      <x v="1"/>
    </i>
    <i>
      <x v="2"/>
    </i>
    <i>
      <x v="3"/>
    </i>
    <i>
      <x v="4"/>
    </i>
    <i>
      <x v="5"/>
    </i>
    <i t="grand">
      <x/>
    </i>
  </rowItems>
  <colFields count="1">
    <field x="-2"/>
  </colFields>
  <colItems count="2">
    <i>
      <x/>
    </i>
    <i i="1">
      <x v="1"/>
    </i>
  </colItems>
  <dataFields count="2">
    <dataField name="Count of Order ID" fld="0" subtotal="count" baseField="0" baseItem="0"/>
    <dataField name="Sum of Sales" fld="11" baseField="0" baseItem="0" numFmtId="166"/>
  </dataFields>
  <formats count="3">
    <format dxfId="64">
      <pivotArea outline="0" collapsedLevelsAreSubtotals="1" fieldPosition="0"/>
    </format>
    <format dxfId="63">
      <pivotArea outline="0" fieldPosition="0">
        <references count="1">
          <reference field="4294967294" count="1">
            <x v="1"/>
          </reference>
        </references>
      </pivotArea>
    </format>
    <format dxfId="6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821FD75-D91E-4CD1-BF56-547D117FEAC4}" name="PivotTable26"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28:C32" firstHeaderRow="0" firstDataRow="1" firstDataCol="1"/>
  <pivotFields count="21">
    <pivotField dataField="1"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numFmtId="4" showAll="0"/>
    <pivotField numFmtId="4" showAll="0"/>
    <pivotField numFmtId="164" showAll="0"/>
    <pivotField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3"/>
  </rowFields>
  <rowItems count="4">
    <i>
      <x/>
    </i>
    <i>
      <x v="1"/>
    </i>
    <i>
      <x v="2"/>
    </i>
    <i t="grand">
      <x/>
    </i>
  </rowItems>
  <colFields count="1">
    <field x="-2"/>
  </colFields>
  <colItems count="2">
    <i>
      <x/>
    </i>
    <i i="1">
      <x v="1"/>
    </i>
  </colItems>
  <dataFields count="2">
    <dataField name="# Orders" fld="0" subtotal="count" baseField="0" baseItem="0" numFmtId="1"/>
    <dataField name="Count of Order ID" fld="0" subtotal="count" showDataAs="percentOfCol" baseField="3" baseItem="1" numFmtId="9"/>
  </dataFields>
  <formats count="1">
    <format dxfId="6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BF140A1-25F3-4BD4-A957-E6D401EA458F}" name="PivotTable31"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91:E99" firstHeaderRow="1" firstDataRow="2"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axis="axisCol" showAll="0">
      <items count="4">
        <item x="2"/>
        <item x="0"/>
        <item x="1"/>
        <item t="default"/>
      </items>
    </pivotField>
    <pivotField showAll="0"/>
    <pivotField showAll="0"/>
    <pivotField axis="axisRow" showAll="0">
      <items count="7">
        <item x="4"/>
        <item x="2"/>
        <item x="5"/>
        <item x="0"/>
        <item x="1"/>
        <item x="3"/>
        <item t="default"/>
      </items>
    </pivotField>
    <pivotField showAll="0"/>
    <pivotField showAll="0"/>
    <pivotField showAll="0"/>
    <pivotField numFmtId="4" showAll="0"/>
    <pivotField numFmtId="4" showAll="0"/>
    <pivotField numFmtId="164" showAll="0"/>
    <pivotField dataField="1"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6"/>
  </rowFields>
  <rowItems count="7">
    <i>
      <x/>
    </i>
    <i>
      <x v="1"/>
    </i>
    <i>
      <x v="2"/>
    </i>
    <i>
      <x v="3"/>
    </i>
    <i>
      <x v="4"/>
    </i>
    <i>
      <x v="5"/>
    </i>
    <i t="grand">
      <x/>
    </i>
  </rowItems>
  <colFields count="1">
    <field x="3"/>
  </colFields>
  <colItems count="4">
    <i>
      <x/>
    </i>
    <i>
      <x v="1"/>
    </i>
    <i>
      <x v="2"/>
    </i>
    <i t="grand">
      <x/>
    </i>
  </colItems>
  <dataFields count="1">
    <dataField name="Sum of Profit" fld="13" showDataAs="percentOfRow" baseField="0" baseItem="0" numFmtId="9"/>
  </dataFields>
  <formats count="2">
    <format dxfId="67">
      <pivotArea outline="0" fieldPosition="0">
        <references count="1">
          <reference field="4294967294" count="1">
            <x v="0"/>
          </reference>
        </references>
      </pivotArea>
    </format>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EBC70E4-A9B3-48F3-BB42-9EDFE8D98E8F}" name="PivotTable40"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170:B177"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6"/>
  </rowFields>
  <rowItems count="7">
    <i>
      <x/>
    </i>
    <i>
      <x v="1"/>
    </i>
    <i>
      <x v="2"/>
    </i>
    <i>
      <x v="3"/>
    </i>
    <i>
      <x v="4"/>
    </i>
    <i>
      <x v="5"/>
    </i>
    <i t="grand">
      <x/>
    </i>
  </rowItems>
  <colItems count="1">
    <i/>
  </colItems>
  <dataFields count="1">
    <dataField name="Sum of Sales" fld="11" showDataAs="percentOfTotal" baseField="0" baseItem="0" numFmtId="9"/>
  </dataFields>
  <formats count="2">
    <format dxfId="69">
      <pivotArea outline="0" fieldPosition="0">
        <references count="1">
          <reference field="4294967294" count="1">
            <x v="0"/>
          </reference>
        </references>
      </pivotArea>
    </format>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A632589-CC8C-4153-94FA-1CE599D102C8}" name="PivotTable51"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A339:C344" firstHeaderRow="0"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measureFilter="1" sortType="ascending">
      <autoSortScope>
        <pivotArea dataOnly="0" outline="0" fieldPosition="0">
          <references count="1">
            <reference field="4294967294" count="1" selected="0">
              <x v="1"/>
            </reference>
          </references>
        </pivotArea>
      </autoSortScope>
    </pivotField>
    <pivotField showAll="0"/>
    <pivotField showAll="0"/>
    <pivotField showAll="0"/>
    <pivotField showAll="0"/>
    <pivotField numFmtId="4" showAll="0"/>
    <pivotField dataField="1" numFmtId="4" showAll="0"/>
    <pivotField numFmtId="164" showAll="0"/>
    <pivotField dataField="1" numFmtId="4" showAll="0"/>
    <pivotField numFmtId="4" showAll="0"/>
    <pivotField showAll="0"/>
    <pivotField multipleItemSelectionAllowe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4"/>
  </rowFields>
  <rowItems count="5">
    <i>
      <x v="1"/>
    </i>
    <i>
      <x v="3"/>
    </i>
    <i>
      <x/>
    </i>
    <i>
      <x v="2"/>
    </i>
    <i t="grand">
      <x/>
    </i>
  </rowItems>
  <colFields count="1">
    <field x="-2"/>
  </colFields>
  <colItems count="2">
    <i>
      <x/>
    </i>
    <i i="1">
      <x v="1"/>
    </i>
  </colItems>
  <dataFields count="2">
    <dataField name="Sum of Sales" fld="11" baseField="0" baseItem="0" numFmtId="4"/>
    <dataField name="Sum of Profit" fld="13" baseField="0" baseItem="0" numFmtId="166"/>
  </dataFields>
  <formats count="1">
    <format dxfId="70">
      <pivotArea outline="0" collapsedLevelsAreSubtotals="1" fieldPosition="0"/>
    </format>
  </formats>
  <conditionalFormats count="2">
    <conditionalFormat priority="18">
      <pivotAreas count="1">
        <pivotArea type="data" collapsedLevelsAreSubtotals="1" fieldPosition="0">
          <references count="2">
            <reference field="4294967294" count="1" selected="0">
              <x v="1"/>
            </reference>
            <reference field="4" count="4">
              <x v="0"/>
              <x v="1"/>
              <x v="2"/>
              <x v="3"/>
            </reference>
          </references>
        </pivotArea>
      </pivotAreas>
    </conditionalFormat>
    <conditionalFormat priority="19">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pivotTableStyleInfo name="PivotStyleLight16" showRowHeaders="1" showColHeaders="1" showRowStripes="0" showColStripes="0" showLastColumn="1"/>
  <filters count="1">
    <filter fld="5" type="count" evalOrder="-1" id="3"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531A96F-48D1-406E-9137-81C592304C01}" name="PivotTable30"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80:F85" firstHeaderRow="1" firstDataRow="2" firstDataCol="1"/>
  <pivotFields count="21">
    <pivotField dataField="1"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numFmtId="4" showAll="0"/>
    <pivotField numFmtId="4" showAll="0"/>
    <pivotField numFmtId="164" showAll="0"/>
    <pivotField numFmtId="4" showAll="0"/>
    <pivotField numFmtId="4" showAll="0"/>
    <pivotField showAll="0"/>
    <pivotField axis="axisCol" showAll="0">
      <items count="5">
        <item x="2"/>
        <item x="0"/>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3"/>
  </rowFields>
  <rowItems count="4">
    <i>
      <x/>
    </i>
    <i>
      <x v="1"/>
    </i>
    <i>
      <x v="2"/>
    </i>
    <i t="grand">
      <x/>
    </i>
  </rowItems>
  <colFields count="1">
    <field x="16"/>
  </colFields>
  <colItems count="5">
    <i>
      <x/>
    </i>
    <i>
      <x v="1"/>
    </i>
    <i>
      <x v="2"/>
    </i>
    <i>
      <x v="3"/>
    </i>
    <i t="grand">
      <x/>
    </i>
  </colItems>
  <dataFields count="1">
    <dataField name="Count of Order ID" fld="0" subtotal="count" baseField="0" baseItem="0" numFmtId="1"/>
  </dataFields>
  <formats count="1">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E6E77A3-6975-4FEA-82BB-CF5BED33757B}" name="PivotTable44" cacheId="16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255:E262" firstHeaderRow="0" firstDataRow="1" firstDataCol="1"/>
  <pivotFields count="22">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axis="axisRow" showAll="0">
      <items count="7">
        <item x="4"/>
        <item x="2"/>
        <item x="5"/>
        <item x="0"/>
        <item x="1"/>
        <item x="3"/>
        <item t="default"/>
      </items>
    </pivotField>
    <pivotField showAll="0"/>
    <pivotField showAll="0"/>
    <pivotField showAll="0"/>
    <pivotField numFmtId="4" showAll="0"/>
    <pivotField dataField="1" numFmtId="4" showAll="0"/>
    <pivotField numFmtId="164" showAll="0"/>
    <pivotField dataField="1" numFmtId="4" showAll="0"/>
    <pivotField numFmtId="4" showAll="0"/>
    <pivotField showAll="0"/>
    <pivotField showAll="0"/>
    <pivotField dataField="1" numFmtId="167"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ataField="1" dragToRow="0" dragToCol="0" dragToPage="0" showAll="0" defaultSubtotal="0"/>
  </pivotFields>
  <rowFields count="1">
    <field x="6"/>
  </rowFields>
  <rowItems count="7">
    <i>
      <x/>
    </i>
    <i>
      <x v="1"/>
    </i>
    <i>
      <x v="2"/>
    </i>
    <i>
      <x v="3"/>
    </i>
    <i>
      <x v="4"/>
    </i>
    <i>
      <x v="5"/>
    </i>
    <i t="grand">
      <x/>
    </i>
  </rowItems>
  <colFields count="1">
    <field x="-2"/>
  </colFields>
  <colItems count="4">
    <i>
      <x/>
    </i>
    <i i="1">
      <x v="1"/>
    </i>
    <i i="2">
      <x v="2"/>
    </i>
    <i i="3">
      <x v="3"/>
    </i>
  </colItems>
  <dataFields count="4">
    <dataField name="Sum of Profit" fld="13" baseField="0" baseItem="0" numFmtId="169"/>
    <dataField name="Sum of Sales" fld="11" baseField="0" baseItem="0" numFmtId="166"/>
    <dataField name="Average of PM Data" fld="17" subtotal="average" baseField="6" baseItem="0" numFmtId="167"/>
    <dataField name="Average of PM Calc" fld="21" subtotal="average" baseField="6" baseItem="0" numFmtId="4"/>
  </dataFields>
  <formats count="4">
    <format dxfId="75">
      <pivotArea outline="0" collapsedLevelsAreSubtotals="1" fieldPosition="0"/>
    </format>
    <format dxfId="74">
      <pivotArea outline="0" collapsedLevelsAreSubtotals="1" fieldPosition="0">
        <references count="1">
          <reference field="4294967294" count="2" selected="0">
            <x v="0"/>
            <x v="1"/>
          </reference>
        </references>
      </pivotArea>
    </format>
    <format dxfId="73">
      <pivotArea outline="0" collapsedLevelsAreSubtotals="1" fieldPosition="0">
        <references count="1">
          <reference field="4294967294" count="1" selected="0">
            <x v="1"/>
          </reference>
        </references>
      </pivotArea>
    </format>
    <format dxfId="72">
      <pivotArea outline="0" collapsedLevelsAreSubtotals="1" fieldPosition="0">
        <references count="1">
          <reference field="4294967294" count="1" selected="0">
            <x v="0"/>
          </reference>
        </references>
      </pivotArea>
    </format>
  </formats>
  <conditionalFormats count="1">
    <conditionalFormat priority="23">
      <pivotAreas count="1">
        <pivotArea type="data" collapsedLevelsAreSubtotals="1" fieldPosition="0">
          <references count="2">
            <reference field="4294967294" count="1" selected="0">
              <x v="3"/>
            </reference>
            <reference field="6"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777B15B-8EC4-4E6F-B19B-3373C3218ACA}" name="PivotTable50"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A326:B332"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axis="axisRow" showAll="0" measureFilter="1" sortType="ascending">
      <items count="15">
        <item x="0"/>
        <item x="5"/>
        <item x="13"/>
        <item x="7"/>
        <item x="9"/>
        <item x="2"/>
        <item x="3"/>
        <item x="12"/>
        <item x="6"/>
        <item x="1"/>
        <item x="11"/>
        <item x="8"/>
        <item x="1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4" showAll="0"/>
    <pivotField numFmtId="4" showAll="0"/>
    <pivotField numFmtId="164" showAll="0"/>
    <pivotField dataField="1" numFmtId="4" showAll="0"/>
    <pivotField numFmtId="4" showAll="0"/>
    <pivotField showAll="0"/>
    <pivotField multipleItemSelectionAllowe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5"/>
  </rowFields>
  <rowItems count="6">
    <i>
      <x v="1"/>
    </i>
    <i>
      <x v="11"/>
    </i>
    <i>
      <x v="12"/>
    </i>
    <i>
      <x v="4"/>
    </i>
    <i>
      <x v="9"/>
    </i>
    <i t="grand">
      <x/>
    </i>
  </rowItems>
  <colItems count="1">
    <i/>
  </colItems>
  <dataFields count="1">
    <dataField name="Sum of Profit" fld="13" baseField="0" baseItem="0" numFmtId="166"/>
  </dataFields>
  <formats count="1">
    <format dxfId="76">
      <pivotArea outline="0" collapsedLevelsAreSubtotals="1" fieldPosition="0"/>
    </format>
  </formats>
  <pivotTableStyleInfo name="PivotStyleLight16" showRowHeaders="1" showColHeaders="1" showRowStripes="0" showColStripes="0" showLastColumn="1"/>
  <filters count="1">
    <filter fld="5"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9B7D57F7-A91C-494B-A5C8-E0034A65252E}" name="PivotTable25"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15:B22"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axis="axisRow" showAll="0" sortType="ascending">
      <items count="7">
        <item x="4"/>
        <item x="2"/>
        <item x="5"/>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 showAll="0"/>
    <pivotField numFmtId="4" showAll="0"/>
    <pivotField numFmtId="164" showAll="0"/>
    <pivotField dataField="1"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6"/>
  </rowFields>
  <rowItems count="7">
    <i>
      <x v="1"/>
    </i>
    <i>
      <x/>
    </i>
    <i>
      <x v="2"/>
    </i>
    <i>
      <x v="4"/>
    </i>
    <i>
      <x v="5"/>
    </i>
    <i>
      <x v="3"/>
    </i>
    <i t="grand">
      <x/>
    </i>
  </rowItems>
  <colItems count="1">
    <i/>
  </colItems>
  <dataFields count="1">
    <dataField name="Average of Profit" fld="13" subtotal="average" baseField="6" baseItem="1" numFmtId="4"/>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1FC2FF52-455E-425D-BB15-1A43E8248FF2}" name="PivotTable35"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126:D132" firstHeaderRow="1" firstDataRow="2"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18"/>
  </rowFields>
  <rowItems count="5">
    <i>
      <x v="1"/>
    </i>
    <i>
      <x v="2"/>
    </i>
    <i>
      <x v="3"/>
    </i>
    <i>
      <x v="4"/>
    </i>
    <i t="grand">
      <x/>
    </i>
  </rowItems>
  <colFields count="1">
    <field x="19"/>
  </colFields>
  <colItems count="3">
    <i>
      <x v="1"/>
    </i>
    <i>
      <x v="2"/>
    </i>
    <i t="grand">
      <x/>
    </i>
  </colItems>
  <dataFields count="1">
    <dataField name="Sum of Sales" fld="11" showDataAs="percentOfCol" baseField="0" baseItem="0" numFmtId="10"/>
  </dataFields>
  <formats count="2">
    <format dxfId="79">
      <pivotArea outline="0" collapsedLevelsAreSubtotals="1" fieldPosition="0"/>
    </format>
    <format dxfId="7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A65CF2D5-96BF-421D-BCE6-01436B617991}" name="PivotTable39"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150:B163"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17"/>
  </rowFields>
  <rowItems count="13">
    <i>
      <x v="1"/>
    </i>
    <i>
      <x v="2"/>
    </i>
    <i>
      <x v="3"/>
    </i>
    <i>
      <x v="4"/>
    </i>
    <i>
      <x v="5"/>
    </i>
    <i>
      <x v="6"/>
    </i>
    <i>
      <x v="7"/>
    </i>
    <i>
      <x v="8"/>
    </i>
    <i>
      <x v="9"/>
    </i>
    <i>
      <x v="10"/>
    </i>
    <i>
      <x v="11"/>
    </i>
    <i>
      <x v="12"/>
    </i>
    <i t="grand">
      <x/>
    </i>
  </rowItems>
  <colItems count="1">
    <i/>
  </colItems>
  <dataFields count="1">
    <dataField name="Sum of Sales" fld="11" baseField="0" baseItem="0" numFmtId="166"/>
  </dataFields>
  <formats count="2">
    <format dxfId="81">
      <pivotArea outline="0" collapsedLevelsAreSubtotals="1" fieldPosition="0"/>
    </format>
    <format dxfId="80">
      <pivotArea outline="0" fieldPosition="0">
        <references count="1">
          <reference field="4294967294" count="1">
            <x v="0"/>
          </reference>
        </references>
      </pivotArea>
    </format>
  </formats>
  <conditionalFormats count="1">
    <conditionalFormat priority="27">
      <pivotAreas count="1">
        <pivotArea type="data" collapsedLevelsAreSubtotals="1" fieldPosition="0">
          <references count="2">
            <reference field="4294967294" count="1" selected="0">
              <x v="0"/>
            </reference>
            <reference field="17" count="12">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E6155CB3-95D1-47EB-B919-87607812F66E}" name="PivotTable54"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A400:C403" firstHeaderRow="1" firstDataRow="2"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items count="5">
        <item h="1" x="0"/>
        <item h="1" x="3"/>
        <item x="2"/>
        <item h="1" x="1"/>
        <item t="default"/>
      </items>
    </pivotField>
    <pivotField showAll="0"/>
    <pivotField showAll="0"/>
    <pivotField showAll="0"/>
    <pivotField showAll="0"/>
    <pivotField showAll="0"/>
    <pivotField numFmtId="4" showAll="0"/>
    <pivotField dataField="1" numFmtId="4" showAll="0"/>
    <pivotField numFmtId="164" showAll="0"/>
    <pivotField numFmtId="4" showAll="0"/>
    <pivotField numFmtId="4" showAll="0"/>
    <pivotField axis="axisCol" showAll="0">
      <items count="6">
        <item h="1" x="2"/>
        <item h="1" x="1"/>
        <item h="1" x="0"/>
        <item h="1" x="4"/>
        <item x="3"/>
        <item t="default"/>
      </items>
    </pivotField>
    <pivotField multipleItemSelectionAllowe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4"/>
  </rowFields>
  <rowItems count="2">
    <i>
      <x v="2"/>
    </i>
    <i t="grand">
      <x/>
    </i>
  </rowItems>
  <colFields count="1">
    <field x="15"/>
  </colFields>
  <colItems count="2">
    <i>
      <x v="4"/>
    </i>
    <i t="grand">
      <x/>
    </i>
  </colItems>
  <dataFields count="1">
    <dataField name="Sum of Sales" fld="11" baseField="0" baseItem="0" numFmtId="4"/>
  </dataFields>
  <formats count="1">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9C570F1C-718B-4921-B565-0A43F2445888}" name="CategoryRegionSales"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Category">
  <location ref="A65:F73" firstHeaderRow="1" firstDataRow="2"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Col" showAll="0">
      <items count="5">
        <item x="0"/>
        <item x="3"/>
        <item x="2"/>
        <item x="1"/>
        <item t="default"/>
      </items>
    </pivotField>
    <pivotField showAll="0"/>
    <pivotField axis="axisRow" showAll="0">
      <items count="7">
        <item x="4"/>
        <item x="2"/>
        <item x="5"/>
        <item x="0"/>
        <item x="1"/>
        <item x="3"/>
        <item t="default"/>
      </items>
    </pivotField>
    <pivotField showAll="0"/>
    <pivotField showAll="0" includeNewItemsInFilter="1"/>
    <pivotField showAll="0"/>
    <pivotField numFmtId="4" showAll="0"/>
    <pivotField dataField="1" numFmtId="4" showAll="0"/>
    <pivotField numFmtId="164" showAll="0"/>
    <pivotField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6"/>
  </rowFields>
  <rowItems count="7">
    <i>
      <x/>
    </i>
    <i>
      <x v="1"/>
    </i>
    <i>
      <x v="2"/>
    </i>
    <i>
      <x v="3"/>
    </i>
    <i>
      <x v="4"/>
    </i>
    <i>
      <x v="5"/>
    </i>
    <i t="grand">
      <x/>
    </i>
  </rowItems>
  <colFields count="1">
    <field x="4"/>
  </colFields>
  <colItems count="5">
    <i>
      <x/>
    </i>
    <i>
      <x v="1"/>
    </i>
    <i>
      <x v="2"/>
    </i>
    <i>
      <x v="3"/>
    </i>
    <i t="grand">
      <x/>
    </i>
  </colItems>
  <dataFields count="1">
    <dataField name="Sum of Sales" fld="11" showDataAs="percentOfRow" baseField="6" baseItem="0" numFmtId="9"/>
  </dataFields>
  <formats count="2">
    <format dxfId="26">
      <pivotArea outline="0" fieldPosition="0">
        <references count="1">
          <reference field="4294967294" count="1">
            <x v="0"/>
          </reference>
        </references>
      </pivotArea>
    </format>
    <format dxfId="25">
      <pivotArea outline="0" collapsedLevelsAreSubtotals="1" fieldPosition="0"/>
    </format>
  </formats>
  <chartFormats count="4">
    <chartFormat chart="17" format="16" series="1">
      <pivotArea type="data" outline="0" fieldPosition="0">
        <references count="2">
          <reference field="4294967294" count="1" selected="0">
            <x v="0"/>
          </reference>
          <reference field="4" count="1" selected="0">
            <x v="0"/>
          </reference>
        </references>
      </pivotArea>
    </chartFormat>
    <chartFormat chart="17" format="17" series="1">
      <pivotArea type="data" outline="0" fieldPosition="0">
        <references count="2">
          <reference field="4294967294" count="1" selected="0">
            <x v="0"/>
          </reference>
          <reference field="4" count="1" selected="0">
            <x v="1"/>
          </reference>
        </references>
      </pivotArea>
    </chartFormat>
    <chartFormat chart="17" format="18" series="1">
      <pivotArea type="data" outline="0" fieldPosition="0">
        <references count="2">
          <reference field="4294967294" count="1" selected="0">
            <x v="0"/>
          </reference>
          <reference field="4" count="1" selected="0">
            <x v="2"/>
          </reference>
        </references>
      </pivotArea>
    </chartFormat>
    <chartFormat chart="17" format="19"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288D2D5F-4E40-43F0-A9A6-1C28871E5D19}" name="PivotTable38"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L126:O132" firstHeaderRow="1" firstDataRow="2"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18"/>
  </rowFields>
  <rowItems count="5">
    <i>
      <x v="1"/>
    </i>
    <i>
      <x v="2"/>
    </i>
    <i>
      <x v="3"/>
    </i>
    <i>
      <x v="4"/>
    </i>
    <i t="grand">
      <x/>
    </i>
  </rowItems>
  <colFields count="1">
    <field x="19"/>
  </colFields>
  <colItems count="3">
    <i>
      <x v="1"/>
    </i>
    <i>
      <x v="2"/>
    </i>
    <i t="grand">
      <x/>
    </i>
  </colItems>
  <dataFields count="1">
    <dataField name="Sum of Sales" fld="11" showDataAs="percentDiff" baseField="18" baseItem="1048828" numFmtId="10"/>
  </dataFields>
  <formats count="2">
    <format dxfId="84">
      <pivotArea outline="0" collapsedLevelsAreSubtotals="1" fieldPosition="0"/>
    </format>
    <format dxfId="8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E38B8AC0-1B6B-4152-A9EE-A17FF9FA85A2}" name="PivotTable43"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Segment">
  <location ref="A235:D249" firstHeaderRow="1" firstDataRow="2"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pivotField showAll="0"/>
    <pivotField showAll="0"/>
    <pivotField showAll="0"/>
    <pivotField showAll="0"/>
    <pivotField showAll="0"/>
    <pivotField numFmtId="4" showAll="0"/>
    <pivotField dataField="1" numFmtId="4" showAll="0"/>
    <pivotField numFmtId="164" showAll="0"/>
    <pivotField numFmtId="4" showAll="0"/>
    <pivotField numFmtId="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17"/>
  </rowFields>
  <rowItems count="13">
    <i>
      <x v="1"/>
    </i>
    <i>
      <x v="2"/>
    </i>
    <i>
      <x v="3"/>
    </i>
    <i>
      <x v="4"/>
    </i>
    <i>
      <x v="5"/>
    </i>
    <i>
      <x v="6"/>
    </i>
    <i>
      <x v="7"/>
    </i>
    <i>
      <x v="8"/>
    </i>
    <i>
      <x v="9"/>
    </i>
    <i>
      <x v="10"/>
    </i>
    <i>
      <x v="11"/>
    </i>
    <i>
      <x v="12"/>
    </i>
    <i t="grand">
      <x/>
    </i>
  </rowItems>
  <colFields count="1">
    <field x="19"/>
  </colFields>
  <colItems count="3">
    <i>
      <x v="1"/>
    </i>
    <i>
      <x v="2"/>
    </i>
    <i t="grand">
      <x/>
    </i>
  </colItems>
  <dataFields count="1">
    <dataField name="Sum of Sales" fld="11" showDataAs="percentDiff" baseField="17" baseItem="1048828" numFmtId="10"/>
  </dataFields>
  <formats count="2">
    <format dxfId="86">
      <pivotArea outline="0" collapsedLevelsAreSubtotals="1" fieldPosition="0"/>
    </format>
    <format dxfId="85">
      <pivotArea outline="0" fieldPosition="0">
        <references count="1">
          <reference field="4294967294" count="1">
            <x v="0"/>
          </reference>
        </references>
      </pivotArea>
    </format>
  </formats>
  <conditionalFormats count="1">
    <conditionalFormat priority="24">
      <pivotAreas count="1">
        <pivotArea type="data" collapsedLevelsAreSubtotals="1" fieldPosition="0">
          <references count="2">
            <reference field="4294967294" count="1" selected="0">
              <x v="0"/>
            </reference>
            <reference field="17" count="12">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4F7B543C-93AF-4836-AC33-D69D8B0FBCBF}" name="PivotTable97"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5">
  <location ref="I3:K8" firstHeaderRow="0"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items count="5">
        <item x="0"/>
        <item x="3"/>
        <item x="2"/>
        <item x="1"/>
        <item t="default"/>
      </items>
    </pivotField>
    <pivotField showAll="0"/>
    <pivotField showAll="0">
      <items count="7">
        <item x="4"/>
        <item x="2"/>
        <item x="5"/>
        <item x="0"/>
        <item x="1"/>
        <item x="3"/>
        <item t="default"/>
      </items>
    </pivotField>
    <pivotField showAll="0"/>
    <pivotField showAll="0" includeNewItemsInFilter="1"/>
    <pivotField showAll="0"/>
    <pivotField numFmtId="4" showAll="0"/>
    <pivotField numFmtId="4" showAll="0"/>
    <pivotField dataField="1" numFmtId="164" showAll="0"/>
    <pivotField numFmtId="4" showAll="0"/>
    <pivotField dataField="1"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 Discount" fld="12" subtotal="average" baseField="0" baseItem="0" numFmtId="176"/>
    <dataField name="ShippingCost" fld="14" baseField="0" baseItem="0" numFmtId="189"/>
  </dataFields>
  <formats count="3">
    <format dxfId="4">
      <pivotArea outline="0" collapsedLevelsAreSubtotals="1" fieldPosition="0"/>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chartFormats count="12">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0" format="2">
      <pivotArea type="data" outline="0" fieldPosition="0">
        <references count="2">
          <reference field="4294967294" count="1" selected="0">
            <x v="0"/>
          </reference>
          <reference field="4" count="1" selected="0">
            <x v="0"/>
          </reference>
        </references>
      </pivotArea>
    </chartFormat>
    <chartFormat chart="40" format="3">
      <pivotArea type="data" outline="0" fieldPosition="0">
        <references count="2">
          <reference field="4294967294" count="1" selected="0">
            <x v="0"/>
          </reference>
          <reference field="4" count="1" selected="0">
            <x v="1"/>
          </reference>
        </references>
      </pivotArea>
    </chartFormat>
    <chartFormat chart="40" format="4">
      <pivotArea type="data" outline="0" fieldPosition="0">
        <references count="2">
          <reference field="4294967294" count="1" selected="0">
            <x v="0"/>
          </reference>
          <reference field="4" count="1" selected="0">
            <x v="2"/>
          </reference>
        </references>
      </pivotArea>
    </chartFormat>
    <chartFormat chart="40" format="5">
      <pivotArea type="data" outline="0" fieldPosition="0">
        <references count="2">
          <reference field="4294967294" count="1" selected="0">
            <x v="0"/>
          </reference>
          <reference field="4" count="1" selected="0">
            <x v="3"/>
          </reference>
        </references>
      </pivotArea>
    </chartFormat>
    <chartFormat chart="44" format="12" series="1">
      <pivotArea type="data" outline="0" fieldPosition="0">
        <references count="1">
          <reference field="4294967294" count="1" selected="0">
            <x v="1"/>
          </reference>
        </references>
      </pivotArea>
    </chartFormat>
    <chartFormat chart="44" format="13" series="1">
      <pivotArea type="data" outline="0" fieldPosition="0">
        <references count="1">
          <reference field="4294967294" count="1" selected="0">
            <x v="0"/>
          </reference>
        </references>
      </pivotArea>
    </chartFormat>
    <chartFormat chart="44" format="14">
      <pivotArea type="data" outline="0" fieldPosition="0">
        <references count="2">
          <reference field="4294967294" count="1" selected="0">
            <x v="0"/>
          </reference>
          <reference field="4" count="1" selected="0">
            <x v="0"/>
          </reference>
        </references>
      </pivotArea>
    </chartFormat>
    <chartFormat chart="44" format="15">
      <pivotArea type="data" outline="0" fieldPosition="0">
        <references count="2">
          <reference field="4294967294" count="1" selected="0">
            <x v="0"/>
          </reference>
          <reference field="4" count="1" selected="0">
            <x v="1"/>
          </reference>
        </references>
      </pivotArea>
    </chartFormat>
    <chartFormat chart="44" format="16">
      <pivotArea type="data" outline="0" fieldPosition="0">
        <references count="2">
          <reference field="4294967294" count="1" selected="0">
            <x v="0"/>
          </reference>
          <reference field="4" count="1" selected="0">
            <x v="2"/>
          </reference>
        </references>
      </pivotArea>
    </chartFormat>
    <chartFormat chart="44" format="17">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3E06FBD8-C699-4A50-90FA-DB05562275DB}" name="PivotTable96" cacheId="211"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51">
  <location ref="D80:E86" firstHeaderRow="1"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showAll="0" sortType="ascending">
      <items count="5">
        <item sd="0" x="0"/>
        <item sd="0" x="3"/>
        <item sd="0" x="2"/>
        <item sd="0" x="1"/>
        <item t="default" sd="0"/>
      </items>
      <autoSortScope>
        <pivotArea dataOnly="0" outline="0" fieldPosition="0">
          <references count="1">
            <reference field="4294967294" count="1" selected="0">
              <x v="0"/>
            </reference>
          </references>
        </pivotArea>
      </autoSortScope>
    </pivotField>
    <pivotField axis="axisRow" showAll="0" measureFilter="1" sortType="ascending">
      <items count="15">
        <item sd="0" x="0"/>
        <item sd="0" x="5"/>
        <item sd="0" x="13"/>
        <item sd="0" x="7"/>
        <item sd="0" x="9"/>
        <item sd="0" x="2"/>
        <item sd="0" x="3"/>
        <item sd="0" x="12"/>
        <item sd="0" x="6"/>
        <item sd="0" x="1"/>
        <item sd="0" x="11"/>
        <item sd="0" x="8"/>
        <item sd="0" x="10"/>
        <item sd="0" x="4"/>
        <item t="default" sd="0"/>
      </items>
      <autoSortScope>
        <pivotArea dataOnly="0" outline="0" fieldPosition="0">
          <references count="1">
            <reference field="4294967294" count="1" selected="0">
              <x v="0"/>
            </reference>
          </references>
        </pivotArea>
      </autoSortScope>
    </pivotField>
    <pivotField showAll="0">
      <items count="7">
        <item x="4"/>
        <item x="2"/>
        <item x="5"/>
        <item x="0"/>
        <item x="1"/>
        <item x="3"/>
        <item t="default"/>
      </items>
    </pivotField>
    <pivotField showAll="0"/>
    <pivotField axis="axisRow" showAll="0" measureFilter="1" includeNewItemsInFilter="1" sortType="ascending">
      <items count="100">
        <item x="0"/>
        <item x="57"/>
        <item x="7"/>
        <item x="98"/>
        <item x="26"/>
        <item x="17"/>
        <item x="68"/>
        <item x="76"/>
        <item x="46"/>
        <item x="2"/>
        <item x="34"/>
        <item x="52"/>
        <item x="21"/>
        <item x="33"/>
        <item x="61"/>
        <item x="79"/>
        <item x="32"/>
        <item x="47"/>
        <item x="58"/>
        <item x="20"/>
        <item x="66"/>
        <item x="85"/>
        <item x="80"/>
        <item x="69"/>
        <item x="97"/>
        <item x="42"/>
        <item x="73"/>
        <item x="15"/>
        <item x="16"/>
        <item x="24"/>
        <item x="63"/>
        <item x="54"/>
        <item x="27"/>
        <item x="22"/>
        <item x="35"/>
        <item x="37"/>
        <item x="71"/>
        <item x="74"/>
        <item x="90"/>
        <item x="43"/>
        <item x="77"/>
        <item x="53"/>
        <item x="3"/>
        <item x="93"/>
        <item x="4"/>
        <item x="83"/>
        <item x="95"/>
        <item x="59"/>
        <item x="40"/>
        <item x="28"/>
        <item x="45"/>
        <item x="64"/>
        <item x="41"/>
        <item x="9"/>
        <item x="6"/>
        <item x="72"/>
        <item x="25"/>
        <item x="14"/>
        <item x="91"/>
        <item x="62"/>
        <item x="8"/>
        <item x="50"/>
        <item x="78"/>
        <item x="94"/>
        <item x="92"/>
        <item x="11"/>
        <item x="29"/>
        <item x="65"/>
        <item x="89"/>
        <item x="81"/>
        <item x="86"/>
        <item x="55"/>
        <item x="31"/>
        <item x="44"/>
        <item x="60"/>
        <item x="75"/>
        <item x="5"/>
        <item x="38"/>
        <item x="1"/>
        <item x="84"/>
        <item x="10"/>
        <item x="56"/>
        <item x="30"/>
        <item x="23"/>
        <item x="36"/>
        <item x="87"/>
        <item x="18"/>
        <item x="51"/>
        <item x="12"/>
        <item x="96"/>
        <item x="67"/>
        <item x="70"/>
        <item x="82"/>
        <item x="49"/>
        <item x="48"/>
        <item x="39"/>
        <item x="19"/>
        <item x="88"/>
        <item x="13"/>
        <item t="default"/>
      </items>
      <autoSortScope>
        <pivotArea dataOnly="0" outline="0" fieldPosition="0">
          <references count="1">
            <reference field="4294967294" count="1" selected="0">
              <x v="0"/>
            </reference>
          </references>
        </pivotArea>
      </autoSortScope>
    </pivotField>
    <pivotField showAll="0"/>
    <pivotField numFmtId="4" showAll="0"/>
    <pivotField numFmtId="4" showAll="0"/>
    <pivotField numFmtId="164" showAll="0"/>
    <pivotField dataField="1"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2">
    <field x="5"/>
    <field x="8"/>
  </rowFields>
  <rowItems count="6">
    <i>
      <x v="12"/>
    </i>
    <i>
      <x v="1"/>
    </i>
    <i>
      <x v="3"/>
    </i>
    <i>
      <x v="5"/>
    </i>
    <i>
      <x v="11"/>
    </i>
    <i>
      <x/>
    </i>
  </rowItems>
  <colItems count="1">
    <i/>
  </colItems>
  <dataFields count="1">
    <dataField name="Sum of Profit" fld="13" baseField="0" baseItem="0" numFmtId="4"/>
  </dataFields>
  <formats count="1">
    <format dxfId="0">
      <pivotArea outline="0" collapsedLevelsAreSubtotals="1" fieldPosition="0"/>
    </format>
  </formats>
  <chartFormats count="1">
    <chartFormat chart="4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valueLessThanOrEqual" evalOrder="-1" id="7" iMeasureFld="0">
      <autoFilter ref="A1">
        <filterColumn colId="0">
          <customFilters>
            <customFilter operator="lessThanOrEqual" val="0"/>
          </customFilters>
        </filterColumn>
      </autoFilter>
    </filter>
    <filter fld="5" type="count" evalOrder="-1" id="8" iMeasureFld="0">
      <autoFilter ref="A1">
        <filterColumn colId="0">
          <top10 top="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C26E3C38-29CE-4AC0-B990-440BE1E2EA1C}" name="SaleProfitRC"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8">
  <location ref="A98:C113" firstHeaderRow="0"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sortType="descending">
      <items count="5">
        <item h="1" x="0"/>
        <item x="3"/>
        <item h="1" x="2"/>
        <item x="1"/>
        <item t="default"/>
      </items>
      <autoSortScope>
        <pivotArea dataOnly="0" outline="0" fieldPosition="0">
          <references count="1">
            <reference field="4294967294" count="1" selected="0">
              <x v="0"/>
            </reference>
          </references>
        </pivotArea>
      </autoSortScope>
    </pivotField>
    <pivotField showAll="0"/>
    <pivotField axis="axisRow" showAll="0">
      <items count="7">
        <item x="4"/>
        <item x="2"/>
        <item x="5"/>
        <item x="0"/>
        <item x="1"/>
        <item x="3"/>
        <item t="default"/>
      </items>
    </pivotField>
    <pivotField showAll="0"/>
    <pivotField showAll="0" includeNewItemsInFilter="1"/>
    <pivotField showAll="0"/>
    <pivotField numFmtId="4" showAll="0"/>
    <pivotField dataField="1" numFmtId="4" showAll="0"/>
    <pivotField numFmtId="164" showAll="0"/>
    <pivotField dataField="1"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2">
    <field x="4"/>
    <field x="6"/>
  </rowFields>
  <rowItems count="15">
    <i>
      <x v="1"/>
    </i>
    <i r="1">
      <x/>
    </i>
    <i r="1">
      <x v="1"/>
    </i>
    <i r="1">
      <x v="2"/>
    </i>
    <i r="1">
      <x v="3"/>
    </i>
    <i r="1">
      <x v="4"/>
    </i>
    <i r="1">
      <x v="5"/>
    </i>
    <i>
      <x v="3"/>
    </i>
    <i r="1">
      <x/>
    </i>
    <i r="1">
      <x v="1"/>
    </i>
    <i r="1">
      <x v="2"/>
    </i>
    <i r="1">
      <x v="3"/>
    </i>
    <i r="1">
      <x v="4"/>
    </i>
    <i r="1">
      <x v="5"/>
    </i>
    <i t="grand">
      <x/>
    </i>
  </rowItems>
  <colFields count="1">
    <field x="-2"/>
  </colFields>
  <colItems count="2">
    <i>
      <x/>
    </i>
    <i i="1">
      <x v="1"/>
    </i>
  </colItems>
  <dataFields count="2">
    <dataField name="Sum of Sales" fld="11" baseField="0" baseItem="0" numFmtId="166"/>
    <dataField name="Sum of Profit" fld="13" baseField="0" baseItem="0" numFmtId="4"/>
  </dataFields>
  <formats count="1">
    <format dxfId="7">
      <pivotArea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chartFormats count="18">
    <chartFormat chart="12"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4" count="1" selected="0">
            <x v="1"/>
          </reference>
        </references>
      </pivotArea>
    </chartFormat>
    <chartFormat chart="23" format="8">
      <pivotArea type="data" outline="0" fieldPosition="0">
        <references count="2">
          <reference field="4294967294" count="1" selected="0">
            <x v="0"/>
          </reference>
          <reference field="4" count="1" selected="0">
            <x v="3"/>
          </reference>
        </references>
      </pivotArea>
    </chartFormat>
    <chartFormat chart="23" format="9">
      <pivotArea type="data" outline="0" fieldPosition="0">
        <references count="2">
          <reference field="4294967294" count="1" selected="0">
            <x v="0"/>
          </reference>
          <reference field="4" count="1" selected="0">
            <x v="0"/>
          </reference>
        </references>
      </pivotArea>
    </chartFormat>
    <chartFormat chart="23" format="10">
      <pivotArea type="data" outline="0" fieldPosition="0">
        <references count="2">
          <reference field="4294967294" count="1" selected="0">
            <x v="0"/>
          </reference>
          <reference field="4" count="1" selected="0">
            <x v="2"/>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7" format="16" series="1">
      <pivotArea type="data" outline="0" fieldPosition="0">
        <references count="1">
          <reference field="4294967294" count="1" selected="0">
            <x v="0"/>
          </reference>
        </references>
      </pivotArea>
    </chartFormat>
    <chartFormat chart="37" format="17">
      <pivotArea type="data" outline="0" fieldPosition="0">
        <references count="2">
          <reference field="4294967294" count="1" selected="0">
            <x v="0"/>
          </reference>
          <reference field="4" count="1" selected="0">
            <x v="1"/>
          </reference>
        </references>
      </pivotArea>
    </chartFormat>
    <chartFormat chart="37" format="18">
      <pivotArea type="data" outline="0" fieldPosition="0">
        <references count="2">
          <reference field="4294967294" count="1" selected="0">
            <x v="0"/>
          </reference>
          <reference field="4" count="1" selected="0">
            <x v="3"/>
          </reference>
        </references>
      </pivotArea>
    </chartFormat>
    <chartFormat chart="37" format="19">
      <pivotArea type="data" outline="0" fieldPosition="0">
        <references count="2">
          <reference field="4294967294" count="1" selected="0">
            <x v="0"/>
          </reference>
          <reference field="4" count="1" selected="0">
            <x v="0"/>
          </reference>
        </references>
      </pivotArea>
    </chartFormat>
    <chartFormat chart="37" format="20">
      <pivotArea type="data" outline="0" fieldPosition="0">
        <references count="2">
          <reference field="4294967294" count="1" selected="0">
            <x v="0"/>
          </reference>
          <reference field="4" count="1" selected="0">
            <x v="2"/>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BC89F449-2CDC-4511-8F34-EFABF54F527E}" name="PivotTable93"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location ref="A62:B67" firstHeaderRow="1" firstDataRow="1" firstDataCol="1" rowPageCount="1" colPageCount="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sortType="ascending">
      <items count="5">
        <item sd="0" x="0"/>
        <item sd="0" x="3"/>
        <item sd="0" x="2"/>
        <item sd="0" x="1"/>
        <item t="default" sd="0"/>
      </items>
      <autoSortScope>
        <pivotArea dataOnly="0" outline="0" fieldPosition="0">
          <references count="1">
            <reference field="4294967294" count="1" selected="0">
              <x v="0"/>
            </reference>
          </references>
        </pivotArea>
      </autoSortScope>
    </pivotField>
    <pivotField showAll="0"/>
    <pivotField axis="axisPage" showAll="0">
      <items count="7">
        <item x="4"/>
        <item x="2"/>
        <item x="5"/>
        <item x="0"/>
        <item x="1"/>
        <item x="3"/>
        <item t="default"/>
      </items>
    </pivotField>
    <pivotField showAll="0"/>
    <pivotField axis="axisRow" showAll="0" measureFilter="1" includeNewItemsInFilter="1">
      <items count="100">
        <item x="0"/>
        <item x="57"/>
        <item x="7"/>
        <item x="98"/>
        <item x="26"/>
        <item x="17"/>
        <item x="68"/>
        <item x="76"/>
        <item x="46"/>
        <item x="2"/>
        <item x="34"/>
        <item x="52"/>
        <item x="21"/>
        <item x="33"/>
        <item x="61"/>
        <item x="79"/>
        <item x="32"/>
        <item x="47"/>
        <item x="58"/>
        <item x="20"/>
        <item x="66"/>
        <item x="85"/>
        <item x="80"/>
        <item x="69"/>
        <item x="97"/>
        <item x="42"/>
        <item x="73"/>
        <item x="15"/>
        <item x="16"/>
        <item x="24"/>
        <item x="63"/>
        <item x="54"/>
        <item x="27"/>
        <item x="22"/>
        <item x="35"/>
        <item x="37"/>
        <item x="71"/>
        <item x="74"/>
        <item x="90"/>
        <item x="43"/>
        <item x="77"/>
        <item x="53"/>
        <item x="3"/>
        <item x="93"/>
        <item x="4"/>
        <item x="83"/>
        <item x="95"/>
        <item x="59"/>
        <item x="40"/>
        <item x="28"/>
        <item x="45"/>
        <item x="64"/>
        <item x="41"/>
        <item x="9"/>
        <item x="6"/>
        <item x="72"/>
        <item x="25"/>
        <item x="14"/>
        <item x="91"/>
        <item x="62"/>
        <item x="8"/>
        <item x="50"/>
        <item x="78"/>
        <item x="94"/>
        <item x="92"/>
        <item x="11"/>
        <item x="29"/>
        <item x="65"/>
        <item x="89"/>
        <item x="81"/>
        <item x="86"/>
        <item x="55"/>
        <item x="31"/>
        <item x="44"/>
        <item x="60"/>
        <item x="75"/>
        <item x="5"/>
        <item x="38"/>
        <item x="1"/>
        <item x="84"/>
        <item x="10"/>
        <item x="56"/>
        <item x="30"/>
        <item x="23"/>
        <item x="36"/>
        <item x="87"/>
        <item x="18"/>
        <item x="51"/>
        <item x="12"/>
        <item x="96"/>
        <item x="67"/>
        <item x="70"/>
        <item x="82"/>
        <item x="49"/>
        <item x="48"/>
        <item x="39"/>
        <item x="19"/>
        <item x="88"/>
        <item x="13"/>
        <item t="default"/>
      </items>
    </pivotField>
    <pivotField showAll="0"/>
    <pivotField numFmtId="4" showAll="0"/>
    <pivotField numFmtId="4" showAll="0"/>
    <pivotField numFmtId="164" showAll="0"/>
    <pivotField dataField="1" numFmtId="4" showAll="0"/>
    <pivotField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2">
    <field x="4"/>
    <field x="8"/>
  </rowFields>
  <rowItems count="5">
    <i>
      <x v="1"/>
    </i>
    <i>
      <x v="3"/>
    </i>
    <i>
      <x v="2"/>
    </i>
    <i>
      <x/>
    </i>
    <i t="grand">
      <x/>
    </i>
  </rowItems>
  <colItems count="1">
    <i/>
  </colItems>
  <pageFields count="1">
    <pageField fld="6" item="3" hier="-1"/>
  </pageFields>
  <dataFields count="1">
    <dataField name="Sum of Profit" fld="13" baseField="0" baseItem="0" numFmtId="4"/>
  </dataFields>
  <formats count="1">
    <format dxfId="8">
      <pivotArea outline="0" collapsedLevelsAreSubtotals="1" fieldPosition="0"/>
    </format>
  </formats>
  <pivotTableStyleInfo name="PivotStyleLight16" showRowHeaders="1" showColHeaders="1" showRowStripes="0" showColStripes="0" showLastColumn="1"/>
  <filters count="1">
    <filter fld="8" type="valueLessThan" evalOrder="-1" id="4"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2EB97C1F-41BD-41D4-9936-08EE00260F41}" name="PivotTable92"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0">
  <location ref="A38:F54" firstHeaderRow="0" firstDataRow="1" firstDataCol="1" rowPageCount="1" colPageCount="1"/>
  <pivotFields count="21">
    <pivotField dataField="1"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sortType="ascending">
      <items count="5">
        <item x="0"/>
        <item x="3"/>
        <item x="2"/>
        <item x="1"/>
        <item t="default"/>
      </items>
      <autoSortScope>
        <pivotArea dataOnly="0" outline="0" fieldPosition="0">
          <references count="1">
            <reference field="4294967294" count="1" selected="0">
              <x v="2"/>
            </reference>
          </references>
        </pivotArea>
      </autoSortScope>
    </pivotField>
    <pivotField showAll="0"/>
    <pivotField axis="axisPage" showAll="0">
      <items count="7">
        <item x="4"/>
        <item x="2"/>
        <item x="5"/>
        <item x="0"/>
        <item x="1"/>
        <item x="3"/>
        <item t="default"/>
      </items>
    </pivotField>
    <pivotField showAll="0"/>
    <pivotField axis="axisRow" showAll="0" measureFilter="1" includeNewItemsInFilter="1">
      <items count="100">
        <item x="0"/>
        <item x="57"/>
        <item x="7"/>
        <item x="98"/>
        <item x="26"/>
        <item x="17"/>
        <item x="68"/>
        <item x="76"/>
        <item x="46"/>
        <item x="2"/>
        <item x="34"/>
        <item x="52"/>
        <item x="21"/>
        <item x="33"/>
        <item x="61"/>
        <item x="79"/>
        <item x="32"/>
        <item x="47"/>
        <item x="58"/>
        <item x="20"/>
        <item x="66"/>
        <item x="85"/>
        <item x="80"/>
        <item x="69"/>
        <item x="97"/>
        <item x="42"/>
        <item x="73"/>
        <item x="15"/>
        <item x="16"/>
        <item x="24"/>
        <item x="63"/>
        <item x="54"/>
        <item x="27"/>
        <item x="22"/>
        <item x="35"/>
        <item x="37"/>
        <item x="71"/>
        <item x="74"/>
        <item x="90"/>
        <item x="43"/>
        <item x="77"/>
        <item x="53"/>
        <item x="3"/>
        <item x="93"/>
        <item x="4"/>
        <item x="83"/>
        <item x="95"/>
        <item x="59"/>
        <item x="40"/>
        <item x="28"/>
        <item x="45"/>
        <item x="64"/>
        <item x="41"/>
        <item x="9"/>
        <item x="6"/>
        <item x="72"/>
        <item x="25"/>
        <item x="14"/>
        <item x="91"/>
        <item x="62"/>
        <item x="8"/>
        <item x="50"/>
        <item x="78"/>
        <item x="94"/>
        <item x="92"/>
        <item x="11"/>
        <item x="29"/>
        <item x="65"/>
        <item x="89"/>
        <item x="81"/>
        <item x="86"/>
        <item x="55"/>
        <item x="31"/>
        <item x="44"/>
        <item x="60"/>
        <item x="75"/>
        <item x="5"/>
        <item x="38"/>
        <item x="1"/>
        <item x="84"/>
        <item x="10"/>
        <item x="56"/>
        <item x="30"/>
        <item x="23"/>
        <item x="36"/>
        <item x="87"/>
        <item x="18"/>
        <item x="51"/>
        <item x="12"/>
        <item x="96"/>
        <item x="67"/>
        <item x="70"/>
        <item x="82"/>
        <item x="49"/>
        <item x="48"/>
        <item x="39"/>
        <item x="19"/>
        <item x="88"/>
        <item x="13"/>
        <item t="default"/>
      </items>
    </pivotField>
    <pivotField showAll="0"/>
    <pivotField numFmtId="4" showAll="0"/>
    <pivotField dataField="1" numFmtId="4" showAll="0"/>
    <pivotField dataField="1" numFmtId="164" showAll="0"/>
    <pivotField dataField="1" numFmtId="4" showAll="0"/>
    <pivotField dataField="1"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2">
    <field x="4"/>
    <field x="8"/>
  </rowFields>
  <rowItems count="16">
    <i>
      <x v="1"/>
    </i>
    <i r="1">
      <x v="6"/>
    </i>
    <i r="1">
      <x v="38"/>
    </i>
    <i r="1">
      <x v="55"/>
    </i>
    <i r="1">
      <x v="63"/>
    </i>
    <i>
      <x v="3"/>
    </i>
    <i r="1">
      <x v="32"/>
    </i>
    <i r="1">
      <x v="38"/>
    </i>
    <i r="1">
      <x v="68"/>
    </i>
    <i>
      <x v="2"/>
    </i>
    <i r="1">
      <x v="17"/>
    </i>
    <i r="1">
      <x v="63"/>
    </i>
    <i r="1">
      <x v="68"/>
    </i>
    <i>
      <x/>
    </i>
    <i r="1">
      <x v="56"/>
    </i>
    <i t="grand">
      <x/>
    </i>
  </rowItems>
  <colFields count="1">
    <field x="-2"/>
  </colFields>
  <colItems count="5">
    <i>
      <x/>
    </i>
    <i i="1">
      <x v="1"/>
    </i>
    <i i="2">
      <x v="2"/>
    </i>
    <i i="3">
      <x v="3"/>
    </i>
    <i i="4">
      <x v="4"/>
    </i>
  </colItems>
  <pageFields count="1">
    <pageField fld="6" item="3" hier="-1"/>
  </pageFields>
  <dataFields count="5">
    <dataField name="Sum of Sales" fld="11" baseField="0" baseItem="0" numFmtId="166"/>
    <dataField name="Count of Order ID" fld="0" subtotal="count" baseField="0" baseItem="0" numFmtId="1"/>
    <dataField name="Sum of Profit" fld="13" baseField="0" baseItem="0" numFmtId="4"/>
    <dataField name="Max of Discount %" fld="12" subtotal="max" baseField="0" baseItem="0" numFmtId="164"/>
    <dataField name="Sum of Shipping Cost" fld="14" baseField="0" baseItem="0" numFmtId="4"/>
  </dataFields>
  <formats count="2">
    <format dxfId="10">
      <pivotArea outline="0" collapsedLevelsAreSubtotals="1" fieldPosition="0"/>
    </format>
    <format dxfId="9">
      <pivotArea outline="0" collapsedLevelsAreSubtotals="1" fieldPosition="0">
        <references count="1">
          <reference field="4294967294" count="1" selected="0">
            <x v="1"/>
          </reference>
        </references>
      </pivotArea>
    </format>
  </formats>
  <conditionalFormats count="1">
    <conditionalFormat priority="4">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chartFormats count="14">
    <chartFormat chart="12"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4" count="1" selected="0">
            <x v="1"/>
          </reference>
        </references>
      </pivotArea>
    </chartFormat>
    <chartFormat chart="23" format="8">
      <pivotArea type="data" outline="0" fieldPosition="0">
        <references count="2">
          <reference field="4294967294" count="1" selected="0">
            <x v="0"/>
          </reference>
          <reference field="4" count="1" selected="0">
            <x v="3"/>
          </reference>
        </references>
      </pivotArea>
    </chartFormat>
    <chartFormat chart="23" format="9">
      <pivotArea type="data" outline="0" fieldPosition="0">
        <references count="2">
          <reference field="4294967294" count="1" selected="0">
            <x v="0"/>
          </reference>
          <reference field="4" count="1" selected="0">
            <x v="0"/>
          </reference>
        </references>
      </pivotArea>
    </chartFormat>
    <chartFormat chart="23" format="10">
      <pivotArea type="data" outline="0" fieldPosition="0">
        <references count="2">
          <reference field="4294967294" count="1" selected="0">
            <x v="0"/>
          </reference>
          <reference field="4" count="1" selected="0">
            <x v="2"/>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7" format="16" series="1">
      <pivotArea type="data" outline="0" fieldPosition="0">
        <references count="1">
          <reference field="4294967294" count="1" selected="0">
            <x v="0"/>
          </reference>
        </references>
      </pivotArea>
    </chartFormat>
    <chartFormat chart="37" format="17">
      <pivotArea type="data" outline="0" fieldPosition="0">
        <references count="2">
          <reference field="4294967294" count="1" selected="0">
            <x v="0"/>
          </reference>
          <reference field="4" count="1" selected="0">
            <x v="1"/>
          </reference>
        </references>
      </pivotArea>
    </chartFormat>
    <chartFormat chart="37" format="18">
      <pivotArea type="data" outline="0" fieldPosition="0">
        <references count="2">
          <reference field="4294967294" count="1" selected="0">
            <x v="0"/>
          </reference>
          <reference field="4" count="1" selected="0">
            <x v="3"/>
          </reference>
        </references>
      </pivotArea>
    </chartFormat>
    <chartFormat chart="37" format="19">
      <pivotArea type="data" outline="0" fieldPosition="0">
        <references count="2">
          <reference field="4294967294" count="1" selected="0">
            <x v="0"/>
          </reference>
          <reference field="4" count="1" selected="0">
            <x v="0"/>
          </reference>
        </references>
      </pivotArea>
    </chartFormat>
    <chartFormat chart="37" format="20">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8" type="valueLessThan" evalOrder="-1" id="4" iMeasureFld="2">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8CAA3515-E5B1-4DF2-A645-4AF6FBECD375}" name="PivotTable91" cacheId="2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0">
  <location ref="A3:E32" firstHeaderRow="0" firstDataRow="1" firstDataCol="1"/>
  <pivotFields count="21">
    <pivotField showAll="0"/>
    <pivotField numFmtId="165" showAll="0">
      <items count="5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axis="axisRow" showAll="0">
      <items count="7">
        <item x="4"/>
        <item x="2"/>
        <item x="5"/>
        <item x="0"/>
        <item x="1"/>
        <item x="3"/>
        <item t="default"/>
      </items>
    </pivotField>
    <pivotField showAll="0"/>
    <pivotField showAll="0" includeNewItemsInFilter="1"/>
    <pivotField showAll="0"/>
    <pivotField numFmtId="4" showAll="0"/>
    <pivotField dataField="1" numFmtId="4" showAll="0"/>
    <pivotField dataField="1" numFmtId="164" showAll="0"/>
    <pivotField dataField="1" numFmtId="4" showAll="0"/>
    <pivotField dataField="1" numFmtId="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2">
    <field x="4"/>
    <field x="6"/>
  </rowFields>
  <rowItems count="29">
    <i>
      <x v="1"/>
    </i>
    <i r="1">
      <x/>
    </i>
    <i r="1">
      <x v="1"/>
    </i>
    <i r="1">
      <x v="2"/>
    </i>
    <i r="1">
      <x v="3"/>
    </i>
    <i r="1">
      <x v="4"/>
    </i>
    <i r="1">
      <x v="5"/>
    </i>
    <i>
      <x v="3"/>
    </i>
    <i r="1">
      <x/>
    </i>
    <i r="1">
      <x v="1"/>
    </i>
    <i r="1">
      <x v="2"/>
    </i>
    <i r="1">
      <x v="3"/>
    </i>
    <i r="1">
      <x v="4"/>
    </i>
    <i r="1">
      <x v="5"/>
    </i>
    <i>
      <x/>
    </i>
    <i r="1">
      <x/>
    </i>
    <i r="1">
      <x v="1"/>
    </i>
    <i r="1">
      <x v="2"/>
    </i>
    <i r="1">
      <x v="3"/>
    </i>
    <i r="1">
      <x v="4"/>
    </i>
    <i r="1">
      <x v="5"/>
    </i>
    <i>
      <x v="2"/>
    </i>
    <i r="1">
      <x/>
    </i>
    <i r="1">
      <x v="1"/>
    </i>
    <i r="1">
      <x v="2"/>
    </i>
    <i r="1">
      <x v="3"/>
    </i>
    <i r="1">
      <x v="4"/>
    </i>
    <i r="1">
      <x v="5"/>
    </i>
    <i t="grand">
      <x/>
    </i>
  </rowItems>
  <colFields count="1">
    <field x="-2"/>
  </colFields>
  <colItems count="4">
    <i>
      <x/>
    </i>
    <i i="1">
      <x v="1"/>
    </i>
    <i i="2">
      <x v="2"/>
    </i>
    <i i="3">
      <x v="3"/>
    </i>
  </colItems>
  <dataFields count="4">
    <dataField name="Sum of Sales" fld="11" baseField="0" baseItem="0" numFmtId="166"/>
    <dataField name="Sum of Profit" fld="13" baseField="0" baseItem="0" numFmtId="4"/>
    <dataField name="Max of Discount %" fld="12" subtotal="max" baseField="0" baseItem="0" numFmtId="164"/>
    <dataField name="Sum of Shipping Cost" fld="14" baseField="0" baseItem="0" numFmtId="4"/>
  </dataFields>
  <formats count="1">
    <format dxfId="11">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chartFormats count="14">
    <chartFormat chart="12"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4" count="1" selected="0">
            <x v="1"/>
          </reference>
        </references>
      </pivotArea>
    </chartFormat>
    <chartFormat chart="23" format="8">
      <pivotArea type="data" outline="0" fieldPosition="0">
        <references count="2">
          <reference field="4294967294" count="1" selected="0">
            <x v="0"/>
          </reference>
          <reference field="4" count="1" selected="0">
            <x v="3"/>
          </reference>
        </references>
      </pivotArea>
    </chartFormat>
    <chartFormat chart="23" format="9">
      <pivotArea type="data" outline="0" fieldPosition="0">
        <references count="2">
          <reference field="4294967294" count="1" selected="0">
            <x v="0"/>
          </reference>
          <reference field="4" count="1" selected="0">
            <x v="0"/>
          </reference>
        </references>
      </pivotArea>
    </chartFormat>
    <chartFormat chart="23" format="10">
      <pivotArea type="data" outline="0" fieldPosition="0">
        <references count="2">
          <reference field="4294967294" count="1" selected="0">
            <x v="0"/>
          </reference>
          <reference field="4" count="1" selected="0">
            <x v="2"/>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7" format="16" series="1">
      <pivotArea type="data" outline="0" fieldPosition="0">
        <references count="1">
          <reference field="4294967294" count="1" selected="0">
            <x v="0"/>
          </reference>
        </references>
      </pivotArea>
    </chartFormat>
    <chartFormat chart="37" format="17">
      <pivotArea type="data" outline="0" fieldPosition="0">
        <references count="2">
          <reference field="4294967294" count="1" selected="0">
            <x v="0"/>
          </reference>
          <reference field="4" count="1" selected="0">
            <x v="1"/>
          </reference>
        </references>
      </pivotArea>
    </chartFormat>
    <chartFormat chart="37" format="18">
      <pivotArea type="data" outline="0" fieldPosition="0">
        <references count="2">
          <reference field="4294967294" count="1" selected="0">
            <x v="0"/>
          </reference>
          <reference field="4" count="1" selected="0">
            <x v="3"/>
          </reference>
        </references>
      </pivotArea>
    </chartFormat>
    <chartFormat chart="37" format="19">
      <pivotArea type="data" outline="0" fieldPosition="0">
        <references count="2">
          <reference field="4294967294" count="1" selected="0">
            <x v="0"/>
          </reference>
          <reference field="4" count="1" selected="0">
            <x v="0"/>
          </reference>
        </references>
      </pivotArea>
    </chartFormat>
    <chartFormat chart="37" format="20">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E3BA1A-1134-4807-9A49-F96B099BA4E1}" sourceName="Region">
  <pivotTables>
    <pivotTable tabId="3" name="PivotTable54"/>
  </pivotTables>
  <data>
    <tabular pivotCacheId="1276142468">
      <items count="4">
        <i x="0"/>
        <i x="3"/>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EC8FFB0-A4D1-47F8-A84C-E93E30195182}" sourceName="Payment Method">
  <pivotTables>
    <pivotTable tabId="3" name="PivotTable54"/>
  </pivotTables>
  <data>
    <tabular pivotCacheId="1276142468">
      <items count="5">
        <i x="2"/>
        <i x="1"/>
        <i x="0"/>
        <i x="4"/>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02FF168-DE42-492C-AFE5-1DE4824570AD}" sourceName="Years (Order Date)">
  <pivotTables>
    <pivotTable tabId="3" name="RegionSales"/>
    <pivotTable tabId="3" name="CategoryRegionSales"/>
    <pivotTable tabId="3" name="RegionProfit"/>
    <pivotTable tabId="3" name="Metrics"/>
    <pivotTable tabId="3" name="State"/>
    <pivotTable tabId="3" name="PivotTable90"/>
    <pivotTable tabId="5" name="PivotTable91"/>
    <pivotTable tabId="5" name="PivotTable92"/>
    <pivotTable tabId="5" name="PivotTable93"/>
    <pivotTable tabId="5" name="SaleProfitRC"/>
    <pivotTable tabId="5" name="PivotTable96"/>
    <pivotTable tabId="5" name="PivotTable97"/>
  </pivotTables>
  <data>
    <tabular pivotCacheId="1276142468">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2F96CCDF-FA45-42B8-B2B6-FEBF6818C4D3}" sourceName="Quarters (Order Date)">
  <pivotTables>
    <pivotTable tabId="3" name="RegionSales"/>
    <pivotTable tabId="3" name="CategoryRegionSales"/>
    <pivotTable tabId="3" name="RegionProfit"/>
    <pivotTable tabId="3" name="Metrics"/>
    <pivotTable tabId="3" name="PivotTable90"/>
    <pivotTable tabId="5" name="PivotTable91"/>
    <pivotTable tabId="5" name="PivotTable92"/>
    <pivotTable tabId="5" name="PivotTable93"/>
    <pivotTable tabId="5" name="SaleProfitRC"/>
    <pivotTable tabId="5" name="PivotTable96"/>
    <pivotTable tabId="5" name="PivotTable97"/>
  </pivotTables>
  <data>
    <tabular pivotCacheId="127614246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A7CF64F-B50F-485D-9C2C-2412A4FD8DFE}" sourceName="Region">
  <pivotTables>
    <pivotTable tabId="5" name="SaleProfitRC"/>
    <pivotTable tabId="3" name="State"/>
    <pivotTable tabId="3" name="Metrics"/>
  </pivotTables>
  <data>
    <tabular pivotCacheId="1276142468">
      <items count="4">
        <i x="0"/>
        <i x="3" s="1"/>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7DBDD75-C154-40DA-9B7D-B70C6DC93D1E}" cache="Slicer_Region" caption="Region" rowHeight="241300"/>
  <slicer name="Payment Method" xr10:uid="{ABC28422-3B97-43E9-BDC7-18983F9C2E97}" cache="Slicer_Payment_Method" caption="Payment 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1AEBFC37-7415-4593-BE7A-F7A91F770D00}" cache="Slicer_Years__Order_Date" caption="Order Year" rowHeight="241300"/>
  <slicer name="Quarters (Order Date)" xr10:uid="{155488F0-BDB9-44AE-92D8-616C73FB92D3}" cache="Slicer_Quarters__Order_Date" caption="Order Quarter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417C53E-3CBD-484C-84AE-8EA41A87A1EB}"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F994A4-D06C-4823-B2AC-62AA21486E10}" name="Table1" displayName="Table1" ref="D456:E472" totalsRowShown="0">
  <autoFilter ref="D456:E472" xr:uid="{E8F994A4-D06C-4823-B2AC-62AA21486E10}">
    <filterColumn colId="0">
      <customFilters>
        <customFilter operator="notEqual" val="0"/>
      </customFilters>
    </filterColumn>
  </autoFilter>
  <tableColumns count="2">
    <tableColumn id="1" xr3:uid="{454FEE09-BAB9-4277-9338-C2FB82999976}" name="Column1" dataDxfId="6">
      <calculatedColumnFormula>A456</calculatedColumnFormula>
    </tableColumn>
    <tableColumn id="2" xr3:uid="{9B5F3CFC-59D5-49FA-9313-489028FD3C37}" name="Column2" dataDxfId="5">
      <calculatedColumnFormula>B456</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AB5AC8-6C58-4E00-972D-3E2E141FC753}" name="Table2" displayName="Table2" ref="G81:H87" totalsRowShown="0">
  <autoFilter ref="G81:H87" xr:uid="{2CAB5AC8-6C58-4E00-972D-3E2E141FC753}">
    <filterColumn colId="0">
      <customFilters>
        <customFilter operator="notEqual" val="0"/>
      </customFilters>
    </filterColumn>
  </autoFilter>
  <tableColumns count="2">
    <tableColumn id="1" xr3:uid="{408CDC44-2A14-4404-867A-4DDA0DA60975}" name="Column1">
      <calculatedColumnFormula>D81</calculatedColumnFormula>
    </tableColumn>
    <tableColumn id="2" xr3:uid="{797C3E91-22AF-4145-B3AA-E36EA98AB952}" name="Column2" dataDxfId="1">
      <calculatedColumnFormula>E81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7278B27-C04B-4653-A6BB-2557075DABD3}" sourceName="Order Date">
  <pivotTables>
    <pivotTable tabId="3" name="PivotTable68"/>
  </pivotTables>
  <state minimalRefreshVersion="6" lastRefreshVersion="6" pivotCacheId="269875882" filterType="dateBetween">
    <selection startDate="2024-10-01T00:00:00" endDate="2024-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31B379C-3843-4F4F-8437-5ABCCC059F1F}" cache="NativeTimeline_Order_Date" caption="Order Date" level="1" selectionLevel="1" scrollPosition="2024-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table" Target="../tables/table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41"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4" Type="http://schemas.microsoft.com/office/2011/relationships/timeline" Target="../timelines/timelin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43.xml"/><Relationship Id="rId7" Type="http://schemas.openxmlformats.org/officeDocument/2006/relationships/drawing" Target="../drawings/drawing2.xml"/><Relationship Id="rId2" Type="http://schemas.openxmlformats.org/officeDocument/2006/relationships/pivotTable" Target="../pivotTables/pivotTable42.xml"/><Relationship Id="rId1" Type="http://schemas.openxmlformats.org/officeDocument/2006/relationships/pivotTable" Target="../pivotTables/pivotTable41.xml"/><Relationship Id="rId6" Type="http://schemas.openxmlformats.org/officeDocument/2006/relationships/pivotTable" Target="../pivotTables/pivotTable46.xml"/><Relationship Id="rId5" Type="http://schemas.openxmlformats.org/officeDocument/2006/relationships/pivotTable" Target="../pivotTables/pivotTable45.xml"/><Relationship Id="rId4" Type="http://schemas.openxmlformats.org/officeDocument/2006/relationships/pivotTable" Target="../pivotTables/pivotTable4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2"/>
  <sheetViews>
    <sheetView topLeftCell="A21" workbookViewId="0">
      <selection activeCell="B28" sqref="B28"/>
    </sheetView>
  </sheetViews>
  <sheetFormatPr defaultRowHeight="14.5" x14ac:dyDescent="0.35"/>
  <cols>
    <col min="1" max="1" width="6" customWidth="1"/>
    <col min="2" max="2" width="95" customWidth="1"/>
  </cols>
  <sheetData>
    <row r="1" spans="1:2" ht="18" x14ac:dyDescent="0.4">
      <c r="A1" s="35" t="s">
        <v>1664</v>
      </c>
      <c r="B1" s="36"/>
    </row>
    <row r="3" spans="1:2" ht="20" customHeight="1" x14ac:dyDescent="0.35">
      <c r="A3" s="38" t="s">
        <v>1665</v>
      </c>
      <c r="B3" s="36"/>
    </row>
    <row r="4" spans="1:2" ht="32" customHeight="1" x14ac:dyDescent="0.35">
      <c r="A4" s="1" t="s">
        <v>1666</v>
      </c>
      <c r="B4" s="2" t="s">
        <v>1667</v>
      </c>
    </row>
    <row r="5" spans="1:2" ht="32" customHeight="1" x14ac:dyDescent="0.35">
      <c r="A5" s="1" t="s">
        <v>1668</v>
      </c>
      <c r="B5" s="2" t="s">
        <v>1669</v>
      </c>
    </row>
    <row r="6" spans="1:2" ht="32" customHeight="1" x14ac:dyDescent="0.35">
      <c r="A6" s="1" t="s">
        <v>1670</v>
      </c>
      <c r="B6" s="2" t="s">
        <v>1671</v>
      </c>
    </row>
    <row r="7" spans="1:2" ht="32" customHeight="1" x14ac:dyDescent="0.35">
      <c r="A7" s="1" t="s">
        <v>1672</v>
      </c>
      <c r="B7" s="2" t="s">
        <v>1673</v>
      </c>
    </row>
    <row r="8" spans="1:2" ht="32" customHeight="1" x14ac:dyDescent="0.35">
      <c r="A8" s="1" t="s">
        <v>1674</v>
      </c>
      <c r="B8" s="2" t="s">
        <v>1675</v>
      </c>
    </row>
    <row r="10" spans="1:2" ht="20" customHeight="1" x14ac:dyDescent="0.35">
      <c r="A10" s="38" t="s">
        <v>1676</v>
      </c>
      <c r="B10" s="36"/>
    </row>
    <row r="11" spans="1:2" ht="32" customHeight="1" x14ac:dyDescent="0.35">
      <c r="A11" s="1" t="s">
        <v>1677</v>
      </c>
      <c r="B11" s="2" t="s">
        <v>1678</v>
      </c>
    </row>
    <row r="12" spans="1:2" ht="32" customHeight="1" x14ac:dyDescent="0.35">
      <c r="A12" s="1" t="s">
        <v>1679</v>
      </c>
      <c r="B12" s="2" t="s">
        <v>1680</v>
      </c>
    </row>
    <row r="13" spans="1:2" ht="32" customHeight="1" x14ac:dyDescent="0.35">
      <c r="A13" s="1" t="s">
        <v>1681</v>
      </c>
      <c r="B13" s="2" t="s">
        <v>1682</v>
      </c>
    </row>
    <row r="15" spans="1:2" ht="20" customHeight="1" x14ac:dyDescent="0.35">
      <c r="A15" s="38" t="s">
        <v>1683</v>
      </c>
      <c r="B15" s="36"/>
    </row>
    <row r="16" spans="1:2" ht="32" customHeight="1" x14ac:dyDescent="0.35">
      <c r="A16" s="1" t="s">
        <v>1684</v>
      </c>
      <c r="B16" s="2" t="s">
        <v>1685</v>
      </c>
    </row>
    <row r="17" spans="1:2" ht="32" customHeight="1" x14ac:dyDescent="0.35">
      <c r="A17" s="1" t="s">
        <v>1686</v>
      </c>
      <c r="B17" s="2" t="s">
        <v>1687</v>
      </c>
    </row>
    <row r="18" spans="1:2" ht="32" customHeight="1" x14ac:dyDescent="0.35">
      <c r="A18" s="1" t="s">
        <v>1688</v>
      </c>
      <c r="B18" s="2" t="s">
        <v>1689</v>
      </c>
    </row>
    <row r="20" spans="1:2" ht="20" customHeight="1" x14ac:dyDescent="0.35">
      <c r="A20" s="38" t="s">
        <v>1690</v>
      </c>
      <c r="B20" s="36"/>
    </row>
    <row r="21" spans="1:2" ht="32" customHeight="1" x14ac:dyDescent="0.35">
      <c r="A21" s="1" t="s">
        <v>1691</v>
      </c>
      <c r="B21" s="2" t="s">
        <v>1692</v>
      </c>
    </row>
    <row r="22" spans="1:2" ht="32" customHeight="1" x14ac:dyDescent="0.35">
      <c r="A22" s="1" t="s">
        <v>1693</v>
      </c>
      <c r="B22" s="2" t="s">
        <v>1694</v>
      </c>
    </row>
    <row r="23" spans="1:2" ht="32" customHeight="1" x14ac:dyDescent="0.35">
      <c r="A23" s="1" t="s">
        <v>1695</v>
      </c>
      <c r="B23" s="2" t="s">
        <v>1696</v>
      </c>
    </row>
    <row r="25" spans="1:2" ht="20" customHeight="1" x14ac:dyDescent="0.35">
      <c r="A25" s="38" t="s">
        <v>1697</v>
      </c>
      <c r="B25" s="36"/>
    </row>
    <row r="26" spans="1:2" ht="32" customHeight="1" x14ac:dyDescent="0.35">
      <c r="A26" s="1" t="s">
        <v>1698</v>
      </c>
      <c r="B26" s="2" t="s">
        <v>1699</v>
      </c>
    </row>
    <row r="27" spans="1:2" ht="32" customHeight="1" x14ac:dyDescent="0.35">
      <c r="A27" s="1" t="s">
        <v>1700</v>
      </c>
      <c r="B27" s="2" t="s">
        <v>1701</v>
      </c>
    </row>
    <row r="28" spans="1:2" ht="32" customHeight="1" x14ac:dyDescent="0.35">
      <c r="A28" s="1" t="s">
        <v>1702</v>
      </c>
      <c r="B28" s="2" t="s">
        <v>1703</v>
      </c>
    </row>
    <row r="30" spans="1:2" ht="20" customHeight="1" x14ac:dyDescent="0.35">
      <c r="A30" s="38" t="s">
        <v>1704</v>
      </c>
      <c r="B30" s="36"/>
    </row>
    <row r="31" spans="1:2" ht="32" customHeight="1" x14ac:dyDescent="0.35">
      <c r="A31" s="1" t="s">
        <v>1705</v>
      </c>
      <c r="B31" s="2" t="s">
        <v>1706</v>
      </c>
    </row>
    <row r="32" spans="1:2" ht="32" customHeight="1" x14ac:dyDescent="0.35">
      <c r="A32" s="1" t="s">
        <v>1707</v>
      </c>
      <c r="B32" s="2" t="s">
        <v>1708</v>
      </c>
    </row>
    <row r="33" spans="1:2" ht="32" customHeight="1" x14ac:dyDescent="0.35">
      <c r="A33" s="1" t="s">
        <v>1709</v>
      </c>
      <c r="B33" s="2" t="s">
        <v>1710</v>
      </c>
    </row>
    <row r="35" spans="1:2" ht="20" customHeight="1" x14ac:dyDescent="0.35">
      <c r="A35" s="38" t="s">
        <v>1711</v>
      </c>
      <c r="B35" s="36"/>
    </row>
    <row r="36" spans="1:2" ht="32" customHeight="1" x14ac:dyDescent="0.35">
      <c r="A36" s="1" t="s">
        <v>1712</v>
      </c>
      <c r="B36" s="2" t="s">
        <v>1713</v>
      </c>
    </row>
    <row r="37" spans="1:2" ht="32" customHeight="1" x14ac:dyDescent="0.35">
      <c r="A37" s="1" t="s">
        <v>1714</v>
      </c>
      <c r="B37" s="2" t="s">
        <v>1715</v>
      </c>
    </row>
    <row r="38" spans="1:2" ht="32" customHeight="1" x14ac:dyDescent="0.35">
      <c r="A38" s="1" t="s">
        <v>1716</v>
      </c>
      <c r="B38" s="2" t="s">
        <v>1717</v>
      </c>
    </row>
    <row r="40" spans="1:2" ht="20" customHeight="1" x14ac:dyDescent="0.35">
      <c r="A40" s="37" t="s">
        <v>1722</v>
      </c>
      <c r="B40" s="36"/>
    </row>
    <row r="41" spans="1:2" ht="32" customHeight="1" x14ac:dyDescent="0.35">
      <c r="A41" s="1" t="s">
        <v>1718</v>
      </c>
      <c r="B41" s="2" t="s">
        <v>1719</v>
      </c>
    </row>
    <row r="42" spans="1:2" ht="32" customHeight="1" x14ac:dyDescent="0.35">
      <c r="A42" s="1" t="s">
        <v>1720</v>
      </c>
      <c r="B42" s="2" t="s">
        <v>1721</v>
      </c>
    </row>
  </sheetData>
  <mergeCells count="9">
    <mergeCell ref="A1:B1"/>
    <mergeCell ref="A40:B40"/>
    <mergeCell ref="A3:B3"/>
    <mergeCell ref="A35:B35"/>
    <mergeCell ref="A20:B20"/>
    <mergeCell ref="A30:B30"/>
    <mergeCell ref="A15:B15"/>
    <mergeCell ref="A25:B25"/>
    <mergeCell ref="A10:B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8EFCB-FB89-4839-8303-AF1B3F7A04E9}">
  <dimension ref="A1:Q991"/>
  <sheetViews>
    <sheetView topLeftCell="A453" workbookViewId="0">
      <selection activeCell="C463" sqref="C463"/>
    </sheetView>
  </sheetViews>
  <sheetFormatPr defaultRowHeight="14.5" x14ac:dyDescent="0.35"/>
  <cols>
    <col min="1" max="1" width="20.453125" bestFit="1" customWidth="1"/>
    <col min="2" max="2" width="19.26953125" bestFit="1" customWidth="1"/>
    <col min="3" max="3" width="15.90625" bestFit="1" customWidth="1"/>
    <col min="4" max="4" width="17.6328125" bestFit="1" customWidth="1"/>
    <col min="5" max="5" width="21.26953125" bestFit="1" customWidth="1"/>
    <col min="6" max="6" width="19.08984375" bestFit="1" customWidth="1"/>
    <col min="7" max="7" width="15.26953125" bestFit="1" customWidth="1"/>
    <col min="8" max="8" width="16" customWidth="1"/>
    <col min="9" max="9" width="14.54296875" bestFit="1" customWidth="1"/>
    <col min="10" max="10" width="15.81640625" bestFit="1" customWidth="1"/>
    <col min="11" max="11" width="6.36328125" bestFit="1" customWidth="1"/>
    <col min="12" max="12" width="15.1796875" bestFit="1" customWidth="1"/>
    <col min="13" max="13" width="12" bestFit="1" customWidth="1"/>
    <col min="14" max="14" width="11.81640625" bestFit="1" customWidth="1"/>
    <col min="15" max="15" width="19.6328125" bestFit="1" customWidth="1"/>
    <col min="16" max="17" width="18.54296875" bestFit="1" customWidth="1"/>
    <col min="18" max="167" width="6.36328125" bestFit="1" customWidth="1"/>
    <col min="168" max="690" width="7.90625" bestFit="1" customWidth="1"/>
    <col min="691" max="968" width="8.90625" bestFit="1" customWidth="1"/>
    <col min="969" max="1000" width="9.90625" bestFit="1" customWidth="1"/>
    <col min="1001" max="1001" width="10.7265625" bestFit="1" customWidth="1"/>
  </cols>
  <sheetData>
    <row r="1" spans="1:10" s="12" customFormat="1" x14ac:dyDescent="0.35">
      <c r="A1" s="13" t="s">
        <v>1666</v>
      </c>
    </row>
    <row r="4" spans="1:10" x14ac:dyDescent="0.35">
      <c r="A4" s="14" t="s">
        <v>1723</v>
      </c>
      <c r="B4" t="s">
        <v>1725</v>
      </c>
      <c r="D4" s="14" t="s">
        <v>1723</v>
      </c>
      <c r="E4" t="s">
        <v>1727</v>
      </c>
      <c r="G4" s="14" t="s">
        <v>1723</v>
      </c>
      <c r="H4" t="s">
        <v>1784</v>
      </c>
      <c r="I4" t="s">
        <v>1783</v>
      </c>
    </row>
    <row r="5" spans="1:10" x14ac:dyDescent="0.35">
      <c r="A5" s="15" t="s">
        <v>60</v>
      </c>
      <c r="B5" s="17">
        <v>4521462.0000000019</v>
      </c>
      <c r="D5" s="15" t="s">
        <v>60</v>
      </c>
      <c r="E5" s="17">
        <v>330381.87999999989</v>
      </c>
      <c r="G5" s="15" t="s">
        <v>20</v>
      </c>
      <c r="H5" s="17">
        <v>51704.609999999986</v>
      </c>
      <c r="I5" s="42">
        <v>9.66</v>
      </c>
    </row>
    <row r="6" spans="1:10" x14ac:dyDescent="0.35">
      <c r="A6" s="15" t="s">
        <v>30</v>
      </c>
      <c r="B6" s="17">
        <v>3930181.7099999981</v>
      </c>
      <c r="D6" s="15" t="s">
        <v>40</v>
      </c>
      <c r="E6" s="17">
        <v>331276.1700000001</v>
      </c>
      <c r="G6" s="15" t="s">
        <v>60</v>
      </c>
      <c r="H6" s="17">
        <v>49489.470000000016</v>
      </c>
      <c r="I6" s="42">
        <v>9.875</v>
      </c>
    </row>
    <row r="7" spans="1:10" x14ac:dyDescent="0.35">
      <c r="A7" s="15" t="s">
        <v>20</v>
      </c>
      <c r="B7" s="17">
        <v>3504132.850000002</v>
      </c>
      <c r="D7" s="15" t="s">
        <v>30</v>
      </c>
      <c r="E7" s="17">
        <v>336343.34000000014</v>
      </c>
      <c r="G7" s="15" t="s">
        <v>40</v>
      </c>
      <c r="H7" s="17">
        <v>50383.959999999992</v>
      </c>
      <c r="I7" s="42">
        <v>10.2834008097166</v>
      </c>
    </row>
    <row r="8" spans="1:10" x14ac:dyDescent="0.35">
      <c r="A8" s="15" t="s">
        <v>40</v>
      </c>
      <c r="B8" s="17">
        <v>3256957.4799999991</v>
      </c>
      <c r="D8" s="15" t="s">
        <v>20</v>
      </c>
      <c r="E8" s="17">
        <v>355533.17999999964</v>
      </c>
      <c r="G8" s="15" t="s">
        <v>30</v>
      </c>
      <c r="H8" s="17">
        <v>52647.570000000022</v>
      </c>
      <c r="I8" s="42">
        <v>10.399239543726235</v>
      </c>
    </row>
    <row r="9" spans="1:10" x14ac:dyDescent="0.35">
      <c r="A9" s="15" t="s">
        <v>1724</v>
      </c>
      <c r="B9" s="17">
        <v>15212734.039999999</v>
      </c>
      <c r="D9" s="15" t="s">
        <v>1724</v>
      </c>
      <c r="E9" s="17">
        <v>1353534.5699999998</v>
      </c>
      <c r="G9" s="15" t="s">
        <v>1724</v>
      </c>
      <c r="H9" s="17">
        <v>204225.60999999984</v>
      </c>
      <c r="I9" s="42">
        <v>10.06</v>
      </c>
    </row>
    <row r="12" spans="1:10" s="12" customFormat="1" x14ac:dyDescent="0.35">
      <c r="A12" s="13" t="s">
        <v>1668</v>
      </c>
    </row>
    <row r="15" spans="1:10" x14ac:dyDescent="0.35">
      <c r="A15" s="14" t="s">
        <v>1723</v>
      </c>
      <c r="B15" t="s">
        <v>1728</v>
      </c>
    </row>
    <row r="16" spans="1:10" x14ac:dyDescent="0.35">
      <c r="A16" s="15" t="s">
        <v>42</v>
      </c>
      <c r="B16" s="17">
        <v>100.25626582278483</v>
      </c>
      <c r="D16" t="s">
        <v>1727</v>
      </c>
      <c r="E16" t="s">
        <v>1725</v>
      </c>
      <c r="F16" t="s">
        <v>1769</v>
      </c>
      <c r="G16" t="s">
        <v>1731</v>
      </c>
      <c r="H16" t="s">
        <v>1782</v>
      </c>
      <c r="I16" t="s">
        <v>1783</v>
      </c>
      <c r="J16" t="s">
        <v>1729</v>
      </c>
    </row>
    <row r="17" spans="1:14" x14ac:dyDescent="0.35">
      <c r="A17" s="15" t="s">
        <v>117</v>
      </c>
      <c r="B17" s="17">
        <v>584.36300613496962</v>
      </c>
      <c r="D17" s="45">
        <v>666725.22000000009</v>
      </c>
      <c r="E17" s="45">
        <v>8451643.7100000009</v>
      </c>
      <c r="F17" s="31">
        <v>503</v>
      </c>
      <c r="G17" s="31">
        <v>986</v>
      </c>
      <c r="H17" s="45">
        <v>16802.472584493044</v>
      </c>
      <c r="I17" s="42">
        <v>10.14910536779324</v>
      </c>
      <c r="J17" s="17">
        <v>503</v>
      </c>
    </row>
    <row r="18" spans="1:14" x14ac:dyDescent="0.35">
      <c r="A18" s="15" t="s">
        <v>134</v>
      </c>
      <c r="B18" s="17">
        <v>762.51463855421673</v>
      </c>
    </row>
    <row r="19" spans="1:14" x14ac:dyDescent="0.35">
      <c r="A19" s="15" t="s">
        <v>32</v>
      </c>
      <c r="B19" s="17">
        <v>1375.4592727272723</v>
      </c>
      <c r="D19" s="47">
        <f>D17</f>
        <v>666725.22000000009</v>
      </c>
      <c r="E19" s="47">
        <f t="shared" ref="E19:H19" si="0">E17</f>
        <v>8451643.7100000009</v>
      </c>
      <c r="F19" s="44">
        <f t="shared" si="0"/>
        <v>503</v>
      </c>
      <c r="G19" s="44">
        <f t="shared" si="0"/>
        <v>986</v>
      </c>
      <c r="H19" s="47">
        <f t="shared" si="0"/>
        <v>16802.472584493044</v>
      </c>
      <c r="I19" s="32" t="str">
        <f>_xlfn.CONCAT(ROUND(I17,1),"%")</f>
        <v>10.1%</v>
      </c>
      <c r="J19" s="44">
        <f>J17</f>
        <v>503</v>
      </c>
    </row>
    <row r="20" spans="1:14" x14ac:dyDescent="0.35">
      <c r="A20" s="15" t="s">
        <v>49</v>
      </c>
      <c r="B20" s="17">
        <v>1830.6555000000005</v>
      </c>
      <c r="H20" s="45"/>
    </row>
    <row r="21" spans="1:14" x14ac:dyDescent="0.35">
      <c r="A21" s="15" t="s">
        <v>22</v>
      </c>
      <c r="B21" s="17">
        <v>3329.7423214285727</v>
      </c>
    </row>
    <row r="22" spans="1:14" x14ac:dyDescent="0.35">
      <c r="A22" s="15" t="s">
        <v>1724</v>
      </c>
      <c r="B22" s="17">
        <v>1353.5345699999991</v>
      </c>
    </row>
    <row r="25" spans="1:14" s="12" customFormat="1" x14ac:dyDescent="0.35">
      <c r="A25" s="13" t="s">
        <v>1670</v>
      </c>
      <c r="L25"/>
      <c r="M25"/>
      <c r="N25"/>
    </row>
    <row r="28" spans="1:14" x14ac:dyDescent="0.35">
      <c r="A28" s="14" t="s">
        <v>3</v>
      </c>
      <c r="B28" t="s">
        <v>1730</v>
      </c>
      <c r="C28" t="s">
        <v>1729</v>
      </c>
    </row>
    <row r="29" spans="1:14" x14ac:dyDescent="0.35">
      <c r="A29" s="15" t="s">
        <v>39</v>
      </c>
      <c r="B29" s="19">
        <v>550</v>
      </c>
      <c r="C29" s="21">
        <v>0.55000000000000004</v>
      </c>
    </row>
    <row r="30" spans="1:14" x14ac:dyDescent="0.35">
      <c r="A30" s="15" t="s">
        <v>19</v>
      </c>
      <c r="B30" s="19">
        <v>253</v>
      </c>
      <c r="C30" s="21">
        <v>0.253</v>
      </c>
    </row>
    <row r="31" spans="1:14" x14ac:dyDescent="0.35">
      <c r="A31" s="15" t="s">
        <v>29</v>
      </c>
      <c r="B31" s="19">
        <v>197</v>
      </c>
      <c r="C31" s="21">
        <v>0.19700000000000001</v>
      </c>
    </row>
    <row r="32" spans="1:14" x14ac:dyDescent="0.35">
      <c r="A32" s="15" t="s">
        <v>1724</v>
      </c>
      <c r="B32" s="19">
        <v>1000</v>
      </c>
      <c r="C32" s="21">
        <v>1</v>
      </c>
    </row>
    <row r="36" spans="1:9" s="12" customFormat="1" x14ac:dyDescent="0.35">
      <c r="A36" s="13" t="s">
        <v>1672</v>
      </c>
    </row>
    <row r="39" spans="1:9" x14ac:dyDescent="0.35">
      <c r="A39" s="14" t="s">
        <v>3</v>
      </c>
      <c r="B39" t="s">
        <v>1731</v>
      </c>
      <c r="H39" s="39" t="s">
        <v>3</v>
      </c>
      <c r="I39" s="39" t="s">
        <v>1731</v>
      </c>
    </row>
    <row r="40" spans="1:9" x14ac:dyDescent="0.35">
      <c r="A40" s="15" t="s">
        <v>117</v>
      </c>
      <c r="B40" s="40">
        <v>355</v>
      </c>
      <c r="H40" s="15" t="s">
        <v>117</v>
      </c>
      <c r="I40" s="40">
        <v>355</v>
      </c>
    </row>
    <row r="41" spans="1:9" x14ac:dyDescent="0.35">
      <c r="A41" s="15" t="s">
        <v>134</v>
      </c>
      <c r="B41" s="40">
        <v>346</v>
      </c>
      <c r="H41" s="15" t="s">
        <v>134</v>
      </c>
      <c r="I41" s="40">
        <v>346</v>
      </c>
    </row>
    <row r="42" spans="1:9" x14ac:dyDescent="0.35">
      <c r="A42" s="15" t="s">
        <v>49</v>
      </c>
      <c r="B42" s="40">
        <v>336</v>
      </c>
      <c r="H42" s="15" t="s">
        <v>49</v>
      </c>
      <c r="I42" s="40">
        <v>336</v>
      </c>
    </row>
    <row r="43" spans="1:9" x14ac:dyDescent="0.35">
      <c r="A43" s="15" t="s">
        <v>22</v>
      </c>
      <c r="B43" s="40">
        <v>333</v>
      </c>
      <c r="H43" s="15" t="s">
        <v>22</v>
      </c>
      <c r="I43" s="40">
        <v>333</v>
      </c>
    </row>
    <row r="44" spans="1:9" x14ac:dyDescent="0.35">
      <c r="A44" s="15" t="s">
        <v>32</v>
      </c>
      <c r="B44" s="40">
        <v>331</v>
      </c>
      <c r="H44" s="15" t="s">
        <v>32</v>
      </c>
      <c r="I44" s="40">
        <v>331</v>
      </c>
    </row>
    <row r="45" spans="1:9" x14ac:dyDescent="0.35">
      <c r="A45" s="15" t="s">
        <v>42</v>
      </c>
      <c r="B45" s="40">
        <v>327</v>
      </c>
      <c r="H45" s="15" t="s">
        <v>42</v>
      </c>
      <c r="I45" s="40">
        <v>327</v>
      </c>
    </row>
    <row r="46" spans="1:9" x14ac:dyDescent="0.35">
      <c r="A46" s="15" t="s">
        <v>1724</v>
      </c>
      <c r="B46" s="40">
        <v>2028</v>
      </c>
    </row>
    <row r="49" spans="1:2" s="12" customFormat="1" x14ac:dyDescent="0.35">
      <c r="A49" s="13" t="s">
        <v>1674</v>
      </c>
    </row>
    <row r="52" spans="1:2" x14ac:dyDescent="0.35">
      <c r="A52" s="14" t="s">
        <v>3</v>
      </c>
      <c r="B52" t="s">
        <v>1732</v>
      </c>
    </row>
    <row r="53" spans="1:2" x14ac:dyDescent="0.35">
      <c r="A53" s="15" t="s">
        <v>45</v>
      </c>
      <c r="B53" s="22">
        <v>10</v>
      </c>
    </row>
    <row r="54" spans="1:2" x14ac:dyDescent="0.35">
      <c r="A54" s="15" t="s">
        <v>35</v>
      </c>
      <c r="B54" s="22">
        <v>9.9128919860627178</v>
      </c>
    </row>
    <row r="55" spans="1:2" x14ac:dyDescent="0.35">
      <c r="A55" s="15" t="s">
        <v>25</v>
      </c>
      <c r="B55" s="22">
        <v>10.11049723756906</v>
      </c>
    </row>
    <row r="56" spans="1:2" x14ac:dyDescent="0.35">
      <c r="A56" s="15" t="s">
        <v>83</v>
      </c>
      <c r="B56" s="22">
        <v>9.67741935483871</v>
      </c>
    </row>
    <row r="57" spans="1:2" x14ac:dyDescent="0.35">
      <c r="A57" s="15" t="s">
        <v>64</v>
      </c>
      <c r="B57" s="22">
        <v>10.307443365695793</v>
      </c>
    </row>
    <row r="58" spans="1:2" x14ac:dyDescent="0.35">
      <c r="A58" s="15" t="s">
        <v>1724</v>
      </c>
      <c r="B58" s="22">
        <v>10.06</v>
      </c>
    </row>
    <row r="62" spans="1:2" s="12" customFormat="1" x14ac:dyDescent="0.35">
      <c r="A62" s="13" t="s">
        <v>1677</v>
      </c>
    </row>
    <row r="65" spans="1:6" x14ac:dyDescent="0.35">
      <c r="A65" s="14" t="s">
        <v>1725</v>
      </c>
      <c r="B65" s="14" t="s">
        <v>1726</v>
      </c>
    </row>
    <row r="66" spans="1:6" x14ac:dyDescent="0.35">
      <c r="A66" s="14" t="s">
        <v>6</v>
      </c>
      <c r="B66" t="s">
        <v>20</v>
      </c>
      <c r="C66" t="s">
        <v>60</v>
      </c>
      <c r="D66" t="s">
        <v>40</v>
      </c>
      <c r="E66" t="s">
        <v>30</v>
      </c>
      <c r="F66" t="s">
        <v>1724</v>
      </c>
    </row>
    <row r="67" spans="1:6" x14ac:dyDescent="0.35">
      <c r="A67" s="15" t="s">
        <v>117</v>
      </c>
      <c r="B67" s="21">
        <v>0.32445835738988388</v>
      </c>
      <c r="C67" s="21">
        <v>0.25161439327296148</v>
      </c>
      <c r="D67" s="21">
        <v>0.25755098418056632</v>
      </c>
      <c r="E67" s="21">
        <v>0.16637626515658843</v>
      </c>
      <c r="F67" s="21">
        <v>1</v>
      </c>
    </row>
    <row r="68" spans="1:6" x14ac:dyDescent="0.35">
      <c r="A68" s="15" t="s">
        <v>42</v>
      </c>
      <c r="B68" s="21">
        <v>0.26699862896098714</v>
      </c>
      <c r="C68" s="21">
        <v>0.28410904570573453</v>
      </c>
      <c r="D68" s="21">
        <v>0.29443944574013331</v>
      </c>
      <c r="E68" s="21">
        <v>0.15445287959314494</v>
      </c>
      <c r="F68" s="21">
        <v>1</v>
      </c>
    </row>
    <row r="69" spans="1:6" x14ac:dyDescent="0.35">
      <c r="A69" s="15" t="s">
        <v>134</v>
      </c>
      <c r="B69" s="21">
        <v>0.26872605023150459</v>
      </c>
      <c r="C69" s="21">
        <v>0.22710740635454654</v>
      </c>
      <c r="D69" s="21">
        <v>0.2362342145307644</v>
      </c>
      <c r="E69" s="21">
        <v>0.26793232888318441</v>
      </c>
      <c r="F69" s="21">
        <v>1</v>
      </c>
    </row>
    <row r="70" spans="1:6" x14ac:dyDescent="0.35">
      <c r="A70" s="15" t="s">
        <v>22</v>
      </c>
      <c r="B70" s="21">
        <v>0.22363126386812376</v>
      </c>
      <c r="C70" s="21">
        <v>0.3195123959692811</v>
      </c>
      <c r="D70" s="21">
        <v>0.19984841147210458</v>
      </c>
      <c r="E70" s="21">
        <v>0.25700792869049072</v>
      </c>
      <c r="F70" s="21">
        <v>1</v>
      </c>
    </row>
    <row r="71" spans="1:6" x14ac:dyDescent="0.35">
      <c r="A71" s="15" t="s">
        <v>32</v>
      </c>
      <c r="B71" s="21">
        <v>0.20449982833208769</v>
      </c>
      <c r="C71" s="21">
        <v>0.26876410792391059</v>
      </c>
      <c r="D71" s="21">
        <v>0.24700920677756844</v>
      </c>
      <c r="E71" s="21">
        <v>0.27972685696643323</v>
      </c>
      <c r="F71" s="21">
        <v>1</v>
      </c>
    </row>
    <row r="72" spans="1:6" x14ac:dyDescent="0.35">
      <c r="A72" s="15" t="s">
        <v>49</v>
      </c>
      <c r="B72" s="21">
        <v>0.24704584953924055</v>
      </c>
      <c r="C72" s="21">
        <v>0.2582612942430984</v>
      </c>
      <c r="D72" s="21">
        <v>0.22623187023122271</v>
      </c>
      <c r="E72" s="21">
        <v>0.26846098598643831</v>
      </c>
      <c r="F72" s="21">
        <v>1</v>
      </c>
    </row>
    <row r="73" spans="1:6" x14ac:dyDescent="0.35">
      <c r="A73" s="15" t="s">
        <v>1724</v>
      </c>
      <c r="B73" s="21">
        <v>0.23034208320386831</v>
      </c>
      <c r="C73" s="21">
        <v>0.29721560819451492</v>
      </c>
      <c r="D73" s="21">
        <v>0.21409415766003889</v>
      </c>
      <c r="E73" s="21">
        <v>0.25834815094157793</v>
      </c>
      <c r="F73" s="21">
        <v>1</v>
      </c>
    </row>
    <row r="77" spans="1:6" s="12" customFormat="1" x14ac:dyDescent="0.35">
      <c r="A77" s="13" t="s">
        <v>1679</v>
      </c>
    </row>
    <row r="80" spans="1:6" x14ac:dyDescent="0.35">
      <c r="A80" s="14" t="s">
        <v>1729</v>
      </c>
      <c r="B80" s="14" t="s">
        <v>1726</v>
      </c>
    </row>
    <row r="81" spans="1:6" x14ac:dyDescent="0.35">
      <c r="A81" s="14" t="s">
        <v>3</v>
      </c>
      <c r="B81" t="s">
        <v>57</v>
      </c>
      <c r="C81" t="s">
        <v>26</v>
      </c>
      <c r="D81" t="s">
        <v>36</v>
      </c>
      <c r="E81" t="s">
        <v>65</v>
      </c>
      <c r="F81" t="s">
        <v>1724</v>
      </c>
    </row>
    <row r="82" spans="1:6" x14ac:dyDescent="0.35">
      <c r="A82" s="15" t="s">
        <v>39</v>
      </c>
      <c r="B82" s="19">
        <v>113</v>
      </c>
      <c r="C82" s="19">
        <v>197</v>
      </c>
      <c r="D82" s="19">
        <v>49</v>
      </c>
      <c r="E82" s="19">
        <v>191</v>
      </c>
      <c r="F82" s="19">
        <v>550</v>
      </c>
    </row>
    <row r="83" spans="1:6" x14ac:dyDescent="0.35">
      <c r="A83" s="15" t="s">
        <v>19</v>
      </c>
      <c r="B83" s="19">
        <v>49</v>
      </c>
      <c r="C83" s="19">
        <v>104</v>
      </c>
      <c r="D83" s="19">
        <v>21</v>
      </c>
      <c r="E83" s="19">
        <v>79</v>
      </c>
      <c r="F83" s="19">
        <v>253</v>
      </c>
    </row>
    <row r="84" spans="1:6" x14ac:dyDescent="0.35">
      <c r="A84" s="15" t="s">
        <v>29</v>
      </c>
      <c r="B84" s="19">
        <v>50</v>
      </c>
      <c r="C84" s="19">
        <v>59</v>
      </c>
      <c r="D84" s="19">
        <v>20</v>
      </c>
      <c r="E84" s="19">
        <v>68</v>
      </c>
      <c r="F84" s="19">
        <v>197</v>
      </c>
    </row>
    <row r="85" spans="1:6" x14ac:dyDescent="0.35">
      <c r="A85" s="15" t="s">
        <v>1724</v>
      </c>
      <c r="B85" s="19">
        <v>212</v>
      </c>
      <c r="C85" s="19">
        <v>360</v>
      </c>
      <c r="D85" s="19">
        <v>90</v>
      </c>
      <c r="E85" s="19">
        <v>338</v>
      </c>
      <c r="F85" s="19">
        <v>1000</v>
      </c>
    </row>
    <row r="88" spans="1:6" s="12" customFormat="1" x14ac:dyDescent="0.35">
      <c r="A88" s="13" t="s">
        <v>1681</v>
      </c>
    </row>
    <row r="91" spans="1:6" x14ac:dyDescent="0.35">
      <c r="A91" s="14" t="s">
        <v>1727</v>
      </c>
      <c r="B91" s="14" t="s">
        <v>1726</v>
      </c>
    </row>
    <row r="92" spans="1:6" x14ac:dyDescent="0.35">
      <c r="A92" s="14" t="s">
        <v>3</v>
      </c>
      <c r="B92" t="s">
        <v>39</v>
      </c>
      <c r="C92" t="s">
        <v>19</v>
      </c>
      <c r="D92" t="s">
        <v>29</v>
      </c>
      <c r="E92" t="s">
        <v>1724</v>
      </c>
    </row>
    <row r="93" spans="1:6" x14ac:dyDescent="0.35">
      <c r="A93" s="15" t="s">
        <v>117</v>
      </c>
      <c r="B93" s="21">
        <v>0.59337202892100949</v>
      </c>
      <c r="C93" s="21">
        <v>0.20854064049816926</v>
      </c>
      <c r="D93" s="21">
        <v>0.1980873305808212</v>
      </c>
      <c r="E93" s="21">
        <v>1</v>
      </c>
    </row>
    <row r="94" spans="1:6" x14ac:dyDescent="0.35">
      <c r="A94" s="15" t="s">
        <v>42</v>
      </c>
      <c r="B94" s="21">
        <v>0.53226825685316559</v>
      </c>
      <c r="C94" s="21">
        <v>0.30742167698095196</v>
      </c>
      <c r="D94" s="21">
        <v>0.1603100661658825</v>
      </c>
      <c r="E94" s="21">
        <v>1</v>
      </c>
    </row>
    <row r="95" spans="1:6" x14ac:dyDescent="0.35">
      <c r="A95" s="15" t="s">
        <v>134</v>
      </c>
      <c r="B95" s="21">
        <v>0.49831450994067439</v>
      </c>
      <c r="C95" s="21">
        <v>0.28055783720683858</v>
      </c>
      <c r="D95" s="21">
        <v>0.2211276528524872</v>
      </c>
      <c r="E95" s="21">
        <v>1</v>
      </c>
    </row>
    <row r="96" spans="1:6" x14ac:dyDescent="0.35">
      <c r="A96" s="15" t="s">
        <v>22</v>
      </c>
      <c r="B96" s="21">
        <v>0.48788928343893895</v>
      </c>
      <c r="C96" s="21">
        <v>0.39280340064924596</v>
      </c>
      <c r="D96" s="21">
        <v>0.11930731591181509</v>
      </c>
      <c r="E96" s="21">
        <v>1</v>
      </c>
    </row>
    <row r="97" spans="1:9" x14ac:dyDescent="0.35">
      <c r="A97" s="15" t="s">
        <v>32</v>
      </c>
      <c r="B97" s="21">
        <v>0.56421189651782655</v>
      </c>
      <c r="C97" s="21">
        <v>0.24472240192344774</v>
      </c>
      <c r="D97" s="21">
        <v>0.1910657015587256</v>
      </c>
      <c r="E97" s="21">
        <v>1</v>
      </c>
    </row>
    <row r="98" spans="1:9" x14ac:dyDescent="0.35">
      <c r="A98" s="15" t="s">
        <v>49</v>
      </c>
      <c r="B98" s="21">
        <v>0.58842920837190105</v>
      </c>
      <c r="C98" s="21">
        <v>0.21034475234569133</v>
      </c>
      <c r="D98" s="21">
        <v>0.20122603928240759</v>
      </c>
      <c r="E98" s="21">
        <v>1</v>
      </c>
    </row>
    <row r="99" spans="1:9" x14ac:dyDescent="0.35">
      <c r="A99" s="15" t="s">
        <v>1724</v>
      </c>
      <c r="B99" s="21">
        <v>0.53408029319856976</v>
      </c>
      <c r="C99" s="21">
        <v>0.29909172545182944</v>
      </c>
      <c r="D99" s="21">
        <v>0.16682798134960083</v>
      </c>
      <c r="E99" s="21">
        <v>1</v>
      </c>
    </row>
    <row r="102" spans="1:9" s="12" customFormat="1" x14ac:dyDescent="0.35">
      <c r="A102" s="13" t="s">
        <v>1684</v>
      </c>
    </row>
    <row r="105" spans="1:9" x14ac:dyDescent="0.35">
      <c r="A105" s="14" t="s">
        <v>1725</v>
      </c>
      <c r="B105" s="14" t="s">
        <v>1726</v>
      </c>
      <c r="F105" s="14" t="s">
        <v>1725</v>
      </c>
      <c r="G105" s="14" t="s">
        <v>1726</v>
      </c>
    </row>
    <row r="106" spans="1:9" x14ac:dyDescent="0.35">
      <c r="A106" s="14" t="s">
        <v>3</v>
      </c>
      <c r="B106" t="s">
        <v>1733</v>
      </c>
      <c r="C106" t="s">
        <v>1734</v>
      </c>
      <c r="D106" t="s">
        <v>1724</v>
      </c>
      <c r="F106" s="14" t="s">
        <v>3</v>
      </c>
      <c r="G106" t="s">
        <v>1733</v>
      </c>
      <c r="H106" t="s">
        <v>1734</v>
      </c>
      <c r="I106" t="s">
        <v>1724</v>
      </c>
    </row>
    <row r="107" spans="1:9" x14ac:dyDescent="0.35">
      <c r="A107" s="15" t="s">
        <v>1742</v>
      </c>
      <c r="B107" s="17">
        <v>967369.0900000002</v>
      </c>
      <c r="C107" s="17">
        <v>1041278.4499999997</v>
      </c>
      <c r="D107" s="17">
        <v>2008647.54</v>
      </c>
      <c r="F107" s="15" t="s">
        <v>1742</v>
      </c>
      <c r="G107" s="21">
        <v>0.48160220782188606</v>
      </c>
      <c r="H107" s="21">
        <v>0.51839779217811388</v>
      </c>
      <c r="I107" s="21">
        <v>1</v>
      </c>
    </row>
    <row r="108" spans="1:9" x14ac:dyDescent="0.35">
      <c r="A108" s="15" t="s">
        <v>1743</v>
      </c>
      <c r="B108" s="17">
        <v>371846.40999999992</v>
      </c>
      <c r="C108" s="17">
        <v>681310.86000000022</v>
      </c>
      <c r="D108" s="17">
        <v>1053157.27</v>
      </c>
      <c r="F108" s="25" t="s">
        <v>1743</v>
      </c>
      <c r="G108" s="26">
        <v>0.35307776017156478</v>
      </c>
      <c r="H108" s="26">
        <v>0.64692223982843533</v>
      </c>
      <c r="I108" s="26">
        <v>1</v>
      </c>
    </row>
    <row r="109" spans="1:9" x14ac:dyDescent="0.35">
      <c r="A109" s="15" t="s">
        <v>1744</v>
      </c>
      <c r="B109" s="17">
        <v>740433.37999999977</v>
      </c>
      <c r="C109" s="17">
        <v>798023.45000000042</v>
      </c>
      <c r="D109" s="17">
        <v>1538456.83</v>
      </c>
      <c r="F109" s="15" t="s">
        <v>1744</v>
      </c>
      <c r="G109" s="21">
        <v>0.48128316996714149</v>
      </c>
      <c r="H109" s="21">
        <v>0.51871683003285851</v>
      </c>
      <c r="I109" s="21">
        <v>1</v>
      </c>
    </row>
    <row r="110" spans="1:9" x14ac:dyDescent="0.35">
      <c r="A110" s="15" t="s">
        <v>1739</v>
      </c>
      <c r="B110" s="17">
        <v>529548.04999999993</v>
      </c>
      <c r="C110" s="17">
        <v>418699.97</v>
      </c>
      <c r="D110" s="17">
        <v>948248.0199999999</v>
      </c>
      <c r="F110" s="23" t="s">
        <v>1739</v>
      </c>
      <c r="G110" s="24">
        <v>0.55844888555633365</v>
      </c>
      <c r="H110" s="24">
        <v>0.44155111444366635</v>
      </c>
      <c r="I110" s="24">
        <v>1</v>
      </c>
    </row>
    <row r="111" spans="1:9" x14ac:dyDescent="0.35">
      <c r="A111" s="15" t="s">
        <v>1740</v>
      </c>
      <c r="B111" s="17">
        <v>558113.45000000007</v>
      </c>
      <c r="C111" s="17">
        <v>593333.28</v>
      </c>
      <c r="D111" s="17">
        <v>1151446.73</v>
      </c>
      <c r="F111" s="15" t="s">
        <v>1740</v>
      </c>
      <c r="G111" s="21">
        <v>0.48470627034565472</v>
      </c>
      <c r="H111" s="21">
        <v>0.51529372965434539</v>
      </c>
      <c r="I111" s="21">
        <v>1</v>
      </c>
    </row>
    <row r="112" spans="1:9" x14ac:dyDescent="0.35">
      <c r="A112" s="15" t="s">
        <v>1741</v>
      </c>
      <c r="B112" s="17">
        <v>320552.49</v>
      </c>
      <c r="C112" s="17">
        <v>104844.65</v>
      </c>
      <c r="D112" s="17">
        <v>425397.14</v>
      </c>
      <c r="F112" s="23" t="s">
        <v>1741</v>
      </c>
      <c r="G112" s="24">
        <v>0.75353701249613469</v>
      </c>
      <c r="H112" s="24">
        <v>0.24646298750386519</v>
      </c>
      <c r="I112" s="24">
        <v>1</v>
      </c>
    </row>
    <row r="113" spans="1:15" x14ac:dyDescent="0.35">
      <c r="A113" s="15" t="s">
        <v>1745</v>
      </c>
      <c r="B113" s="17">
        <v>482184.27</v>
      </c>
      <c r="C113" s="17">
        <v>497146.12999999989</v>
      </c>
      <c r="D113" s="17">
        <v>979330.39999999991</v>
      </c>
      <c r="F113" s="15" t="s">
        <v>1745</v>
      </c>
      <c r="G113" s="21">
        <v>0.49236117861755346</v>
      </c>
      <c r="H113" s="21">
        <v>0.50763882138244654</v>
      </c>
      <c r="I113" s="21">
        <v>1</v>
      </c>
    </row>
    <row r="114" spans="1:15" x14ac:dyDescent="0.35">
      <c r="A114" s="15" t="s">
        <v>1746</v>
      </c>
      <c r="B114" s="17">
        <v>432409.59000000014</v>
      </c>
      <c r="C114" s="17">
        <v>219848.75000000006</v>
      </c>
      <c r="D114" s="17">
        <v>652258.3400000002</v>
      </c>
      <c r="F114" s="23" t="s">
        <v>1746</v>
      </c>
      <c r="G114" s="24">
        <v>0.66294221703627432</v>
      </c>
      <c r="H114" s="24">
        <v>0.33705778296372568</v>
      </c>
      <c r="I114" s="24">
        <v>1</v>
      </c>
    </row>
    <row r="115" spans="1:15" x14ac:dyDescent="0.35">
      <c r="A115" s="15" t="s">
        <v>1747</v>
      </c>
      <c r="B115" s="17">
        <v>326695.45999999996</v>
      </c>
      <c r="C115" s="17">
        <v>263239.46999999997</v>
      </c>
      <c r="D115" s="17">
        <v>589934.92999999993</v>
      </c>
      <c r="F115" s="15" t="s">
        <v>1747</v>
      </c>
      <c r="G115" s="21">
        <v>0.55378219424979636</v>
      </c>
      <c r="H115" s="21">
        <v>0.4462178057502037</v>
      </c>
      <c r="I115" s="21">
        <v>1</v>
      </c>
    </row>
    <row r="116" spans="1:15" x14ac:dyDescent="0.35">
      <c r="A116" s="15" t="s">
        <v>1748</v>
      </c>
      <c r="B116" s="17">
        <v>1363763.8199999996</v>
      </c>
      <c r="C116" s="17">
        <v>1129374.3599999999</v>
      </c>
      <c r="D116" s="17">
        <v>2493138.1799999997</v>
      </c>
      <c r="F116" s="15" t="s">
        <v>1748</v>
      </c>
      <c r="G116" s="21">
        <v>0.54700691319082839</v>
      </c>
      <c r="H116" s="21">
        <v>0.45299308680917155</v>
      </c>
      <c r="I116" s="21">
        <v>1</v>
      </c>
    </row>
    <row r="117" spans="1:15" x14ac:dyDescent="0.35">
      <c r="A117" s="15" t="s">
        <v>1749</v>
      </c>
      <c r="B117" s="17">
        <v>710387.33</v>
      </c>
      <c r="C117" s="17">
        <v>1583520.5300000005</v>
      </c>
      <c r="D117" s="17">
        <v>2293907.8600000003</v>
      </c>
      <c r="F117" s="25" t="s">
        <v>1749</v>
      </c>
      <c r="G117" s="26">
        <v>0.30968433492354824</v>
      </c>
      <c r="H117" s="26">
        <v>0.69031566507645181</v>
      </c>
      <c r="I117" s="26">
        <v>1</v>
      </c>
    </row>
    <row r="118" spans="1:15" x14ac:dyDescent="0.35">
      <c r="A118" s="15" t="s">
        <v>1750</v>
      </c>
      <c r="B118" s="17">
        <v>558725.5199999999</v>
      </c>
      <c r="C118" s="17">
        <v>520085.28</v>
      </c>
      <c r="D118" s="17">
        <v>1078810.7999999998</v>
      </c>
      <c r="F118" s="15" t="s">
        <v>1750</v>
      </c>
      <c r="G118" s="21">
        <v>0.51790871949001627</v>
      </c>
      <c r="H118" s="21">
        <v>0.4820912805099839</v>
      </c>
      <c r="I118" s="21">
        <v>1</v>
      </c>
    </row>
    <row r="119" spans="1:15" x14ac:dyDescent="0.35">
      <c r="A119" s="15" t="s">
        <v>1724</v>
      </c>
      <c r="B119" s="17">
        <v>7362028.8599999994</v>
      </c>
      <c r="C119" s="17">
        <v>7850705.1800000016</v>
      </c>
      <c r="D119" s="17">
        <v>15212734.039999999</v>
      </c>
      <c r="F119" s="15" t="s">
        <v>1724</v>
      </c>
      <c r="G119" s="21">
        <v>0.48393857676354934</v>
      </c>
      <c r="H119" s="21">
        <v>0.51606142323645077</v>
      </c>
      <c r="I119" s="21">
        <v>1</v>
      </c>
    </row>
    <row r="123" spans="1:15" s="12" customFormat="1" x14ac:dyDescent="0.35">
      <c r="A123" s="13" t="s">
        <v>1686</v>
      </c>
    </row>
    <row r="125" spans="1:15" x14ac:dyDescent="0.35">
      <c r="F125" t="s">
        <v>1753</v>
      </c>
      <c r="L125" t="s">
        <v>1752</v>
      </c>
    </row>
    <row r="126" spans="1:15" x14ac:dyDescent="0.35">
      <c r="A126" s="14" t="s">
        <v>1725</v>
      </c>
      <c r="B126" s="14" t="s">
        <v>1726</v>
      </c>
      <c r="F126" s="14" t="s">
        <v>1725</v>
      </c>
      <c r="G126" s="14" t="s">
        <v>1726</v>
      </c>
      <c r="L126" s="14" t="s">
        <v>1725</v>
      </c>
      <c r="M126" s="14" t="s">
        <v>1726</v>
      </c>
    </row>
    <row r="127" spans="1:15" x14ac:dyDescent="0.35">
      <c r="A127" s="14" t="s">
        <v>3</v>
      </c>
      <c r="B127" t="s">
        <v>1733</v>
      </c>
      <c r="C127" t="s">
        <v>1734</v>
      </c>
      <c r="D127" t="s">
        <v>1724</v>
      </c>
      <c r="F127" s="14" t="s">
        <v>3</v>
      </c>
      <c r="G127" t="s">
        <v>1733</v>
      </c>
      <c r="H127" t="s">
        <v>1734</v>
      </c>
      <c r="I127" t="s">
        <v>1724</v>
      </c>
      <c r="L127" s="14" t="s">
        <v>3</v>
      </c>
      <c r="M127" t="s">
        <v>1733</v>
      </c>
      <c r="N127" t="s">
        <v>1734</v>
      </c>
      <c r="O127" t="s">
        <v>1724</v>
      </c>
    </row>
    <row r="128" spans="1:15" x14ac:dyDescent="0.35">
      <c r="A128" s="15" t="s">
        <v>1735</v>
      </c>
      <c r="B128" s="20">
        <v>0.28248311974153278</v>
      </c>
      <c r="C128" s="20">
        <v>0.32106832471831531</v>
      </c>
      <c r="D128" s="20">
        <v>0.30239545553772135</v>
      </c>
      <c r="F128" s="15" t="s">
        <v>1735</v>
      </c>
      <c r="G128" s="20"/>
      <c r="H128" s="20">
        <v>0.21203765897250887</v>
      </c>
      <c r="I128" s="20"/>
      <c r="L128" s="15" t="s">
        <v>1735</v>
      </c>
      <c r="M128" s="20"/>
      <c r="N128" s="20"/>
      <c r="O128" s="20"/>
    </row>
    <row r="129" spans="1:15" x14ac:dyDescent="0.35">
      <c r="A129" s="15" t="s">
        <v>1736</v>
      </c>
      <c r="B129" s="20">
        <v>0.19128069405585024</v>
      </c>
      <c r="C129" s="20">
        <v>0.14226465959329274</v>
      </c>
      <c r="D129" s="20">
        <v>0.1659854095496959</v>
      </c>
      <c r="F129" s="15" t="s">
        <v>1736</v>
      </c>
      <c r="G129" s="20"/>
      <c r="H129" s="20">
        <v>-0.2068833941921</v>
      </c>
      <c r="I129" s="20"/>
      <c r="L129" s="15" t="s">
        <v>1736</v>
      </c>
      <c r="M129" s="20">
        <v>-0.32285973678402868</v>
      </c>
      <c r="N129" s="20">
        <v>-0.55690222721874982</v>
      </c>
      <c r="O129" s="20">
        <v>-0.4510982010144971</v>
      </c>
    </row>
    <row r="130" spans="1:15" x14ac:dyDescent="0.35">
      <c r="A130" s="15" t="s">
        <v>1737</v>
      </c>
      <c r="B130" s="20">
        <v>0.1686069619672749</v>
      </c>
      <c r="C130" s="20">
        <v>0.12485940148372759</v>
      </c>
      <c r="D130" s="20">
        <v>0.14603053364101276</v>
      </c>
      <c r="F130" s="15" t="s">
        <v>1737</v>
      </c>
      <c r="G130" s="20"/>
      <c r="H130" s="20">
        <v>-0.21030952719386986</v>
      </c>
      <c r="I130" s="20"/>
      <c r="L130" s="15" t="s">
        <v>1737</v>
      </c>
      <c r="M130" s="20">
        <v>-0.11853643777534105</v>
      </c>
      <c r="N130" s="20">
        <v>-0.12234421506594417</v>
      </c>
      <c r="O130" s="20">
        <v>-0.12022066254388858</v>
      </c>
    </row>
    <row r="131" spans="1:15" x14ac:dyDescent="0.35">
      <c r="A131" s="15" t="s">
        <v>1738</v>
      </c>
      <c r="B131" s="20">
        <v>0.35762922423534194</v>
      </c>
      <c r="C131" s="20">
        <v>0.41180761420466439</v>
      </c>
      <c r="D131" s="20">
        <v>0.38558860127156996</v>
      </c>
      <c r="F131" s="15" t="s">
        <v>1738</v>
      </c>
      <c r="G131" s="20"/>
      <c r="H131" s="20">
        <v>0.2279269313438832</v>
      </c>
      <c r="I131" s="20"/>
      <c r="L131" s="15" t="s">
        <v>1738</v>
      </c>
      <c r="M131" s="20">
        <v>1.1210821905726205</v>
      </c>
      <c r="N131" s="20">
        <v>2.2981706568434381</v>
      </c>
      <c r="O131" s="20">
        <v>1.6404656044020451</v>
      </c>
    </row>
    <row r="132" spans="1:15" x14ac:dyDescent="0.35">
      <c r="A132" s="15" t="s">
        <v>1724</v>
      </c>
      <c r="B132" s="20">
        <v>1</v>
      </c>
      <c r="C132" s="20">
        <v>1</v>
      </c>
      <c r="D132" s="20">
        <v>1</v>
      </c>
      <c r="F132" s="15" t="s">
        <v>1724</v>
      </c>
      <c r="G132" s="20"/>
      <c r="H132" s="20">
        <v>6.6377941365473064E-2</v>
      </c>
      <c r="I132" s="20"/>
      <c r="L132" s="15" t="s">
        <v>1724</v>
      </c>
      <c r="M132" s="20"/>
      <c r="N132" s="20"/>
      <c r="O132" s="20"/>
    </row>
    <row r="137" spans="1:15" x14ac:dyDescent="0.35">
      <c r="A137" s="14" t="s">
        <v>1725</v>
      </c>
      <c r="B137" s="14" t="s">
        <v>1726</v>
      </c>
    </row>
    <row r="138" spans="1:15" x14ac:dyDescent="0.35">
      <c r="A138" s="14" t="s">
        <v>3</v>
      </c>
      <c r="B138" t="s">
        <v>1733</v>
      </c>
      <c r="C138" t="s">
        <v>1734</v>
      </c>
      <c r="D138" t="s">
        <v>1724</v>
      </c>
    </row>
    <row r="139" spans="1:15" x14ac:dyDescent="0.35">
      <c r="A139" s="15" t="s">
        <v>1735</v>
      </c>
      <c r="B139" s="17">
        <v>2079648.8799999994</v>
      </c>
      <c r="C139" s="17">
        <v>2520612.7599999993</v>
      </c>
      <c r="D139" s="17">
        <v>4600261.6399999987</v>
      </c>
      <c r="E139" s="28">
        <f>(C139-B139)/B139</f>
        <v>0.21203765897250887</v>
      </c>
    </row>
    <row r="140" spans="1:15" x14ac:dyDescent="0.35">
      <c r="A140" s="15" t="s">
        <v>1736</v>
      </c>
      <c r="B140" s="17">
        <v>1408213.9899999995</v>
      </c>
      <c r="C140" s="17">
        <v>1116877.8999999997</v>
      </c>
      <c r="D140" s="17">
        <v>2525091.8899999992</v>
      </c>
      <c r="E140" s="28">
        <f t="shared" ref="E140:E143" si="1">(C140-B140)/B140</f>
        <v>-0.2068833941921</v>
      </c>
    </row>
    <row r="141" spans="1:15" x14ac:dyDescent="0.35">
      <c r="A141" s="15" t="s">
        <v>1737</v>
      </c>
      <c r="B141" s="17">
        <v>1241289.3199999998</v>
      </c>
      <c r="C141" s="17">
        <v>980234.34999999963</v>
      </c>
      <c r="D141" s="17">
        <v>2221523.6699999995</v>
      </c>
      <c r="E141" s="28">
        <f t="shared" si="1"/>
        <v>-0.21030952719386986</v>
      </c>
    </row>
    <row r="142" spans="1:15" x14ac:dyDescent="0.35">
      <c r="A142" s="15" t="s">
        <v>1738</v>
      </c>
      <c r="B142" s="17">
        <v>2632876.6699999981</v>
      </c>
      <c r="C142" s="17">
        <v>3232980.1699999995</v>
      </c>
      <c r="D142" s="17">
        <v>5865856.839999998</v>
      </c>
      <c r="E142" s="28">
        <f t="shared" si="1"/>
        <v>0.2279269313438832</v>
      </c>
    </row>
    <row r="143" spans="1:15" x14ac:dyDescent="0.35">
      <c r="A143" s="15" t="s">
        <v>1724</v>
      </c>
      <c r="B143" s="17">
        <v>7362028.8599999975</v>
      </c>
      <c r="C143" s="17">
        <v>7850705.1799999978</v>
      </c>
      <c r="D143" s="17">
        <v>15212734.039999995</v>
      </c>
      <c r="E143" s="28">
        <f t="shared" si="1"/>
        <v>6.6377941365473064E-2</v>
      </c>
    </row>
    <row r="147" spans="1:2" s="12" customFormat="1" x14ac:dyDescent="0.35">
      <c r="A147" s="13" t="s">
        <v>1688</v>
      </c>
    </row>
    <row r="150" spans="1:2" x14ac:dyDescent="0.35">
      <c r="A150" s="14" t="s">
        <v>3</v>
      </c>
      <c r="B150" t="s">
        <v>1725</v>
      </c>
    </row>
    <row r="151" spans="1:2" x14ac:dyDescent="0.35">
      <c r="A151" s="15" t="s">
        <v>1742</v>
      </c>
      <c r="B151" s="17">
        <v>2008647.5399999996</v>
      </c>
    </row>
    <row r="152" spans="1:2" x14ac:dyDescent="0.35">
      <c r="A152" s="15" t="s">
        <v>1743</v>
      </c>
      <c r="B152" s="17">
        <v>1053157.2700000003</v>
      </c>
    </row>
    <row r="153" spans="1:2" x14ac:dyDescent="0.35">
      <c r="A153" s="15" t="s">
        <v>1744</v>
      </c>
      <c r="B153" s="17">
        <v>1538456.8300000003</v>
      </c>
    </row>
    <row r="154" spans="1:2" x14ac:dyDescent="0.35">
      <c r="A154" s="15" t="s">
        <v>1739</v>
      </c>
      <c r="B154" s="17">
        <v>948248.0199999999</v>
      </c>
    </row>
    <row r="155" spans="1:2" x14ac:dyDescent="0.35">
      <c r="A155" s="15" t="s">
        <v>1740</v>
      </c>
      <c r="B155" s="17">
        <v>1151446.73</v>
      </c>
    </row>
    <row r="156" spans="1:2" x14ac:dyDescent="0.35">
      <c r="A156" s="15" t="s">
        <v>1741</v>
      </c>
      <c r="B156" s="17">
        <v>425397.14000000007</v>
      </c>
    </row>
    <row r="157" spans="1:2" x14ac:dyDescent="0.35">
      <c r="A157" s="15" t="s">
        <v>1745</v>
      </c>
      <c r="B157" s="17">
        <v>979330.40000000014</v>
      </c>
    </row>
    <row r="158" spans="1:2" x14ac:dyDescent="0.35">
      <c r="A158" s="15" t="s">
        <v>1746</v>
      </c>
      <c r="B158" s="17">
        <v>652258.34000000008</v>
      </c>
    </row>
    <row r="159" spans="1:2" x14ac:dyDescent="0.35">
      <c r="A159" s="15" t="s">
        <v>1747</v>
      </c>
      <c r="B159" s="17">
        <v>589934.92999999993</v>
      </c>
    </row>
    <row r="160" spans="1:2" x14ac:dyDescent="0.35">
      <c r="A160" s="15" t="s">
        <v>1748</v>
      </c>
      <c r="B160" s="17">
        <v>2493138.1800000011</v>
      </c>
    </row>
    <row r="161" spans="1:2" x14ac:dyDescent="0.35">
      <c r="A161" s="15" t="s">
        <v>1749</v>
      </c>
      <c r="B161" s="17">
        <v>2293907.86</v>
      </c>
    </row>
    <row r="162" spans="1:2" x14ac:dyDescent="0.35">
      <c r="A162" s="15" t="s">
        <v>1750</v>
      </c>
      <c r="B162" s="17">
        <v>1078810.7999999996</v>
      </c>
    </row>
    <row r="163" spans="1:2" x14ac:dyDescent="0.35">
      <c r="A163" s="15" t="s">
        <v>1724</v>
      </c>
      <c r="B163" s="17">
        <v>15212734.039999999</v>
      </c>
    </row>
    <row r="167" spans="1:2" s="12" customFormat="1" x14ac:dyDescent="0.35">
      <c r="A167" s="13" t="s">
        <v>1691</v>
      </c>
    </row>
    <row r="170" spans="1:2" x14ac:dyDescent="0.35">
      <c r="A170" s="14" t="s">
        <v>3</v>
      </c>
      <c r="B170" t="s">
        <v>1725</v>
      </c>
    </row>
    <row r="171" spans="1:2" x14ac:dyDescent="0.35">
      <c r="A171" s="15" t="s">
        <v>117</v>
      </c>
      <c r="B171" s="21">
        <v>2.7343166514728609E-2</v>
      </c>
    </row>
    <row r="172" spans="1:2" x14ac:dyDescent="0.35">
      <c r="A172" s="15" t="s">
        <v>42</v>
      </c>
      <c r="B172" s="21">
        <v>1.19090473496505E-2</v>
      </c>
    </row>
    <row r="173" spans="1:2" x14ac:dyDescent="0.35">
      <c r="A173" s="15" t="s">
        <v>134</v>
      </c>
      <c r="B173" s="21">
        <v>5.0266376707128725E-2</v>
      </c>
    </row>
    <row r="174" spans="1:2" x14ac:dyDescent="0.35">
      <c r="A174" s="15" t="s">
        <v>22</v>
      </c>
      <c r="B174" s="21">
        <v>0.63854184622292909</v>
      </c>
    </row>
    <row r="175" spans="1:2" x14ac:dyDescent="0.35">
      <c r="A175" s="15" t="s">
        <v>32</v>
      </c>
      <c r="B175" s="21">
        <v>0.12214257050141666</v>
      </c>
    </row>
    <row r="176" spans="1:2" x14ac:dyDescent="0.35">
      <c r="A176" s="15" t="s">
        <v>49</v>
      </c>
      <c r="B176" s="21">
        <v>0.14979699270414643</v>
      </c>
    </row>
    <row r="177" spans="1:3" x14ac:dyDescent="0.35">
      <c r="A177" s="15" t="s">
        <v>1724</v>
      </c>
      <c r="B177" s="21">
        <v>1</v>
      </c>
    </row>
    <row r="181" spans="1:3" s="12" customFormat="1" x14ac:dyDescent="0.35">
      <c r="A181" s="13" t="s">
        <v>1693</v>
      </c>
    </row>
    <row r="183" spans="1:3" x14ac:dyDescent="0.35">
      <c r="B183" s="29" t="s">
        <v>1756</v>
      </c>
      <c r="C183" s="29" t="s">
        <v>1755</v>
      </c>
    </row>
    <row r="184" spans="1:3" x14ac:dyDescent="0.35">
      <c r="A184" s="14" t="s">
        <v>1754</v>
      </c>
      <c r="B184" t="s">
        <v>1725</v>
      </c>
      <c r="C184" t="s">
        <v>1751</v>
      </c>
    </row>
    <row r="185" spans="1:3" x14ac:dyDescent="0.35">
      <c r="A185" s="15" t="s">
        <v>20</v>
      </c>
      <c r="B185" s="20">
        <v>0.23034208320386834</v>
      </c>
      <c r="C185" s="20">
        <v>0.23034208320386834</v>
      </c>
    </row>
    <row r="186" spans="1:3" x14ac:dyDescent="0.35">
      <c r="A186" s="18" t="s">
        <v>117</v>
      </c>
      <c r="B186" s="20">
        <v>3.8515406172457196E-2</v>
      </c>
      <c r="C186" s="20">
        <v>8.8717188932069205E-3</v>
      </c>
    </row>
    <row r="187" spans="1:3" x14ac:dyDescent="0.35">
      <c r="A187" s="18" t="s">
        <v>42</v>
      </c>
      <c r="B187" s="20">
        <v>1.3804248317811357E-2</v>
      </c>
      <c r="C187" s="20">
        <v>3.1796993145881635E-3</v>
      </c>
    </row>
    <row r="188" spans="1:3" x14ac:dyDescent="0.35">
      <c r="A188" s="18" t="s">
        <v>134</v>
      </c>
      <c r="B188" s="20">
        <v>5.8642713845737923E-2</v>
      </c>
      <c r="C188" s="20">
        <v>1.3507884871955608E-2</v>
      </c>
    </row>
    <row r="189" spans="1:3" x14ac:dyDescent="0.35">
      <c r="A189" s="18" t="s">
        <v>22</v>
      </c>
      <c r="B189" s="20">
        <v>0.61993847636227617</v>
      </c>
      <c r="C189" s="20">
        <v>0.14279792010351877</v>
      </c>
    </row>
    <row r="190" spans="1:3" x14ac:dyDescent="0.35">
      <c r="A190" s="18" t="s">
        <v>32</v>
      </c>
      <c r="B190" s="20">
        <v>0.10843930189461852</v>
      </c>
      <c r="C190" s="20">
        <v>2.4978134699579619E-2</v>
      </c>
    </row>
    <row r="191" spans="1:3" x14ac:dyDescent="0.35">
      <c r="A191" s="18" t="s">
        <v>49</v>
      </c>
      <c r="B191" s="20">
        <v>0.16065985340709898</v>
      </c>
      <c r="C191" s="20">
        <v>3.7006725321019285E-2</v>
      </c>
    </row>
    <row r="192" spans="1:3" x14ac:dyDescent="0.35">
      <c r="A192" s="15" t="s">
        <v>60</v>
      </c>
      <c r="B192" s="20">
        <v>0.29721560819451492</v>
      </c>
      <c r="C192" s="20">
        <v>0.29721560819451492</v>
      </c>
    </row>
    <row r="193" spans="1:3" x14ac:dyDescent="0.35">
      <c r="A193" s="18" t="s">
        <v>117</v>
      </c>
      <c r="B193" s="20">
        <v>2.3147957452700034E-2</v>
      </c>
      <c r="C193" s="20">
        <v>6.8799342527649963E-3</v>
      </c>
    </row>
    <row r="194" spans="1:3" x14ac:dyDescent="0.35">
      <c r="A194" s="18" t="s">
        <v>42</v>
      </c>
      <c r="B194" s="20">
        <v>1.1383884239212891E-2</v>
      </c>
      <c r="C194" s="20">
        <v>3.3834680777736128E-3</v>
      </c>
    </row>
    <row r="195" spans="1:3" x14ac:dyDescent="0.35">
      <c r="A195" s="18" t="s">
        <v>134</v>
      </c>
      <c r="B195" s="20">
        <v>3.8409377320875425E-2</v>
      </c>
      <c r="C195" s="20">
        <v>1.1415866440796599E-2</v>
      </c>
    </row>
    <row r="196" spans="1:3" x14ac:dyDescent="0.35">
      <c r="A196" s="18" t="s">
        <v>22</v>
      </c>
      <c r="B196" s="20">
        <v>0.68644455266902615</v>
      </c>
      <c r="C196" s="20">
        <v>0.20402203521333634</v>
      </c>
    </row>
    <row r="197" spans="1:3" x14ac:dyDescent="0.35">
      <c r="A197" s="18" t="s">
        <v>32</v>
      </c>
      <c r="B197" s="20">
        <v>0.11045025259528891</v>
      </c>
      <c r="C197" s="20">
        <v>3.2827539000346601E-2</v>
      </c>
    </row>
    <row r="198" spans="1:3" x14ac:dyDescent="0.35">
      <c r="A198" s="18" t="s">
        <v>49</v>
      </c>
      <c r="B198" s="20">
        <v>0.13016397572289676</v>
      </c>
      <c r="C198" s="20">
        <v>3.8686765209496835E-2</v>
      </c>
    </row>
    <row r="199" spans="1:3" x14ac:dyDescent="0.35">
      <c r="A199" s="15" t="s">
        <v>40</v>
      </c>
      <c r="B199" s="20">
        <v>0.21409415766003892</v>
      </c>
      <c r="C199" s="20">
        <v>0.21409415766003892</v>
      </c>
    </row>
    <row r="200" spans="1:3" x14ac:dyDescent="0.35">
      <c r="A200" s="18" t="s">
        <v>117</v>
      </c>
      <c r="B200" s="20">
        <v>3.2893281738513823E-2</v>
      </c>
      <c r="C200" s="20">
        <v>7.0422594464814581E-3</v>
      </c>
    </row>
    <row r="201" spans="1:3" x14ac:dyDescent="0.35">
      <c r="A201" s="18" t="s">
        <v>42</v>
      </c>
      <c r="B201" s="20">
        <v>1.637827645204628E-2</v>
      </c>
      <c r="C201" s="20">
        <v>3.5064933009240993E-3</v>
      </c>
    </row>
    <row r="202" spans="1:3" x14ac:dyDescent="0.35">
      <c r="A202" s="18" t="s">
        <v>134</v>
      </c>
      <c r="B202" s="20">
        <v>5.5464558904834101E-2</v>
      </c>
      <c r="C202" s="20">
        <v>1.1874638018716067E-2</v>
      </c>
    </row>
    <row r="203" spans="1:3" x14ac:dyDescent="0.35">
      <c r="A203" s="18" t="s">
        <v>22</v>
      </c>
      <c r="B203" s="20">
        <v>0.59605350758217446</v>
      </c>
      <c r="C203" s="20">
        <v>0.12761157362611728</v>
      </c>
    </row>
    <row r="204" spans="1:3" x14ac:dyDescent="0.35">
      <c r="A204" s="18" t="s">
        <v>32</v>
      </c>
      <c r="B204" s="20">
        <v>0.14092089099056951</v>
      </c>
      <c r="C204" s="20">
        <v>3.017033945332815E-2</v>
      </c>
    </row>
    <row r="205" spans="1:3" x14ac:dyDescent="0.35">
      <c r="A205" s="18" t="s">
        <v>49</v>
      </c>
      <c r="B205" s="20">
        <v>0.1582894843318618</v>
      </c>
      <c r="C205" s="20">
        <v>3.3888853814471882E-2</v>
      </c>
    </row>
    <row r="206" spans="1:3" x14ac:dyDescent="0.35">
      <c r="A206" s="15" t="s">
        <v>30</v>
      </c>
      <c r="B206" s="20">
        <v>0.25834815094157787</v>
      </c>
      <c r="C206" s="20">
        <v>0.25834815094157787</v>
      </c>
    </row>
    <row r="207" spans="1:3" x14ac:dyDescent="0.35">
      <c r="A207" s="15" t="s">
        <v>1724</v>
      </c>
      <c r="B207" s="20">
        <v>1</v>
      </c>
      <c r="C207" s="20">
        <v>1</v>
      </c>
    </row>
    <row r="211" spans="1:13" s="12" customFormat="1" x14ac:dyDescent="0.35">
      <c r="A211" s="13" t="s">
        <v>1695</v>
      </c>
    </row>
    <row r="213" spans="1:13" x14ac:dyDescent="0.35">
      <c r="A213" t="s">
        <v>1758</v>
      </c>
    </row>
    <row r="214" spans="1:13" x14ac:dyDescent="0.35">
      <c r="A214" s="14" t="s">
        <v>1725</v>
      </c>
      <c r="B214" s="14" t="s">
        <v>1726</v>
      </c>
    </row>
    <row r="215" spans="1:13" x14ac:dyDescent="0.35">
      <c r="A215" s="14" t="s">
        <v>3</v>
      </c>
      <c r="B215" t="s">
        <v>1733</v>
      </c>
      <c r="C215" t="s">
        <v>1734</v>
      </c>
      <c r="D215" t="s">
        <v>1724</v>
      </c>
      <c r="L215" s="15" t="s">
        <v>1742</v>
      </c>
      <c r="M215" s="20"/>
    </row>
    <row r="216" spans="1:13" x14ac:dyDescent="0.35">
      <c r="A216" s="15" t="s">
        <v>1742</v>
      </c>
      <c r="B216" s="20"/>
      <c r="C216" s="20"/>
      <c r="D216" s="20"/>
      <c r="L216" s="15" t="s">
        <v>1743</v>
      </c>
      <c r="M216" s="20">
        <v>-0.61561061455871013</v>
      </c>
    </row>
    <row r="217" spans="1:13" x14ac:dyDescent="0.35">
      <c r="A217" s="15" t="s">
        <v>1743</v>
      </c>
      <c r="B217" s="20">
        <v>-0.61561061455871013</v>
      </c>
      <c r="C217" s="20">
        <v>-0.34569772379328467</v>
      </c>
      <c r="D217" s="20">
        <v>-0.47568836790550123</v>
      </c>
      <c r="G217">
        <v>2024</v>
      </c>
      <c r="H217">
        <v>2025</v>
      </c>
      <c r="L217" s="15" t="s">
        <v>1744</v>
      </c>
      <c r="M217" s="20">
        <v>0.99123444542600248</v>
      </c>
    </row>
    <row r="218" spans="1:13" x14ac:dyDescent="0.35">
      <c r="A218" s="15" t="s">
        <v>1744</v>
      </c>
      <c r="B218" s="20">
        <v>0.99123444542600248</v>
      </c>
      <c r="C218" s="20">
        <v>0.17130592927874386</v>
      </c>
      <c r="D218" s="20">
        <v>0.46080445326081265</v>
      </c>
      <c r="F218" t="s">
        <v>1742</v>
      </c>
      <c r="G218">
        <v>5</v>
      </c>
      <c r="H218">
        <v>10</v>
      </c>
      <c r="L218" s="15" t="s">
        <v>1739</v>
      </c>
      <c r="M218" s="20">
        <v>-0.28481337510742682</v>
      </c>
    </row>
    <row r="219" spans="1:13" x14ac:dyDescent="0.35">
      <c r="A219" s="15" t="s">
        <v>1739</v>
      </c>
      <c r="B219" s="20">
        <v>-0.28481337510742682</v>
      </c>
      <c r="C219" s="20">
        <v>-0.47532873877327819</v>
      </c>
      <c r="D219" s="20">
        <v>-0.38363690062073447</v>
      </c>
      <c r="F219" t="s">
        <v>1743</v>
      </c>
      <c r="G219">
        <v>1</v>
      </c>
      <c r="H219">
        <v>12</v>
      </c>
      <c r="L219" s="15" t="s">
        <v>1740</v>
      </c>
      <c r="M219" s="20">
        <v>5.3942980245135719E-2</v>
      </c>
    </row>
    <row r="220" spans="1:13" x14ac:dyDescent="0.35">
      <c r="A220" s="15" t="s">
        <v>1740</v>
      </c>
      <c r="B220" s="20">
        <v>5.3942980245135719E-2</v>
      </c>
      <c r="C220" s="20">
        <v>0.41708460117635088</v>
      </c>
      <c r="D220" s="20">
        <v>0.21428856766819307</v>
      </c>
      <c r="F220" t="s">
        <v>1744</v>
      </c>
      <c r="G220">
        <v>7</v>
      </c>
      <c r="H220">
        <v>9</v>
      </c>
      <c r="L220" s="15" t="s">
        <v>1741</v>
      </c>
      <c r="M220" s="20">
        <v>-0.42564994626092606</v>
      </c>
    </row>
    <row r="221" spans="1:13" x14ac:dyDescent="0.35">
      <c r="A221" s="15" t="s">
        <v>1741</v>
      </c>
      <c r="B221" s="20">
        <v>-0.42564994626092606</v>
      </c>
      <c r="C221" s="20">
        <v>-0.8232955178243162</v>
      </c>
      <c r="D221" s="20">
        <v>-0.63055421591235916</v>
      </c>
      <c r="L221" s="15" t="s">
        <v>1745</v>
      </c>
      <c r="M221" s="20">
        <v>0.50422874581320531</v>
      </c>
    </row>
    <row r="222" spans="1:13" x14ac:dyDescent="0.35">
      <c r="A222" s="15" t="s">
        <v>1745</v>
      </c>
      <c r="B222" s="20">
        <v>0.50422874581320531</v>
      </c>
      <c r="C222" s="20">
        <v>3.7417405656845619</v>
      </c>
      <c r="D222" s="20">
        <v>1.3021555810177752</v>
      </c>
      <c r="L222" s="15" t="s">
        <v>1746</v>
      </c>
      <c r="M222" s="20">
        <v>-0.10322750677868417</v>
      </c>
    </row>
    <row r="223" spans="1:13" x14ac:dyDescent="0.35">
      <c r="A223" s="15" t="s">
        <v>1746</v>
      </c>
      <c r="B223" s="20">
        <v>-0.10322750677868417</v>
      </c>
      <c r="C223" s="20">
        <v>-0.55777841416566976</v>
      </c>
      <c r="D223" s="20">
        <v>-0.33397519366293515</v>
      </c>
      <c r="G223" s="27">
        <f>(G219-G218)/G218</f>
        <v>-0.8</v>
      </c>
      <c r="L223" s="15" t="s">
        <v>1747</v>
      </c>
      <c r="M223" s="20">
        <v>-0.24447683965566108</v>
      </c>
    </row>
    <row r="224" spans="1:13" x14ac:dyDescent="0.35">
      <c r="A224" s="15" t="s">
        <v>1747</v>
      </c>
      <c r="B224" s="20">
        <v>-0.24447683965566108</v>
      </c>
      <c r="C224" s="20">
        <v>0.1973662347409294</v>
      </c>
      <c r="D224" s="20">
        <v>-9.5550192581669788E-2</v>
      </c>
      <c r="G224" s="27">
        <f>(G220-G219)/G219</f>
        <v>6</v>
      </c>
      <c r="L224" s="15" t="s">
        <v>1748</v>
      </c>
      <c r="M224" s="20">
        <v>3.1744192588412457</v>
      </c>
    </row>
    <row r="225" spans="1:13" x14ac:dyDescent="0.35">
      <c r="A225" s="15" t="s">
        <v>1748</v>
      </c>
      <c r="B225" s="20">
        <v>3.1744192588412457</v>
      </c>
      <c r="C225" s="20">
        <v>3.2902926373465196</v>
      </c>
      <c r="D225" s="20">
        <v>3.2261240235427322</v>
      </c>
      <c r="L225" s="15" t="s">
        <v>1749</v>
      </c>
      <c r="M225" s="20">
        <v>-0.47909797900343171</v>
      </c>
    </row>
    <row r="226" spans="1:13" x14ac:dyDescent="0.35">
      <c r="A226" s="15" t="s">
        <v>1749</v>
      </c>
      <c r="B226" s="20">
        <v>-0.47909797900343171</v>
      </c>
      <c r="C226" s="20">
        <v>0.40212190579570151</v>
      </c>
      <c r="D226" s="20">
        <v>-7.991146323064989E-2</v>
      </c>
      <c r="L226" s="15" t="s">
        <v>1750</v>
      </c>
      <c r="M226" s="20">
        <v>-0.21349171585028137</v>
      </c>
    </row>
    <row r="227" spans="1:13" x14ac:dyDescent="0.35">
      <c r="A227" s="15" t="s">
        <v>1750</v>
      </c>
      <c r="B227" s="20">
        <v>-0.21349171585028137</v>
      </c>
      <c r="C227" s="20">
        <v>-0.67156391714100483</v>
      </c>
      <c r="D227" s="20">
        <v>-0.52970613213732143</v>
      </c>
      <c r="G227" t="s">
        <v>1757</v>
      </c>
    </row>
    <row r="228" spans="1:13" x14ac:dyDescent="0.35">
      <c r="A228" s="15" t="s">
        <v>1724</v>
      </c>
      <c r="B228" s="20"/>
      <c r="C228" s="20"/>
      <c r="D228" s="20"/>
    </row>
    <row r="235" spans="1:13" x14ac:dyDescent="0.35">
      <c r="A235" s="14" t="s">
        <v>1725</v>
      </c>
      <c r="B235" s="14" t="s">
        <v>1726</v>
      </c>
      <c r="F235" s="14" t="s">
        <v>3</v>
      </c>
      <c r="G235" t="s">
        <v>1725</v>
      </c>
    </row>
    <row r="236" spans="1:13" x14ac:dyDescent="0.35">
      <c r="A236" s="14" t="s">
        <v>3</v>
      </c>
      <c r="B236" t="s">
        <v>1733</v>
      </c>
      <c r="C236" t="s">
        <v>1734</v>
      </c>
      <c r="D236" t="s">
        <v>1724</v>
      </c>
      <c r="F236" s="15" t="s">
        <v>1742</v>
      </c>
      <c r="G236" s="20"/>
      <c r="I236" s="15" t="s">
        <v>1742</v>
      </c>
      <c r="J236" s="20"/>
    </row>
    <row r="237" spans="1:13" x14ac:dyDescent="0.35">
      <c r="A237" s="15" t="s">
        <v>1742</v>
      </c>
      <c r="B237" s="20"/>
      <c r="C237" s="20"/>
      <c r="D237" s="20"/>
      <c r="F237" s="15" t="s">
        <v>1743</v>
      </c>
      <c r="G237" s="20">
        <v>-0.47568836790550101</v>
      </c>
      <c r="I237" s="15" t="s">
        <v>1743</v>
      </c>
      <c r="J237" s="20">
        <v>-0.47568836790550101</v>
      </c>
    </row>
    <row r="238" spans="1:13" x14ac:dyDescent="0.35">
      <c r="A238" s="15" t="s">
        <v>1743</v>
      </c>
      <c r="B238" s="20">
        <v>-0.61561061455871013</v>
      </c>
      <c r="C238" s="20">
        <v>-0.34569772379328467</v>
      </c>
      <c r="D238" s="20">
        <v>-0.47568836790550123</v>
      </c>
      <c r="F238" s="15" t="s">
        <v>1744</v>
      </c>
      <c r="G238" s="20">
        <v>0.46080445326081254</v>
      </c>
      <c r="I238" s="15" t="s">
        <v>1744</v>
      </c>
      <c r="J238" s="20">
        <v>0.46080445326081254</v>
      </c>
    </row>
    <row r="239" spans="1:13" x14ac:dyDescent="0.35">
      <c r="A239" s="15" t="s">
        <v>1744</v>
      </c>
      <c r="B239" s="20">
        <v>0.99123444542600248</v>
      </c>
      <c r="C239" s="20">
        <v>0.17130592927874386</v>
      </c>
      <c r="D239" s="20">
        <v>0.46080445326081265</v>
      </c>
      <c r="F239" s="15" t="s">
        <v>1739</v>
      </c>
      <c r="G239" s="20">
        <v>-0.38363690062073452</v>
      </c>
      <c r="I239" s="15" t="s">
        <v>1739</v>
      </c>
      <c r="J239" s="20">
        <v>-0.38363690062073452</v>
      </c>
    </row>
    <row r="240" spans="1:13" x14ac:dyDescent="0.35">
      <c r="A240" s="15" t="s">
        <v>1739</v>
      </c>
      <c r="B240" s="20">
        <v>-0.28481337510742682</v>
      </c>
      <c r="C240" s="20">
        <v>-0.47532873877327819</v>
      </c>
      <c r="D240" s="20">
        <v>-0.38363690062073447</v>
      </c>
      <c r="F240" s="15" t="s">
        <v>1740</v>
      </c>
      <c r="G240" s="20">
        <v>0.21428856766819307</v>
      </c>
      <c r="I240" s="15" t="s">
        <v>1740</v>
      </c>
      <c r="J240" s="20">
        <v>0.21428856766819307</v>
      </c>
    </row>
    <row r="241" spans="1:10" x14ac:dyDescent="0.35">
      <c r="A241" s="15" t="s">
        <v>1740</v>
      </c>
      <c r="B241" s="20">
        <v>5.3942980245135719E-2</v>
      </c>
      <c r="C241" s="20">
        <v>0.41708460117635088</v>
      </c>
      <c r="D241" s="20">
        <v>0.21428856766819307</v>
      </c>
      <c r="F241" s="15" t="s">
        <v>1741</v>
      </c>
      <c r="G241" s="20">
        <v>-0.63055421591235916</v>
      </c>
      <c r="I241" s="15" t="s">
        <v>1741</v>
      </c>
      <c r="J241" s="20">
        <v>-0.63055421591235916</v>
      </c>
    </row>
    <row r="242" spans="1:10" x14ac:dyDescent="0.35">
      <c r="A242" s="15" t="s">
        <v>1741</v>
      </c>
      <c r="B242" s="20">
        <v>-0.42564994626092606</v>
      </c>
      <c r="C242" s="20">
        <v>-0.8232955178243162</v>
      </c>
      <c r="D242" s="20">
        <v>-0.63055421591235916</v>
      </c>
      <c r="F242" s="15" t="s">
        <v>1745</v>
      </c>
      <c r="G242" s="20">
        <v>1.3021555810177754</v>
      </c>
      <c r="I242" s="15" t="s">
        <v>1745</v>
      </c>
      <c r="J242" s="20">
        <v>1.3021555810177754</v>
      </c>
    </row>
    <row r="243" spans="1:10" x14ac:dyDescent="0.35">
      <c r="A243" s="15" t="s">
        <v>1745</v>
      </c>
      <c r="B243" s="20">
        <v>0.50422874581320531</v>
      </c>
      <c r="C243" s="20">
        <v>3.7417405656845619</v>
      </c>
      <c r="D243" s="20">
        <v>1.3021555810177752</v>
      </c>
      <c r="F243" s="15" t="s">
        <v>1746</v>
      </c>
      <c r="G243" s="20">
        <v>-0.33397519366293543</v>
      </c>
      <c r="I243" s="15" t="s">
        <v>1746</v>
      </c>
      <c r="J243" s="20">
        <v>-0.33397519366293543</v>
      </c>
    </row>
    <row r="244" spans="1:10" x14ac:dyDescent="0.35">
      <c r="A244" s="15" t="s">
        <v>1746</v>
      </c>
      <c r="B244" s="20">
        <v>-0.10322750677868417</v>
      </c>
      <c r="C244" s="20">
        <v>-0.55777841416566976</v>
      </c>
      <c r="D244" s="20">
        <v>-0.33397519366293515</v>
      </c>
      <c r="F244" s="15" t="s">
        <v>1747</v>
      </c>
      <c r="G244" s="20">
        <v>-9.5550192581669621E-2</v>
      </c>
      <c r="I244" s="15" t="s">
        <v>1747</v>
      </c>
      <c r="J244" s="20">
        <v>-9.5550192581669621E-2</v>
      </c>
    </row>
    <row r="245" spans="1:10" x14ac:dyDescent="0.35">
      <c r="A245" s="15" t="s">
        <v>1747</v>
      </c>
      <c r="B245" s="20">
        <v>-0.24447683965566108</v>
      </c>
      <c r="C245" s="20">
        <v>0.1973662347409294</v>
      </c>
      <c r="D245" s="20">
        <v>-9.5550192581669788E-2</v>
      </c>
      <c r="F245" s="15" t="s">
        <v>1748</v>
      </c>
      <c r="G245" s="20">
        <v>3.2261240235427344</v>
      </c>
      <c r="I245" s="15" t="s">
        <v>1748</v>
      </c>
      <c r="J245" s="20">
        <v>3.2261240235427344</v>
      </c>
    </row>
    <row r="246" spans="1:10" x14ac:dyDescent="0.35">
      <c r="A246" s="15" t="s">
        <v>1748</v>
      </c>
      <c r="B246" s="20">
        <v>3.1744192588412457</v>
      </c>
      <c r="C246" s="20">
        <v>3.2902926373465196</v>
      </c>
      <c r="D246" s="20">
        <v>3.2261240235427322</v>
      </c>
      <c r="F246" s="15" t="s">
        <v>1749</v>
      </c>
      <c r="G246" s="20">
        <v>-7.9911463230650598E-2</v>
      </c>
      <c r="I246" s="15" t="s">
        <v>1749</v>
      </c>
      <c r="J246" s="20">
        <v>-7.9911463230650598E-2</v>
      </c>
    </row>
    <row r="247" spans="1:10" x14ac:dyDescent="0.35">
      <c r="A247" s="15" t="s">
        <v>1749</v>
      </c>
      <c r="B247" s="20">
        <v>-0.47909797900343171</v>
      </c>
      <c r="C247" s="20">
        <v>0.40212190579570151</v>
      </c>
      <c r="D247" s="20">
        <v>-7.991146323064989E-2</v>
      </c>
      <c r="F247" s="15" t="s">
        <v>1750</v>
      </c>
      <c r="G247" s="20">
        <v>-0.52970613213732154</v>
      </c>
      <c r="I247" s="15" t="s">
        <v>1750</v>
      </c>
      <c r="J247" s="20">
        <v>-0.52970613213732154</v>
      </c>
    </row>
    <row r="248" spans="1:10" x14ac:dyDescent="0.35">
      <c r="A248" s="15" t="s">
        <v>1750</v>
      </c>
      <c r="B248" s="20">
        <v>-0.21349171585028137</v>
      </c>
      <c r="C248" s="20">
        <v>-0.67156391714100483</v>
      </c>
      <c r="D248" s="20">
        <v>-0.52970613213732143</v>
      </c>
      <c r="F248" s="15" t="s">
        <v>1724</v>
      </c>
      <c r="G248" s="20"/>
    </row>
    <row r="249" spans="1:10" x14ac:dyDescent="0.35">
      <c r="A249" s="15" t="s">
        <v>1724</v>
      </c>
      <c r="B249" s="20"/>
      <c r="C249" s="20"/>
      <c r="D249" s="20"/>
    </row>
    <row r="253" spans="1:10" s="12" customFormat="1" x14ac:dyDescent="0.35">
      <c r="A253" s="13" t="s">
        <v>1698</v>
      </c>
    </row>
    <row r="254" spans="1:10" x14ac:dyDescent="0.35">
      <c r="D254" t="s">
        <v>1761</v>
      </c>
      <c r="E254" t="s">
        <v>1764</v>
      </c>
    </row>
    <row r="255" spans="1:10" x14ac:dyDescent="0.35">
      <c r="A255" s="14" t="s">
        <v>3</v>
      </c>
      <c r="B255" t="s">
        <v>1727</v>
      </c>
      <c r="C255" t="s">
        <v>1725</v>
      </c>
      <c r="D255" t="s">
        <v>1760</v>
      </c>
      <c r="E255" t="s">
        <v>1762</v>
      </c>
      <c r="F255" t="s">
        <v>1763</v>
      </c>
    </row>
    <row r="256" spans="1:10" x14ac:dyDescent="0.35">
      <c r="A256" s="15" t="s">
        <v>117</v>
      </c>
      <c r="B256" s="31">
        <v>95251.170000000042</v>
      </c>
      <c r="C256" s="17">
        <v>415964.32000000012</v>
      </c>
      <c r="D256" s="21">
        <v>0.22588739466451521</v>
      </c>
      <c r="E256" s="21">
        <v>0.22898879884697806</v>
      </c>
      <c r="F256" s="27">
        <f>B256/C256</f>
        <v>0.22898879884697806</v>
      </c>
    </row>
    <row r="257" spans="1:6" x14ac:dyDescent="0.35">
      <c r="A257" s="15" t="s">
        <v>42</v>
      </c>
      <c r="B257" s="31">
        <v>15840.490000000003</v>
      </c>
      <c r="C257" s="17">
        <v>181169.16999999995</v>
      </c>
      <c r="D257" s="21">
        <v>8.7105869281031964E-2</v>
      </c>
      <c r="E257" s="21">
        <v>8.7434799199002836E-2</v>
      </c>
      <c r="F257" s="27">
        <f t="shared" ref="F257:F262" si="2">B257/C257</f>
        <v>8.7434799199002836E-2</v>
      </c>
    </row>
    <row r="258" spans="1:6" x14ac:dyDescent="0.35">
      <c r="A258" s="15" t="s">
        <v>134</v>
      </c>
      <c r="B258" s="31">
        <v>126577.42999999998</v>
      </c>
      <c r="C258" s="17">
        <v>764689.02000000037</v>
      </c>
      <c r="D258" s="21">
        <v>0.15117777672569038</v>
      </c>
      <c r="E258" s="21">
        <v>0.165527981557784</v>
      </c>
      <c r="F258" s="27">
        <f t="shared" si="2"/>
        <v>0.165527981557784</v>
      </c>
    </row>
    <row r="259" spans="1:6" x14ac:dyDescent="0.35">
      <c r="A259" s="15" t="s">
        <v>22</v>
      </c>
      <c r="B259" s="31">
        <v>559396.7100000002</v>
      </c>
      <c r="C259" s="17">
        <v>9713967.2799999993</v>
      </c>
      <c r="D259" s="21">
        <v>4.9109816471525757E-2</v>
      </c>
      <c r="E259" s="21">
        <v>5.7586843137894556E-2</v>
      </c>
      <c r="F259" s="27">
        <f t="shared" si="2"/>
        <v>5.7586843137894556E-2</v>
      </c>
    </row>
    <row r="260" spans="1:6" x14ac:dyDescent="0.35">
      <c r="A260" s="15" t="s">
        <v>32</v>
      </c>
      <c r="B260" s="31">
        <v>226950.77999999994</v>
      </c>
      <c r="C260" s="17">
        <v>1858122.4400000013</v>
      </c>
      <c r="D260" s="21">
        <v>0.1158977192201491</v>
      </c>
      <c r="E260" s="21">
        <v>0.12213984133359897</v>
      </c>
      <c r="F260" s="27">
        <f t="shared" si="2"/>
        <v>0.12213984133359897</v>
      </c>
    </row>
    <row r="261" spans="1:6" x14ac:dyDescent="0.35">
      <c r="A261" s="15" t="s">
        <v>49</v>
      </c>
      <c r="B261" s="31">
        <v>329517.99000000011</v>
      </c>
      <c r="C261" s="17">
        <v>2278821.81</v>
      </c>
      <c r="D261" s="21">
        <v>0.13406164771908294</v>
      </c>
      <c r="E261" s="21">
        <v>0.14460015634131573</v>
      </c>
      <c r="F261" s="27">
        <f t="shared" si="2"/>
        <v>0.14460015634131573</v>
      </c>
    </row>
    <row r="262" spans="1:6" x14ac:dyDescent="0.35">
      <c r="A262" s="15" t="s">
        <v>1724</v>
      </c>
      <c r="B262" s="31">
        <v>1353534.5699999991</v>
      </c>
      <c r="C262" s="17">
        <v>15212734.040000016</v>
      </c>
      <c r="D262" s="21">
        <v>0.12718255304115941</v>
      </c>
      <c r="E262" s="21">
        <v>8.8973787778123661E-2</v>
      </c>
      <c r="F262" s="27">
        <f t="shared" si="2"/>
        <v>8.8973787778123661E-2</v>
      </c>
    </row>
    <row r="266" spans="1:6" s="12" customFormat="1" x14ac:dyDescent="0.35">
      <c r="A266" s="13" t="s">
        <v>1700</v>
      </c>
    </row>
    <row r="270" spans="1:6" x14ac:dyDescent="0.35">
      <c r="A270" s="14" t="s">
        <v>3</v>
      </c>
      <c r="B270" t="s">
        <v>1729</v>
      </c>
      <c r="C270" t="s">
        <v>1725</v>
      </c>
    </row>
    <row r="271" spans="1:6" x14ac:dyDescent="0.35">
      <c r="A271" s="15" t="s">
        <v>117</v>
      </c>
      <c r="B271" s="40">
        <v>163</v>
      </c>
      <c r="C271" s="17">
        <v>415964.32000000012</v>
      </c>
      <c r="D271" s="32">
        <f>GETPIVOTDATA("Sum of Sales",$A$270,"Category",A271)/GETPIVOTDATA("Count of Order ID",$A$270,"Category",A271)</f>
        <v>2551.9283435582829</v>
      </c>
    </row>
    <row r="272" spans="1:6" x14ac:dyDescent="0.35">
      <c r="A272" s="15" t="s">
        <v>42</v>
      </c>
      <c r="B272" s="40">
        <v>158</v>
      </c>
      <c r="C272" s="17">
        <v>181169.16999999995</v>
      </c>
      <c r="D272" s="32">
        <f t="shared" ref="D272:D276" si="3">GETPIVOTDATA("Sum of Sales",$A$270,"Category",A272)/GETPIVOTDATA("Count of Order ID",$A$270,"Category",A272)</f>
        <v>1146.6403164556959</v>
      </c>
    </row>
    <row r="273" spans="1:4" x14ac:dyDescent="0.35">
      <c r="A273" s="15" t="s">
        <v>134</v>
      </c>
      <c r="B273" s="40">
        <v>166</v>
      </c>
      <c r="C273" s="17">
        <v>764689.02000000037</v>
      </c>
      <c r="D273" s="32">
        <f t="shared" si="3"/>
        <v>4606.560361445785</v>
      </c>
    </row>
    <row r="274" spans="1:4" x14ac:dyDescent="0.35">
      <c r="A274" s="15" t="s">
        <v>22</v>
      </c>
      <c r="B274" s="40">
        <v>168</v>
      </c>
      <c r="C274" s="17">
        <v>9713967.2799999993</v>
      </c>
      <c r="D274" s="32">
        <f t="shared" si="3"/>
        <v>57821.233809523808</v>
      </c>
    </row>
    <row r="275" spans="1:4" x14ac:dyDescent="0.35">
      <c r="A275" s="15" t="s">
        <v>32</v>
      </c>
      <c r="B275" s="40">
        <v>165</v>
      </c>
      <c r="C275" s="17">
        <v>1858122.4400000013</v>
      </c>
      <c r="D275" s="32">
        <f t="shared" si="3"/>
        <v>11261.34812121213</v>
      </c>
    </row>
    <row r="276" spans="1:4" x14ac:dyDescent="0.35">
      <c r="A276" s="15" t="s">
        <v>49</v>
      </c>
      <c r="B276" s="40">
        <v>180</v>
      </c>
      <c r="C276" s="17">
        <v>2278821.81</v>
      </c>
      <c r="D276" s="32">
        <f t="shared" si="3"/>
        <v>12660.121166666668</v>
      </c>
    </row>
    <row r="277" spans="1:4" x14ac:dyDescent="0.35">
      <c r="A277" s="15" t="s">
        <v>1724</v>
      </c>
      <c r="B277" s="40">
        <v>1000</v>
      </c>
      <c r="C277" s="17">
        <v>15212734.040000016</v>
      </c>
    </row>
    <row r="280" spans="1:4" s="12" customFormat="1" x14ac:dyDescent="0.35">
      <c r="A280" s="13" t="s">
        <v>1702</v>
      </c>
    </row>
    <row r="282" spans="1:4" x14ac:dyDescent="0.35">
      <c r="A282" s="14" t="s">
        <v>4</v>
      </c>
      <c r="B282" t="s">
        <v>1765</v>
      </c>
    </row>
    <row r="283" spans="1:4" x14ac:dyDescent="0.35">
      <c r="A283" s="15" t="s">
        <v>20</v>
      </c>
      <c r="B283" s="17">
        <v>3452428.2400000021</v>
      </c>
    </row>
    <row r="284" spans="1:4" x14ac:dyDescent="0.35">
      <c r="A284" s="15" t="s">
        <v>60</v>
      </c>
      <c r="B284" s="17">
        <v>4471972.5300000021</v>
      </c>
    </row>
    <row r="285" spans="1:4" x14ac:dyDescent="0.35">
      <c r="A285" s="15" t="s">
        <v>40</v>
      </c>
      <c r="B285" s="17">
        <v>3206573.5199999991</v>
      </c>
    </row>
    <row r="286" spans="1:4" x14ac:dyDescent="0.35">
      <c r="A286" s="15" t="s">
        <v>30</v>
      </c>
      <c r="B286" s="17">
        <v>3877534.1399999983</v>
      </c>
    </row>
    <row r="287" spans="1:4" x14ac:dyDescent="0.35">
      <c r="A287" s="15" t="s">
        <v>1724</v>
      </c>
      <c r="B287" s="17">
        <v>15008508.430000024</v>
      </c>
    </row>
    <row r="290" spans="1:2" s="12" customFormat="1" x14ac:dyDescent="0.35">
      <c r="A290" s="13" t="s">
        <v>1705</v>
      </c>
    </row>
    <row r="292" spans="1:2" x14ac:dyDescent="0.35">
      <c r="A292" s="14" t="s">
        <v>8</v>
      </c>
      <c r="B292" t="s">
        <v>1725</v>
      </c>
    </row>
    <row r="293" spans="1:2" x14ac:dyDescent="0.35">
      <c r="A293" s="15" t="s">
        <v>480</v>
      </c>
      <c r="B293" s="17">
        <v>845064.16</v>
      </c>
    </row>
    <row r="294" spans="1:2" x14ac:dyDescent="0.35">
      <c r="A294" s="15" t="s">
        <v>78</v>
      </c>
      <c r="B294" s="17">
        <v>761249.08000000007</v>
      </c>
    </row>
    <row r="295" spans="1:2" x14ac:dyDescent="0.35">
      <c r="A295" s="15" t="s">
        <v>111</v>
      </c>
      <c r="B295" s="17">
        <v>694643.49</v>
      </c>
    </row>
    <row r="296" spans="1:2" x14ac:dyDescent="0.35">
      <c r="A296" s="15" t="s">
        <v>24</v>
      </c>
      <c r="B296" s="17">
        <v>690115.52</v>
      </c>
    </row>
    <row r="297" spans="1:2" x14ac:dyDescent="0.35">
      <c r="A297" s="15" t="s">
        <v>359</v>
      </c>
      <c r="B297" s="17">
        <v>662484.78999999992</v>
      </c>
    </row>
    <row r="298" spans="1:2" x14ac:dyDescent="0.35">
      <c r="A298" s="15" t="s">
        <v>317</v>
      </c>
      <c r="B298" s="17">
        <v>608730.19000000006</v>
      </c>
    </row>
    <row r="299" spans="1:2" x14ac:dyDescent="0.35">
      <c r="A299" s="15" t="s">
        <v>323</v>
      </c>
      <c r="B299" s="17">
        <v>543404.49</v>
      </c>
    </row>
    <row r="300" spans="1:2" x14ac:dyDescent="0.35">
      <c r="A300" s="15" t="s">
        <v>251</v>
      </c>
      <c r="B300" s="17">
        <v>492158.43999999994</v>
      </c>
    </row>
    <row r="301" spans="1:2" x14ac:dyDescent="0.35">
      <c r="A301" s="15" t="s">
        <v>150</v>
      </c>
      <c r="B301" s="17">
        <v>453394.30000000005</v>
      </c>
    </row>
    <row r="302" spans="1:2" x14ac:dyDescent="0.35">
      <c r="A302" s="15" t="s">
        <v>1215</v>
      </c>
      <c r="B302" s="17">
        <v>431111.79000000004</v>
      </c>
    </row>
    <row r="303" spans="1:2" x14ac:dyDescent="0.35">
      <c r="A303" s="15" t="s">
        <v>1724</v>
      </c>
      <c r="B303" s="17">
        <v>6182356.25</v>
      </c>
    </row>
    <row r="307" spans="1:3" s="12" customFormat="1" x14ac:dyDescent="0.35">
      <c r="A307" s="13" t="s">
        <v>1707</v>
      </c>
    </row>
    <row r="308" spans="1:3" x14ac:dyDescent="0.35">
      <c r="A308" s="33"/>
    </row>
    <row r="309" spans="1:3" x14ac:dyDescent="0.35">
      <c r="A309" s="33"/>
    </row>
    <row r="310" spans="1:3" x14ac:dyDescent="0.35">
      <c r="A310" s="14" t="s">
        <v>16</v>
      </c>
      <c r="B310" t="s">
        <v>1766</v>
      </c>
    </row>
    <row r="312" spans="1:3" x14ac:dyDescent="0.35">
      <c r="A312" s="14" t="s">
        <v>8</v>
      </c>
      <c r="B312" t="s">
        <v>1729</v>
      </c>
      <c r="C312" t="s">
        <v>1767</v>
      </c>
    </row>
    <row r="313" spans="1:3" x14ac:dyDescent="0.35">
      <c r="A313" s="15" t="s">
        <v>22</v>
      </c>
      <c r="B313" s="40">
        <v>57</v>
      </c>
      <c r="C313" s="21">
        <v>0.18874172185430463</v>
      </c>
    </row>
    <row r="314" spans="1:3" x14ac:dyDescent="0.35">
      <c r="A314" s="15" t="s">
        <v>42</v>
      </c>
      <c r="B314" s="40">
        <v>55</v>
      </c>
      <c r="C314" s="21">
        <v>0.18211920529801323</v>
      </c>
    </row>
    <row r="315" spans="1:3" x14ac:dyDescent="0.35">
      <c r="A315" s="15" t="s">
        <v>49</v>
      </c>
      <c r="B315" s="40">
        <v>51</v>
      </c>
      <c r="C315" s="21">
        <v>0.16887417218543047</v>
      </c>
    </row>
    <row r="316" spans="1:3" x14ac:dyDescent="0.35">
      <c r="A316" s="15" t="s">
        <v>117</v>
      </c>
      <c r="B316" s="40">
        <v>49</v>
      </c>
      <c r="C316" s="21">
        <v>0.16225165562913907</v>
      </c>
    </row>
    <row r="317" spans="1:3" x14ac:dyDescent="0.35">
      <c r="A317" s="15" t="s">
        <v>32</v>
      </c>
      <c r="B317" s="40">
        <v>48</v>
      </c>
      <c r="C317" s="21">
        <v>0.15894039735099338</v>
      </c>
    </row>
    <row r="318" spans="1:3" x14ac:dyDescent="0.35">
      <c r="A318" s="15" t="s">
        <v>134</v>
      </c>
      <c r="B318" s="40">
        <v>42</v>
      </c>
      <c r="C318" s="21">
        <v>0.13907284768211919</v>
      </c>
    </row>
    <row r="319" spans="1:3" x14ac:dyDescent="0.35">
      <c r="A319" s="15" t="s">
        <v>1724</v>
      </c>
      <c r="B319" s="40">
        <v>302</v>
      </c>
      <c r="C319" s="21">
        <v>1</v>
      </c>
    </row>
    <row r="323" spans="1:2" s="12" customFormat="1" x14ac:dyDescent="0.35">
      <c r="A323" s="13" t="s">
        <v>1709</v>
      </c>
    </row>
    <row r="324" spans="1:2" x14ac:dyDescent="0.35">
      <c r="A324" s="33"/>
    </row>
    <row r="326" spans="1:2" x14ac:dyDescent="0.35">
      <c r="A326" s="14" t="s">
        <v>8</v>
      </c>
      <c r="B326" t="s">
        <v>1727</v>
      </c>
    </row>
    <row r="327" spans="1:2" x14ac:dyDescent="0.35">
      <c r="A327" s="15" t="s">
        <v>61</v>
      </c>
      <c r="B327" s="17">
        <v>40965.53</v>
      </c>
    </row>
    <row r="328" spans="1:2" x14ac:dyDescent="0.35">
      <c r="A328" s="15" t="s">
        <v>77</v>
      </c>
      <c r="B328" s="17">
        <v>68900.660000000018</v>
      </c>
    </row>
    <row r="329" spans="1:2" x14ac:dyDescent="0.35">
      <c r="A329" s="15" t="s">
        <v>104</v>
      </c>
      <c r="B329" s="17">
        <v>69979.990000000005</v>
      </c>
    </row>
    <row r="330" spans="1:2" x14ac:dyDescent="0.35">
      <c r="A330" s="15" t="s">
        <v>90</v>
      </c>
      <c r="B330" s="17">
        <v>73826.259999999995</v>
      </c>
    </row>
    <row r="331" spans="1:2" x14ac:dyDescent="0.35">
      <c r="A331" s="15" t="s">
        <v>31</v>
      </c>
      <c r="B331" s="17">
        <v>89291.849999999977</v>
      </c>
    </row>
    <row r="332" spans="1:2" x14ac:dyDescent="0.35">
      <c r="A332" s="15" t="s">
        <v>1724</v>
      </c>
      <c r="B332" s="17">
        <v>342964.29</v>
      </c>
    </row>
    <row r="336" spans="1:2" s="12" customFormat="1" x14ac:dyDescent="0.35">
      <c r="A336" s="13" t="s">
        <v>1712</v>
      </c>
    </row>
    <row r="337" spans="1:17" x14ac:dyDescent="0.35">
      <c r="A337" s="33"/>
    </row>
    <row r="339" spans="1:17" x14ac:dyDescent="0.35">
      <c r="A339" s="14" t="s">
        <v>8</v>
      </c>
      <c r="B339" t="s">
        <v>1725</v>
      </c>
      <c r="C339" t="s">
        <v>1727</v>
      </c>
    </row>
    <row r="340" spans="1:17" x14ac:dyDescent="0.35">
      <c r="A340" s="15" t="s">
        <v>60</v>
      </c>
      <c r="B340" s="17">
        <v>4521462.0000000019</v>
      </c>
      <c r="C340" s="17">
        <v>330381.87999999989</v>
      </c>
    </row>
    <row r="341" spans="1:17" x14ac:dyDescent="0.35">
      <c r="A341" s="15" t="s">
        <v>30</v>
      </c>
      <c r="B341" s="17">
        <v>3930181.7099999981</v>
      </c>
      <c r="C341" s="17">
        <v>336343.34000000014</v>
      </c>
    </row>
    <row r="342" spans="1:17" x14ac:dyDescent="0.35">
      <c r="A342" s="15" t="s">
        <v>20</v>
      </c>
      <c r="B342" s="17">
        <v>3504132.850000002</v>
      </c>
      <c r="C342" s="17">
        <v>355533.17999999964</v>
      </c>
    </row>
    <row r="343" spans="1:17" x14ac:dyDescent="0.35">
      <c r="A343" s="15" t="s">
        <v>40</v>
      </c>
      <c r="B343" s="17">
        <v>3256957.4799999991</v>
      </c>
      <c r="C343" s="17">
        <v>331276.1700000001</v>
      </c>
    </row>
    <row r="344" spans="1:17" x14ac:dyDescent="0.35">
      <c r="A344" s="15" t="s">
        <v>1724</v>
      </c>
      <c r="B344" s="17">
        <v>15212734.039999999</v>
      </c>
      <c r="C344" s="17">
        <v>1353534.5699999998</v>
      </c>
    </row>
    <row r="347" spans="1:17" s="12" customFormat="1" x14ac:dyDescent="0.35">
      <c r="A347" s="13" t="s">
        <v>1714</v>
      </c>
    </row>
    <row r="348" spans="1:17" x14ac:dyDescent="0.35">
      <c r="A348" s="33"/>
      <c r="E348" s="14" t="s">
        <v>6</v>
      </c>
      <c r="F348" t="s">
        <v>22</v>
      </c>
      <c r="L348" s="14" t="s">
        <v>6</v>
      </c>
      <c r="M348" t="s">
        <v>22</v>
      </c>
    </row>
    <row r="350" spans="1:17" x14ac:dyDescent="0.35">
      <c r="A350" s="14" t="s">
        <v>8</v>
      </c>
      <c r="B350" t="s">
        <v>1725</v>
      </c>
      <c r="C350" t="s">
        <v>1727</v>
      </c>
      <c r="E350" s="14" t="s">
        <v>8</v>
      </c>
      <c r="F350" t="s">
        <v>1725</v>
      </c>
      <c r="G350" t="s">
        <v>1727</v>
      </c>
      <c r="H350" t="s">
        <v>1783</v>
      </c>
      <c r="I350" t="s">
        <v>1784</v>
      </c>
      <c r="L350" s="14" t="s">
        <v>8</v>
      </c>
      <c r="M350" t="s">
        <v>1725</v>
      </c>
      <c r="N350" t="s">
        <v>1731</v>
      </c>
      <c r="O350" t="s">
        <v>1727</v>
      </c>
      <c r="P350" t="s">
        <v>1783</v>
      </c>
      <c r="Q350" t="s">
        <v>1784</v>
      </c>
    </row>
    <row r="351" spans="1:17" x14ac:dyDescent="0.35">
      <c r="A351" s="15" t="s">
        <v>60</v>
      </c>
      <c r="B351" s="17">
        <v>4521461.9999999991</v>
      </c>
      <c r="C351" s="17">
        <v>330381.88</v>
      </c>
      <c r="D351" s="27"/>
      <c r="E351" s="15" t="s">
        <v>60</v>
      </c>
      <c r="F351" s="17">
        <v>3103732.9599999995</v>
      </c>
      <c r="G351" s="17">
        <v>128253.22000000004</v>
      </c>
      <c r="H351" s="42">
        <v>10.425531914893616</v>
      </c>
      <c r="I351" s="17">
        <v>9612.5100000000039</v>
      </c>
      <c r="L351" s="15" t="s">
        <v>60</v>
      </c>
      <c r="M351" s="17">
        <v>427981.85000000003</v>
      </c>
      <c r="N351" s="19">
        <v>14</v>
      </c>
      <c r="O351" s="17">
        <v>-36323.14</v>
      </c>
      <c r="P351" s="42">
        <v>17.777777777777779</v>
      </c>
      <c r="Q351" s="17">
        <v>1754.6399999999999</v>
      </c>
    </row>
    <row r="352" spans="1:17" x14ac:dyDescent="0.35">
      <c r="A352" s="18" t="s">
        <v>117</v>
      </c>
      <c r="B352" s="17">
        <v>104662.60999999999</v>
      </c>
      <c r="C352" s="17">
        <v>24074.91</v>
      </c>
      <c r="D352" s="27"/>
      <c r="E352" s="15" t="s">
        <v>30</v>
      </c>
      <c r="F352" s="17">
        <v>2496566.6100000003</v>
      </c>
      <c r="G352" s="17">
        <v>128163.02999999998</v>
      </c>
      <c r="H352" s="42">
        <v>9.7727272727272734</v>
      </c>
      <c r="I352" s="17">
        <v>9741.1299999999992</v>
      </c>
      <c r="L352" s="18" t="s">
        <v>932</v>
      </c>
      <c r="M352" s="17">
        <v>193106.82</v>
      </c>
      <c r="N352" s="19">
        <v>4</v>
      </c>
      <c r="O352" s="17">
        <v>-20163.439999999999</v>
      </c>
      <c r="P352" s="42">
        <v>25</v>
      </c>
      <c r="Q352" s="17">
        <v>100.26</v>
      </c>
    </row>
    <row r="353" spans="1:17" x14ac:dyDescent="0.35">
      <c r="A353" s="18" t="s">
        <v>42</v>
      </c>
      <c r="B353" s="17">
        <v>51471.799999999988</v>
      </c>
      <c r="C353" s="17">
        <v>5188.0000000000009</v>
      </c>
      <c r="D353" s="27"/>
      <c r="E353" s="15" t="s">
        <v>20</v>
      </c>
      <c r="F353" s="17">
        <v>2172346.7799999998</v>
      </c>
      <c r="G353" s="17">
        <v>159750.63999999998</v>
      </c>
      <c r="H353" s="42">
        <v>7.3809523809523814</v>
      </c>
      <c r="I353" s="17">
        <v>8543.989999999998</v>
      </c>
      <c r="L353" s="18" t="s">
        <v>399</v>
      </c>
      <c r="M353" s="17">
        <v>150200.22999999998</v>
      </c>
      <c r="N353" s="19">
        <v>4</v>
      </c>
      <c r="O353" s="17">
        <v>-8942.33</v>
      </c>
      <c r="P353" s="42">
        <v>12.5</v>
      </c>
      <c r="Q353" s="17">
        <v>557.87</v>
      </c>
    </row>
    <row r="354" spans="1:17" x14ac:dyDescent="0.35">
      <c r="A354" s="18" t="s">
        <v>134</v>
      </c>
      <c r="B354" s="17">
        <v>173666.54</v>
      </c>
      <c r="C354" s="17">
        <v>26413.299999999996</v>
      </c>
      <c r="D354" s="27"/>
      <c r="E354" s="15" t="s">
        <v>40</v>
      </c>
      <c r="F354" s="17">
        <v>1941320.9299999997</v>
      </c>
      <c r="G354" s="17">
        <v>143229.82</v>
      </c>
      <c r="H354" s="42">
        <v>9.7142857142857135</v>
      </c>
      <c r="I354" s="17">
        <v>6588.0999999999985</v>
      </c>
      <c r="L354" s="18" t="s">
        <v>640</v>
      </c>
      <c r="M354" s="17">
        <v>65158.799999999996</v>
      </c>
      <c r="N354" s="19">
        <v>4</v>
      </c>
      <c r="O354" s="17">
        <v>-6398.15</v>
      </c>
      <c r="P354" s="42">
        <v>23.75</v>
      </c>
      <c r="Q354" s="17">
        <v>827.33999999999992</v>
      </c>
    </row>
    <row r="355" spans="1:17" x14ac:dyDescent="0.35">
      <c r="A355" s="18" t="s">
        <v>22</v>
      </c>
      <c r="B355" s="17">
        <v>3103732.9599999995</v>
      </c>
      <c r="C355" s="17">
        <v>128253.22</v>
      </c>
      <c r="D355" s="27"/>
      <c r="E355" s="15" t="s">
        <v>1724</v>
      </c>
      <c r="F355" s="17">
        <v>9713967.2799999975</v>
      </c>
      <c r="G355" s="17">
        <v>559396.7100000002</v>
      </c>
      <c r="H355" s="42">
        <v>9.3452380952380949</v>
      </c>
      <c r="I355" s="17">
        <v>34485.73000000001</v>
      </c>
      <c r="L355" s="18" t="s">
        <v>359</v>
      </c>
      <c r="M355" s="17">
        <v>19516</v>
      </c>
      <c r="N355" s="19">
        <v>2</v>
      </c>
      <c r="O355" s="17">
        <v>-819.22</v>
      </c>
      <c r="P355" s="42">
        <v>7.5</v>
      </c>
      <c r="Q355" s="17">
        <v>269.17</v>
      </c>
    </row>
    <row r="356" spans="1:17" x14ac:dyDescent="0.35">
      <c r="A356" s="18" t="s">
        <v>32</v>
      </c>
      <c r="B356" s="17">
        <v>499396.62000000011</v>
      </c>
      <c r="C356" s="17">
        <v>59537.390000000007</v>
      </c>
      <c r="D356" s="27"/>
      <c r="L356" s="15" t="s">
        <v>40</v>
      </c>
      <c r="M356" s="17">
        <v>302580.27</v>
      </c>
      <c r="N356" s="19">
        <v>18</v>
      </c>
      <c r="O356" s="17">
        <v>-5629.9499999999989</v>
      </c>
      <c r="P356" s="42">
        <v>15</v>
      </c>
      <c r="Q356" s="17">
        <v>2051.4900000000002</v>
      </c>
    </row>
    <row r="357" spans="1:17" x14ac:dyDescent="0.35">
      <c r="A357" s="18" t="s">
        <v>49</v>
      </c>
      <c r="B357" s="17">
        <v>588531.47000000009</v>
      </c>
      <c r="C357" s="17">
        <v>86915.059999999983</v>
      </c>
      <c r="D357" s="27"/>
      <c r="L357" s="18" t="s">
        <v>629</v>
      </c>
      <c r="M357" s="17">
        <v>163062.57</v>
      </c>
      <c r="N357" s="19">
        <v>8</v>
      </c>
      <c r="O357" s="17">
        <v>-3032.48</v>
      </c>
      <c r="P357" s="42">
        <v>15</v>
      </c>
      <c r="Q357" s="17">
        <v>468.02</v>
      </c>
    </row>
    <row r="358" spans="1:17" x14ac:dyDescent="0.35">
      <c r="A358" s="15" t="s">
        <v>30</v>
      </c>
      <c r="B358" s="17">
        <v>3930181.7099999995</v>
      </c>
      <c r="C358" s="17">
        <v>336343.33999999997</v>
      </c>
      <c r="D358" s="27"/>
      <c r="L358" s="18" t="s">
        <v>238</v>
      </c>
      <c r="M358" s="17">
        <v>82252.97</v>
      </c>
      <c r="N358" s="19">
        <v>7</v>
      </c>
      <c r="O358" s="17">
        <v>-1447.4899999999993</v>
      </c>
      <c r="P358" s="42">
        <v>13.75</v>
      </c>
      <c r="Q358" s="17">
        <v>1177.4000000000001</v>
      </c>
    </row>
    <row r="359" spans="1:17" x14ac:dyDescent="0.35">
      <c r="A359" s="18" t="s">
        <v>117</v>
      </c>
      <c r="B359" s="17">
        <v>69206.59</v>
      </c>
      <c r="C359" s="17">
        <v>16855.8</v>
      </c>
      <c r="D359" s="27"/>
      <c r="L359" s="18" t="s">
        <v>932</v>
      </c>
      <c r="M359" s="17">
        <v>57264.73</v>
      </c>
      <c r="N359" s="19">
        <v>3</v>
      </c>
      <c r="O359" s="17">
        <v>-1149.98</v>
      </c>
      <c r="P359" s="42">
        <v>17.5</v>
      </c>
      <c r="Q359" s="17">
        <v>406.07000000000005</v>
      </c>
    </row>
    <row r="360" spans="1:17" x14ac:dyDescent="0.35">
      <c r="A360" s="18" t="s">
        <v>42</v>
      </c>
      <c r="B360" s="17">
        <v>27982.100000000009</v>
      </c>
      <c r="C360" s="17">
        <v>2356.7300000000005</v>
      </c>
      <c r="D360" s="27"/>
      <c r="L360" s="15" t="s">
        <v>30</v>
      </c>
      <c r="M360" s="17">
        <v>153067.91999999998</v>
      </c>
      <c r="N360" s="19">
        <v>6</v>
      </c>
      <c r="O360" s="17">
        <v>-6824.22</v>
      </c>
      <c r="P360" s="42">
        <v>19.166666666666668</v>
      </c>
      <c r="Q360" s="17">
        <v>1358.9399999999998</v>
      </c>
    </row>
    <row r="361" spans="1:17" x14ac:dyDescent="0.35">
      <c r="A361" s="18" t="s">
        <v>134</v>
      </c>
      <c r="B361" s="17">
        <v>204884.91000000003</v>
      </c>
      <c r="C361" s="17">
        <v>34954.689999999988</v>
      </c>
      <c r="D361" s="27"/>
      <c r="L361" s="18" t="s">
        <v>157</v>
      </c>
      <c r="M361" s="17">
        <v>66259.040000000008</v>
      </c>
      <c r="N361" s="19">
        <v>3</v>
      </c>
      <c r="O361" s="17">
        <v>-461.07000000000011</v>
      </c>
      <c r="P361" s="42">
        <v>15</v>
      </c>
      <c r="Q361" s="17">
        <v>763.09999999999991</v>
      </c>
    </row>
    <row r="362" spans="1:17" x14ac:dyDescent="0.35">
      <c r="A362" s="18" t="s">
        <v>22</v>
      </c>
      <c r="B362" s="17">
        <v>2496566.6099999994</v>
      </c>
      <c r="C362" s="17">
        <v>128163.03000000003</v>
      </c>
      <c r="D362" s="27"/>
      <c r="L362" s="18" t="s">
        <v>629</v>
      </c>
      <c r="M362" s="17">
        <v>51825.07</v>
      </c>
      <c r="N362" s="19">
        <v>2</v>
      </c>
      <c r="O362" s="17">
        <v>-4536.3</v>
      </c>
      <c r="P362" s="42">
        <v>20</v>
      </c>
      <c r="Q362" s="17">
        <v>501.69</v>
      </c>
    </row>
    <row r="363" spans="1:17" x14ac:dyDescent="0.35">
      <c r="A363" s="18" t="s">
        <v>32</v>
      </c>
      <c r="B363" s="17">
        <v>519766.74999999994</v>
      </c>
      <c r="C363" s="17">
        <v>70687.989999999991</v>
      </c>
      <c r="D363" s="27"/>
      <c r="L363" s="18" t="s">
        <v>640</v>
      </c>
      <c r="M363" s="17">
        <v>34983.81</v>
      </c>
      <c r="N363" s="19">
        <v>1</v>
      </c>
      <c r="O363" s="17">
        <v>-1826.85</v>
      </c>
      <c r="P363" s="42">
        <v>30</v>
      </c>
      <c r="Q363" s="17">
        <v>94.15</v>
      </c>
    </row>
    <row r="364" spans="1:17" x14ac:dyDescent="0.35">
      <c r="A364" s="18" t="s">
        <v>49</v>
      </c>
      <c r="B364" s="17">
        <v>611774.75</v>
      </c>
      <c r="C364" s="17">
        <v>83325.099999999977</v>
      </c>
      <c r="D364" s="27"/>
      <c r="L364" s="15" t="s">
        <v>20</v>
      </c>
      <c r="M364" s="17">
        <v>81488.160000000003</v>
      </c>
      <c r="N364" s="19">
        <v>5</v>
      </c>
      <c r="O364" s="17">
        <v>-215.1400000000001</v>
      </c>
      <c r="P364" s="42">
        <v>3.3333333333333335</v>
      </c>
      <c r="Q364" s="17">
        <v>345.26</v>
      </c>
    </row>
    <row r="365" spans="1:17" x14ac:dyDescent="0.35">
      <c r="A365" s="15" t="s">
        <v>20</v>
      </c>
      <c r="B365" s="17">
        <v>3504132.8499999992</v>
      </c>
      <c r="C365" s="17">
        <v>355533.18000000005</v>
      </c>
      <c r="D365" s="27"/>
      <c r="L365" s="18" t="s">
        <v>150</v>
      </c>
      <c r="M365" s="17">
        <v>81488.160000000003</v>
      </c>
      <c r="N365" s="19">
        <v>5</v>
      </c>
      <c r="O365" s="17">
        <v>-215.1400000000001</v>
      </c>
      <c r="P365" s="42">
        <v>3.3333333333333335</v>
      </c>
      <c r="Q365" s="17">
        <v>345.26</v>
      </c>
    </row>
    <row r="366" spans="1:17" x14ac:dyDescent="0.35">
      <c r="A366" s="18" t="s">
        <v>117</v>
      </c>
      <c r="B366" s="17">
        <v>134963.1</v>
      </c>
      <c r="C366" s="17">
        <v>31084.929999999997</v>
      </c>
      <c r="D366" s="27"/>
      <c r="L366" s="15" t="s">
        <v>1724</v>
      </c>
      <c r="M366" s="17">
        <v>965118.2</v>
      </c>
      <c r="N366" s="19">
        <v>43</v>
      </c>
      <c r="O366" s="17">
        <v>-48992.44999999999</v>
      </c>
      <c r="P366" s="42">
        <v>15.576923076923077</v>
      </c>
      <c r="Q366" s="17">
        <v>5510.3299999999981</v>
      </c>
    </row>
    <row r="367" spans="1:17" x14ac:dyDescent="0.35">
      <c r="A367" s="18" t="s">
        <v>42</v>
      </c>
      <c r="B367" s="17">
        <v>48371.920000000006</v>
      </c>
      <c r="C367" s="17">
        <v>3724.2699999999986</v>
      </c>
      <c r="D367" s="27"/>
    </row>
    <row r="368" spans="1:17" x14ac:dyDescent="0.35">
      <c r="A368" s="18" t="s">
        <v>134</v>
      </c>
      <c r="B368" s="17">
        <v>205491.86000000004</v>
      </c>
      <c r="C368" s="17">
        <v>34800.010000000009</v>
      </c>
      <c r="D368" s="27"/>
    </row>
    <row r="369" spans="1:17" x14ac:dyDescent="0.35">
      <c r="A369" s="18" t="s">
        <v>22</v>
      </c>
      <c r="B369" s="17">
        <v>2172346.7799999998</v>
      </c>
      <c r="C369" s="17">
        <v>159750.64000000001</v>
      </c>
      <c r="D369" s="27"/>
    </row>
    <row r="370" spans="1:17" x14ac:dyDescent="0.35">
      <c r="A370" s="18" t="s">
        <v>32</v>
      </c>
      <c r="B370" s="17">
        <v>379985.71999999991</v>
      </c>
      <c r="C370" s="17">
        <v>45797.080000000009</v>
      </c>
      <c r="D370" s="27"/>
    </row>
    <row r="371" spans="1:17" x14ac:dyDescent="0.35">
      <c r="A371" s="18" t="s">
        <v>49</v>
      </c>
      <c r="B371" s="17">
        <v>562973.46999999986</v>
      </c>
      <c r="C371" s="17">
        <v>80376.249999999985</v>
      </c>
      <c r="D371" s="27"/>
    </row>
    <row r="372" spans="1:17" x14ac:dyDescent="0.35">
      <c r="A372" s="15" t="s">
        <v>40</v>
      </c>
      <c r="B372" s="17">
        <v>3256957.48</v>
      </c>
      <c r="C372" s="17">
        <v>331276.17000000004</v>
      </c>
      <c r="D372" s="27"/>
    </row>
    <row r="373" spans="1:17" x14ac:dyDescent="0.35">
      <c r="A373" s="18" t="s">
        <v>117</v>
      </c>
      <c r="B373" s="17">
        <v>107132.02</v>
      </c>
      <c r="C373" s="17">
        <v>23235.53</v>
      </c>
      <c r="D373" s="27"/>
    </row>
    <row r="374" spans="1:17" x14ac:dyDescent="0.35">
      <c r="A374" s="18" t="s">
        <v>42</v>
      </c>
      <c r="B374" s="17">
        <v>53343.349999999991</v>
      </c>
      <c r="C374" s="17">
        <v>4571.4900000000007</v>
      </c>
      <c r="D374" s="27"/>
    </row>
    <row r="375" spans="1:17" x14ac:dyDescent="0.35">
      <c r="A375" s="18" t="s">
        <v>134</v>
      </c>
      <c r="B375" s="17">
        <v>180645.71000000002</v>
      </c>
      <c r="C375" s="17">
        <v>30409.43</v>
      </c>
      <c r="D375" s="27"/>
    </row>
    <row r="376" spans="1:17" x14ac:dyDescent="0.35">
      <c r="A376" s="18" t="s">
        <v>22</v>
      </c>
      <c r="B376" s="17">
        <v>1941320.93</v>
      </c>
      <c r="C376" s="17">
        <v>143229.82</v>
      </c>
      <c r="D376" s="27"/>
    </row>
    <row r="377" spans="1:17" x14ac:dyDescent="0.35">
      <c r="A377" s="18" t="s">
        <v>32</v>
      </c>
      <c r="B377" s="17">
        <v>458973.35</v>
      </c>
      <c r="C377" s="17">
        <v>50928.32</v>
      </c>
      <c r="D377" s="27"/>
    </row>
    <row r="378" spans="1:17" x14ac:dyDescent="0.35">
      <c r="A378" s="18" t="s">
        <v>49</v>
      </c>
      <c r="B378" s="17">
        <v>515542.12000000005</v>
      </c>
      <c r="C378" s="17">
        <v>78901.58</v>
      </c>
      <c r="D378" s="27"/>
    </row>
    <row r="379" spans="1:17" x14ac:dyDescent="0.35">
      <c r="A379" s="15" t="s">
        <v>1724</v>
      </c>
      <c r="B379" s="17">
        <v>15212734.039999995</v>
      </c>
      <c r="C379" s="17">
        <v>1353534.5699999998</v>
      </c>
    </row>
    <row r="382" spans="1:17" s="12" customFormat="1" x14ac:dyDescent="0.35">
      <c r="A382" s="13" t="s">
        <v>1716</v>
      </c>
      <c r="L382"/>
      <c r="M382"/>
      <c r="N382"/>
      <c r="O382"/>
      <c r="P382"/>
      <c r="Q382"/>
    </row>
    <row r="383" spans="1:17" x14ac:dyDescent="0.35">
      <c r="A383" s="33"/>
    </row>
    <row r="385" spans="1:16" x14ac:dyDescent="0.35">
      <c r="A385" s="14" t="s">
        <v>8</v>
      </c>
      <c r="B385" t="s">
        <v>1728</v>
      </c>
    </row>
    <row r="386" spans="1:16" x14ac:dyDescent="0.35">
      <c r="A386" s="34">
        <v>0</v>
      </c>
      <c r="B386" s="17">
        <v>2469.1805042016827</v>
      </c>
    </row>
    <row r="387" spans="1:16" x14ac:dyDescent="0.35">
      <c r="A387" s="34">
        <v>5</v>
      </c>
      <c r="B387" s="17">
        <v>2145.1331132075475</v>
      </c>
    </row>
    <row r="388" spans="1:16" x14ac:dyDescent="0.35">
      <c r="A388" s="34">
        <v>10</v>
      </c>
      <c r="B388" s="17">
        <v>1043.2169696969695</v>
      </c>
    </row>
    <row r="389" spans="1:16" x14ac:dyDescent="0.35">
      <c r="A389" s="34">
        <v>15</v>
      </c>
      <c r="B389" s="17">
        <v>771.5189171974522</v>
      </c>
    </row>
    <row r="390" spans="1:16" x14ac:dyDescent="0.35">
      <c r="A390" s="34">
        <v>20</v>
      </c>
      <c r="B390" s="17">
        <v>351.26022988505736</v>
      </c>
    </row>
    <row r="391" spans="1:16" x14ac:dyDescent="0.35">
      <c r="A391" s="34">
        <v>25</v>
      </c>
      <c r="B391" s="17">
        <v>-445.87539682539688</v>
      </c>
    </row>
    <row r="392" spans="1:16" x14ac:dyDescent="0.35">
      <c r="A392" s="34">
        <v>30</v>
      </c>
      <c r="B392" s="17">
        <v>-423.4117777777775</v>
      </c>
    </row>
    <row r="393" spans="1:16" x14ac:dyDescent="0.35">
      <c r="A393" s="34" t="s">
        <v>1724</v>
      </c>
      <c r="B393" s="17">
        <v>1353.5345700000014</v>
      </c>
    </row>
    <row r="397" spans="1:16" s="12" customFormat="1" x14ac:dyDescent="0.35">
      <c r="A397" s="13" t="s">
        <v>1718</v>
      </c>
      <c r="L397"/>
      <c r="M397"/>
      <c r="N397"/>
      <c r="O397"/>
      <c r="P397"/>
    </row>
    <row r="398" spans="1:16" x14ac:dyDescent="0.35">
      <c r="A398" s="33"/>
    </row>
    <row r="400" spans="1:16" x14ac:dyDescent="0.35">
      <c r="A400" s="14" t="s">
        <v>1725</v>
      </c>
      <c r="B400" s="14" t="s">
        <v>1726</v>
      </c>
    </row>
    <row r="401" spans="1:16" x14ac:dyDescent="0.35">
      <c r="A401" s="14" t="s">
        <v>8</v>
      </c>
      <c r="B401" t="s">
        <v>64</v>
      </c>
      <c r="C401" t="s">
        <v>1724</v>
      </c>
    </row>
    <row r="402" spans="1:16" x14ac:dyDescent="0.35">
      <c r="A402" s="15" t="s">
        <v>40</v>
      </c>
      <c r="B402" s="17">
        <v>1172134.8699999999</v>
      </c>
      <c r="C402" s="17">
        <v>1172134.8699999999</v>
      </c>
    </row>
    <row r="403" spans="1:16" x14ac:dyDescent="0.35">
      <c r="A403" s="15" t="s">
        <v>1724</v>
      </c>
      <c r="B403" s="17">
        <v>1172134.8699999999</v>
      </c>
      <c r="C403" s="17">
        <v>1172134.8699999999</v>
      </c>
    </row>
    <row r="416" spans="1:16" s="12" customFormat="1" x14ac:dyDescent="0.35">
      <c r="A416" s="13" t="s">
        <v>1720</v>
      </c>
      <c r="L416"/>
      <c r="M416"/>
      <c r="N416"/>
      <c r="O416"/>
      <c r="P416"/>
    </row>
    <row r="419" spans="1:5" x14ac:dyDescent="0.35">
      <c r="A419" s="14" t="s">
        <v>1723</v>
      </c>
      <c r="B419" t="s">
        <v>1725</v>
      </c>
    </row>
    <row r="420" spans="1:5" x14ac:dyDescent="0.35">
      <c r="A420" s="15" t="s">
        <v>117</v>
      </c>
      <c r="B420" s="21">
        <v>2.4455182703259696E-2</v>
      </c>
    </row>
    <row r="421" spans="1:5" x14ac:dyDescent="0.35">
      <c r="A421" s="15" t="s">
        <v>42</v>
      </c>
      <c r="B421" s="21">
        <v>1.6337988972343315E-2</v>
      </c>
    </row>
    <row r="422" spans="1:5" x14ac:dyDescent="0.35">
      <c r="A422" s="15" t="s">
        <v>134</v>
      </c>
      <c r="B422" s="21">
        <v>5.048249373564468E-2</v>
      </c>
    </row>
    <row r="423" spans="1:5" x14ac:dyDescent="0.35">
      <c r="A423" s="15" t="s">
        <v>22</v>
      </c>
      <c r="B423" s="21">
        <v>0.63524021806915854</v>
      </c>
    </row>
    <row r="424" spans="1:5" x14ac:dyDescent="0.35">
      <c r="A424" s="15" t="s">
        <v>32</v>
      </c>
      <c r="B424" s="21">
        <v>0.1547259902606832</v>
      </c>
    </row>
    <row r="425" spans="1:5" x14ac:dyDescent="0.35">
      <c r="A425" s="15" t="s">
        <v>49</v>
      </c>
      <c r="B425" s="21">
        <v>0.11875812625891054</v>
      </c>
    </row>
    <row r="426" spans="1:5" x14ac:dyDescent="0.35">
      <c r="A426" s="15" t="s">
        <v>1724</v>
      </c>
      <c r="B426" s="21">
        <v>1</v>
      </c>
    </row>
    <row r="428" spans="1:5" x14ac:dyDescent="0.35">
      <c r="D428" t="s">
        <v>1773</v>
      </c>
      <c r="E428" t="s">
        <v>1774</v>
      </c>
    </row>
    <row r="429" spans="1:5" x14ac:dyDescent="0.35">
      <c r="C429" t="s">
        <v>22</v>
      </c>
      <c r="D429" s="21">
        <v>0.64</v>
      </c>
      <c r="E429" s="21">
        <v>0.64</v>
      </c>
    </row>
    <row r="430" spans="1:5" x14ac:dyDescent="0.35">
      <c r="C430" t="s">
        <v>1772</v>
      </c>
      <c r="D430" s="21">
        <v>0.14000000000000001</v>
      </c>
      <c r="E430" s="21">
        <v>0.12</v>
      </c>
    </row>
    <row r="431" spans="1:5" x14ac:dyDescent="0.35">
      <c r="C431" t="s">
        <v>1768</v>
      </c>
      <c r="D431" s="21">
        <v>0.13</v>
      </c>
      <c r="E431" s="21">
        <v>0.15</v>
      </c>
    </row>
    <row r="438" spans="1:3" x14ac:dyDescent="0.35">
      <c r="A438" s="14" t="s">
        <v>1723</v>
      </c>
      <c r="B438" t="s">
        <v>1725</v>
      </c>
      <c r="C438" t="s">
        <v>1727</v>
      </c>
    </row>
    <row r="439" spans="1:3" x14ac:dyDescent="0.35">
      <c r="A439" s="15" t="s">
        <v>60</v>
      </c>
      <c r="B439" s="17">
        <v>4521462.0000000019</v>
      </c>
      <c r="C439" s="17">
        <v>330381.87999999989</v>
      </c>
    </row>
    <row r="440" spans="1:3" x14ac:dyDescent="0.35">
      <c r="A440" s="15" t="s">
        <v>30</v>
      </c>
      <c r="B440" s="17">
        <v>3930181.7099999981</v>
      </c>
      <c r="C440" s="17">
        <v>336343.34000000014</v>
      </c>
    </row>
    <row r="441" spans="1:3" x14ac:dyDescent="0.35">
      <c r="A441" s="15" t="s">
        <v>20</v>
      </c>
      <c r="B441" s="17">
        <v>3504132.850000002</v>
      </c>
      <c r="C441" s="17">
        <v>355533.17999999964</v>
      </c>
    </row>
    <row r="442" spans="1:3" x14ac:dyDescent="0.35">
      <c r="A442" s="15" t="s">
        <v>40</v>
      </c>
      <c r="B442" s="17">
        <v>3256957.4799999991</v>
      </c>
      <c r="C442" s="17">
        <v>331276.1700000001</v>
      </c>
    </row>
    <row r="443" spans="1:3" x14ac:dyDescent="0.35">
      <c r="A443" s="15" t="s">
        <v>1724</v>
      </c>
      <c r="B443" s="17">
        <v>15212734.039999999</v>
      </c>
      <c r="C443" s="17">
        <v>1353534.5699999998</v>
      </c>
    </row>
    <row r="453" spans="1:5" x14ac:dyDescent="0.35">
      <c r="A453" s="14" t="s">
        <v>1770</v>
      </c>
      <c r="B453" t="s">
        <v>1771</v>
      </c>
    </row>
    <row r="455" spans="1:5" x14ac:dyDescent="0.35">
      <c r="A455" s="14" t="s">
        <v>3</v>
      </c>
      <c r="B455" t="s">
        <v>1725</v>
      </c>
    </row>
    <row r="456" spans="1:5" x14ac:dyDescent="0.35">
      <c r="A456" s="15" t="s">
        <v>61</v>
      </c>
      <c r="B456" s="16">
        <v>836050.27</v>
      </c>
      <c r="D456" s="15" t="s">
        <v>1786</v>
      </c>
      <c r="E456" s="46" t="s">
        <v>1787</v>
      </c>
    </row>
    <row r="457" spans="1:5" x14ac:dyDescent="0.35">
      <c r="A457" s="15" t="s">
        <v>226</v>
      </c>
      <c r="B457" s="16">
        <v>883558.98000000033</v>
      </c>
      <c r="D457" s="15" t="str">
        <f>A456</f>
        <v>Delhi</v>
      </c>
      <c r="E457" s="46">
        <f>B456</f>
        <v>836050.27</v>
      </c>
    </row>
    <row r="458" spans="1:5" x14ac:dyDescent="0.35">
      <c r="A458" s="15" t="s">
        <v>72</v>
      </c>
      <c r="B458" s="16">
        <v>1148138.8400000001</v>
      </c>
      <c r="D458" s="15" t="str">
        <f t="shared" ref="D458:E472" si="4">A457</f>
        <v>Gujarat</v>
      </c>
      <c r="E458" s="46">
        <f t="shared" si="4"/>
        <v>883558.98000000033</v>
      </c>
    </row>
    <row r="459" spans="1:5" x14ac:dyDescent="0.35">
      <c r="A459" s="15" t="s">
        <v>48</v>
      </c>
      <c r="B459" s="16">
        <v>2120903.1099999994</v>
      </c>
      <c r="D459" s="15" t="str">
        <f t="shared" si="4"/>
        <v>Haryana</v>
      </c>
      <c r="E459" s="46">
        <f t="shared" si="4"/>
        <v>1148138.8400000001</v>
      </c>
    </row>
    <row r="460" spans="1:5" x14ac:dyDescent="0.35">
      <c r="A460" s="15" t="s">
        <v>68</v>
      </c>
      <c r="B460" s="16">
        <v>1340881.7400000002</v>
      </c>
      <c r="D460" s="15" t="str">
        <f t="shared" si="4"/>
        <v>Maharashtra</v>
      </c>
      <c r="E460" s="46">
        <f t="shared" si="4"/>
        <v>2120903.1099999994</v>
      </c>
    </row>
    <row r="461" spans="1:5" x14ac:dyDescent="0.35">
      <c r="A461" s="15" t="s">
        <v>31</v>
      </c>
      <c r="B461" s="16">
        <v>925719.62</v>
      </c>
      <c r="D461" s="15" t="str">
        <f t="shared" si="4"/>
        <v>Punjab</v>
      </c>
      <c r="E461" s="46">
        <f t="shared" si="4"/>
        <v>1340881.7400000002</v>
      </c>
    </row>
    <row r="462" spans="1:5" x14ac:dyDescent="0.35">
      <c r="A462" s="15" t="s">
        <v>104</v>
      </c>
      <c r="B462" s="16">
        <v>1196391.1499999999</v>
      </c>
      <c r="D462" s="15" t="str">
        <f t="shared" si="4"/>
        <v>Rajasthan</v>
      </c>
      <c r="E462" s="46">
        <f t="shared" si="4"/>
        <v>925719.62</v>
      </c>
    </row>
    <row r="463" spans="1:5" x14ac:dyDescent="0.35">
      <c r="D463" s="15" t="str">
        <f t="shared" si="4"/>
        <v>Uttar Pradesh</v>
      </c>
      <c r="E463" s="46">
        <f t="shared" si="4"/>
        <v>1196391.1499999999</v>
      </c>
    </row>
    <row r="464" spans="1:5" hidden="1" x14ac:dyDescent="0.35">
      <c r="D464" s="15">
        <f t="shared" si="4"/>
        <v>0</v>
      </c>
      <c r="E464" s="15">
        <f t="shared" si="4"/>
        <v>0</v>
      </c>
    </row>
    <row r="465" spans="1:5" hidden="1" x14ac:dyDescent="0.35">
      <c r="D465" s="15">
        <f t="shared" si="4"/>
        <v>0</v>
      </c>
      <c r="E465" s="15">
        <f t="shared" si="4"/>
        <v>0</v>
      </c>
    </row>
    <row r="466" spans="1:5" hidden="1" x14ac:dyDescent="0.35">
      <c r="D466" s="15">
        <f t="shared" si="4"/>
        <v>0</v>
      </c>
      <c r="E466" s="15">
        <f t="shared" si="4"/>
        <v>0</v>
      </c>
    </row>
    <row r="467" spans="1:5" hidden="1" x14ac:dyDescent="0.35">
      <c r="D467" s="15">
        <f t="shared" si="4"/>
        <v>0</v>
      </c>
      <c r="E467" s="15">
        <f t="shared" si="4"/>
        <v>0</v>
      </c>
    </row>
    <row r="468" spans="1:5" hidden="1" x14ac:dyDescent="0.35">
      <c r="D468" s="15">
        <f t="shared" si="4"/>
        <v>0</v>
      </c>
      <c r="E468" s="15">
        <f t="shared" si="4"/>
        <v>0</v>
      </c>
    </row>
    <row r="469" spans="1:5" hidden="1" x14ac:dyDescent="0.35">
      <c r="D469" s="15">
        <f t="shared" si="4"/>
        <v>0</v>
      </c>
      <c r="E469" s="15">
        <f t="shared" si="4"/>
        <v>0</v>
      </c>
    </row>
    <row r="470" spans="1:5" hidden="1" x14ac:dyDescent="0.35">
      <c r="D470" s="15">
        <f t="shared" si="4"/>
        <v>0</v>
      </c>
      <c r="E470" s="15">
        <f t="shared" si="4"/>
        <v>0</v>
      </c>
    </row>
    <row r="471" spans="1:5" hidden="1" x14ac:dyDescent="0.35">
      <c r="D471" s="15">
        <f t="shared" si="4"/>
        <v>0</v>
      </c>
      <c r="E471" s="15">
        <f t="shared" si="4"/>
        <v>0</v>
      </c>
    </row>
    <row r="472" spans="1:5" hidden="1" x14ac:dyDescent="0.35">
      <c r="D472" s="15">
        <f t="shared" si="4"/>
        <v>0</v>
      </c>
      <c r="E472" s="15">
        <f t="shared" si="4"/>
        <v>0</v>
      </c>
    </row>
    <row r="478" spans="1:5" x14ac:dyDescent="0.35">
      <c r="A478" s="14" t="s">
        <v>1725</v>
      </c>
      <c r="B478" s="14" t="s">
        <v>1726</v>
      </c>
    </row>
    <row r="479" spans="1:5" x14ac:dyDescent="0.35">
      <c r="A479" s="14" t="s">
        <v>3</v>
      </c>
      <c r="B479" t="s">
        <v>1733</v>
      </c>
      <c r="C479" t="s">
        <v>1734</v>
      </c>
      <c r="D479" t="s">
        <v>1724</v>
      </c>
    </row>
    <row r="480" spans="1:5" x14ac:dyDescent="0.35">
      <c r="A480" s="15" t="s">
        <v>1735</v>
      </c>
      <c r="B480" s="16">
        <v>2079648.8799999994</v>
      </c>
      <c r="C480" s="16">
        <v>2520612.7599999993</v>
      </c>
      <c r="D480" s="16">
        <v>4600261.6399999987</v>
      </c>
    </row>
    <row r="481" spans="1:4" x14ac:dyDescent="0.35">
      <c r="A481" s="15" t="s">
        <v>1736</v>
      </c>
      <c r="B481" s="16">
        <v>1408213.9899999995</v>
      </c>
      <c r="C481" s="16">
        <v>1116877.8999999997</v>
      </c>
      <c r="D481" s="16">
        <v>2525091.8899999992</v>
      </c>
    </row>
    <row r="482" spans="1:4" x14ac:dyDescent="0.35">
      <c r="A482" s="15" t="s">
        <v>1737</v>
      </c>
      <c r="B482" s="16">
        <v>1241289.3199999998</v>
      </c>
      <c r="C482" s="16">
        <v>980234.34999999963</v>
      </c>
      <c r="D482" s="16">
        <v>2221523.6699999995</v>
      </c>
    </row>
    <row r="483" spans="1:4" x14ac:dyDescent="0.35">
      <c r="A483" s="15" t="s">
        <v>1738</v>
      </c>
      <c r="B483" s="16">
        <v>2632876.6699999981</v>
      </c>
      <c r="C483" s="16">
        <v>3232980.1699999995</v>
      </c>
      <c r="D483" s="16">
        <v>5865856.839999998</v>
      </c>
    </row>
    <row r="484" spans="1:4" x14ac:dyDescent="0.35">
      <c r="A484" s="15" t="s">
        <v>1724</v>
      </c>
      <c r="B484" s="16">
        <v>7362028.8599999975</v>
      </c>
      <c r="C484" s="16">
        <v>7850705.1799999978</v>
      </c>
      <c r="D484" s="16">
        <v>15212734.039999995</v>
      </c>
    </row>
    <row r="502" spans="1:5" x14ac:dyDescent="0.35">
      <c r="A502" s="14" t="s">
        <v>1723</v>
      </c>
      <c r="B502" t="s">
        <v>1729</v>
      </c>
    </row>
    <row r="503" spans="1:5" x14ac:dyDescent="0.35">
      <c r="A503" s="15" t="s">
        <v>582</v>
      </c>
      <c r="B503" s="17">
        <v>6</v>
      </c>
      <c r="D503" t="s">
        <v>1780</v>
      </c>
      <c r="E503" t="s">
        <v>1781</v>
      </c>
    </row>
    <row r="504" spans="1:5" x14ac:dyDescent="0.35">
      <c r="A504" s="15" t="s">
        <v>776</v>
      </c>
      <c r="B504" s="17">
        <v>6</v>
      </c>
      <c r="D504" t="s">
        <v>1775</v>
      </c>
      <c r="E504">
        <f>COUNTIF(B$503:B$990,"&gt;=1")</f>
        <v>488</v>
      </c>
    </row>
    <row r="505" spans="1:5" x14ac:dyDescent="0.35">
      <c r="A505" s="15" t="s">
        <v>593</v>
      </c>
      <c r="B505" s="17">
        <v>6</v>
      </c>
      <c r="D505" t="s">
        <v>1776</v>
      </c>
      <c r="E505">
        <f>COUNTIF(B$503:B$990,"&gt;=2")</f>
        <v>297</v>
      </c>
    </row>
    <row r="506" spans="1:5" x14ac:dyDescent="0.35">
      <c r="A506" s="15" t="s">
        <v>509</v>
      </c>
      <c r="B506" s="17">
        <v>6</v>
      </c>
      <c r="D506" t="s">
        <v>1777</v>
      </c>
      <c r="E506">
        <f>COUNTIF(B$503:B$990,"&gt;=3")</f>
        <v>138</v>
      </c>
    </row>
    <row r="507" spans="1:5" x14ac:dyDescent="0.35">
      <c r="A507" s="15" t="s">
        <v>809</v>
      </c>
      <c r="B507" s="17">
        <v>6</v>
      </c>
      <c r="D507" t="s">
        <v>1778</v>
      </c>
      <c r="E507">
        <f>COUNTIF(B$503:B$990,"&gt;=4")</f>
        <v>54</v>
      </c>
    </row>
    <row r="508" spans="1:5" x14ac:dyDescent="0.35">
      <c r="A508" s="15" t="s">
        <v>89</v>
      </c>
      <c r="B508" s="17">
        <v>6</v>
      </c>
      <c r="D508" t="s">
        <v>1779</v>
      </c>
      <c r="E508">
        <f>COUNTIF(B$503:B$990,"&gt;=5")</f>
        <v>17</v>
      </c>
    </row>
    <row r="509" spans="1:5" x14ac:dyDescent="0.35">
      <c r="A509" s="15" t="s">
        <v>67</v>
      </c>
      <c r="B509" s="17">
        <v>5</v>
      </c>
    </row>
    <row r="510" spans="1:5" x14ac:dyDescent="0.35">
      <c r="A510" s="15" t="s">
        <v>415</v>
      </c>
      <c r="B510" s="17">
        <v>5</v>
      </c>
    </row>
    <row r="511" spans="1:5" x14ac:dyDescent="0.35">
      <c r="A511" s="15" t="s">
        <v>444</v>
      </c>
      <c r="B511" s="17">
        <v>5</v>
      </c>
    </row>
    <row r="512" spans="1:5" x14ac:dyDescent="0.35">
      <c r="A512" s="15" t="s">
        <v>76</v>
      </c>
      <c r="B512" s="17">
        <v>5</v>
      </c>
    </row>
    <row r="513" spans="1:2" x14ac:dyDescent="0.35">
      <c r="A513" s="15" t="s">
        <v>493</v>
      </c>
      <c r="B513" s="17">
        <v>5</v>
      </c>
    </row>
    <row r="514" spans="1:2" x14ac:dyDescent="0.35">
      <c r="A514" s="15" t="s">
        <v>742</v>
      </c>
      <c r="B514" s="17">
        <v>5</v>
      </c>
    </row>
    <row r="515" spans="1:2" x14ac:dyDescent="0.35">
      <c r="A515" s="15" t="s">
        <v>175</v>
      </c>
      <c r="B515" s="17">
        <v>5</v>
      </c>
    </row>
    <row r="516" spans="1:2" x14ac:dyDescent="0.35">
      <c r="A516" s="15" t="s">
        <v>325</v>
      </c>
      <c r="B516" s="17">
        <v>5</v>
      </c>
    </row>
    <row r="517" spans="1:2" x14ac:dyDescent="0.35">
      <c r="A517" s="15" t="s">
        <v>491</v>
      </c>
      <c r="B517" s="17">
        <v>5</v>
      </c>
    </row>
    <row r="518" spans="1:2" x14ac:dyDescent="0.35">
      <c r="A518" s="15" t="s">
        <v>28</v>
      </c>
      <c r="B518" s="17">
        <v>5</v>
      </c>
    </row>
    <row r="519" spans="1:2" x14ac:dyDescent="0.35">
      <c r="A519" s="15" t="s">
        <v>937</v>
      </c>
      <c r="B519" s="17">
        <v>5</v>
      </c>
    </row>
    <row r="520" spans="1:2" x14ac:dyDescent="0.35">
      <c r="A520" s="15" t="s">
        <v>379</v>
      </c>
      <c r="B520" s="17">
        <v>4</v>
      </c>
    </row>
    <row r="521" spans="1:2" x14ac:dyDescent="0.35">
      <c r="A521" s="15" t="s">
        <v>707</v>
      </c>
      <c r="B521" s="17">
        <v>4</v>
      </c>
    </row>
    <row r="522" spans="1:2" x14ac:dyDescent="0.35">
      <c r="A522" s="15" t="s">
        <v>289</v>
      </c>
      <c r="B522" s="17">
        <v>4</v>
      </c>
    </row>
    <row r="523" spans="1:2" x14ac:dyDescent="0.35">
      <c r="A523" s="15" t="s">
        <v>269</v>
      </c>
      <c r="B523" s="17">
        <v>4</v>
      </c>
    </row>
    <row r="524" spans="1:2" x14ac:dyDescent="0.35">
      <c r="A524" s="15" t="s">
        <v>571</v>
      </c>
      <c r="B524" s="17">
        <v>4</v>
      </c>
    </row>
    <row r="525" spans="1:2" x14ac:dyDescent="0.35">
      <c r="A525" s="15" t="s">
        <v>113</v>
      </c>
      <c r="B525" s="17">
        <v>4</v>
      </c>
    </row>
    <row r="526" spans="1:2" x14ac:dyDescent="0.35">
      <c r="A526" s="15" t="s">
        <v>361</v>
      </c>
      <c r="B526" s="17">
        <v>4</v>
      </c>
    </row>
    <row r="527" spans="1:2" x14ac:dyDescent="0.35">
      <c r="A527" s="15" t="s">
        <v>599</v>
      </c>
      <c r="B527" s="17">
        <v>4</v>
      </c>
    </row>
    <row r="528" spans="1:2" x14ac:dyDescent="0.35">
      <c r="A528" s="15" t="s">
        <v>370</v>
      </c>
      <c r="B528" s="17">
        <v>4</v>
      </c>
    </row>
    <row r="529" spans="1:2" x14ac:dyDescent="0.35">
      <c r="A529" s="15" t="s">
        <v>128</v>
      </c>
      <c r="B529" s="17">
        <v>4</v>
      </c>
    </row>
    <row r="530" spans="1:2" x14ac:dyDescent="0.35">
      <c r="A530" s="15" t="s">
        <v>610</v>
      </c>
      <c r="B530" s="17">
        <v>4</v>
      </c>
    </row>
    <row r="531" spans="1:2" x14ac:dyDescent="0.35">
      <c r="A531" s="15" t="s">
        <v>723</v>
      </c>
      <c r="B531" s="17">
        <v>4</v>
      </c>
    </row>
    <row r="532" spans="1:2" x14ac:dyDescent="0.35">
      <c r="A532" s="15" t="s">
        <v>286</v>
      </c>
      <c r="B532" s="17">
        <v>4</v>
      </c>
    </row>
    <row r="533" spans="1:2" x14ac:dyDescent="0.35">
      <c r="A533" s="15" t="s">
        <v>301</v>
      </c>
      <c r="B533" s="17">
        <v>4</v>
      </c>
    </row>
    <row r="534" spans="1:2" x14ac:dyDescent="0.35">
      <c r="A534" s="15" t="s">
        <v>555</v>
      </c>
      <c r="B534" s="17">
        <v>4</v>
      </c>
    </row>
    <row r="535" spans="1:2" x14ac:dyDescent="0.35">
      <c r="A535" s="15" t="s">
        <v>1120</v>
      </c>
      <c r="B535" s="17">
        <v>4</v>
      </c>
    </row>
    <row r="536" spans="1:2" x14ac:dyDescent="0.35">
      <c r="A536" s="15" t="s">
        <v>623</v>
      </c>
      <c r="B536" s="17">
        <v>4</v>
      </c>
    </row>
    <row r="537" spans="1:2" x14ac:dyDescent="0.35">
      <c r="A537" s="15" t="s">
        <v>544</v>
      </c>
      <c r="B537" s="17">
        <v>4</v>
      </c>
    </row>
    <row r="538" spans="1:2" x14ac:dyDescent="0.35">
      <c r="A538" s="15" t="s">
        <v>898</v>
      </c>
      <c r="B538" s="17">
        <v>4</v>
      </c>
    </row>
    <row r="539" spans="1:2" x14ac:dyDescent="0.35">
      <c r="A539" s="15" t="s">
        <v>631</v>
      </c>
      <c r="B539" s="17">
        <v>4</v>
      </c>
    </row>
    <row r="540" spans="1:2" x14ac:dyDescent="0.35">
      <c r="A540" s="15" t="s">
        <v>807</v>
      </c>
      <c r="B540" s="17">
        <v>4</v>
      </c>
    </row>
    <row r="541" spans="1:2" x14ac:dyDescent="0.35">
      <c r="A541" s="15" t="s">
        <v>614</v>
      </c>
      <c r="B541" s="17">
        <v>4</v>
      </c>
    </row>
    <row r="542" spans="1:2" x14ac:dyDescent="0.35">
      <c r="A542" s="15" t="s">
        <v>94</v>
      </c>
      <c r="B542" s="17">
        <v>4</v>
      </c>
    </row>
    <row r="543" spans="1:2" x14ac:dyDescent="0.35">
      <c r="A543" s="15" t="s">
        <v>133</v>
      </c>
      <c r="B543" s="17">
        <v>4</v>
      </c>
    </row>
    <row r="544" spans="1:2" x14ac:dyDescent="0.35">
      <c r="A544" s="15" t="s">
        <v>314</v>
      </c>
      <c r="B544" s="17">
        <v>4</v>
      </c>
    </row>
    <row r="545" spans="1:2" x14ac:dyDescent="0.35">
      <c r="A545" s="15" t="s">
        <v>232</v>
      </c>
      <c r="B545" s="17">
        <v>4</v>
      </c>
    </row>
    <row r="546" spans="1:2" x14ac:dyDescent="0.35">
      <c r="A546" s="15" t="s">
        <v>312</v>
      </c>
      <c r="B546" s="17">
        <v>4</v>
      </c>
    </row>
    <row r="547" spans="1:2" x14ac:dyDescent="0.35">
      <c r="A547" s="15" t="s">
        <v>433</v>
      </c>
      <c r="B547" s="17">
        <v>4</v>
      </c>
    </row>
    <row r="548" spans="1:2" x14ac:dyDescent="0.35">
      <c r="A548" s="15" t="s">
        <v>880</v>
      </c>
      <c r="B548" s="17">
        <v>4</v>
      </c>
    </row>
    <row r="549" spans="1:2" x14ac:dyDescent="0.35">
      <c r="A549" s="15" t="s">
        <v>695</v>
      </c>
      <c r="B549" s="17">
        <v>4</v>
      </c>
    </row>
    <row r="550" spans="1:2" x14ac:dyDescent="0.35">
      <c r="A550" s="15" t="s">
        <v>859</v>
      </c>
      <c r="B550" s="17">
        <v>4</v>
      </c>
    </row>
    <row r="551" spans="1:2" x14ac:dyDescent="0.35">
      <c r="A551" s="15" t="s">
        <v>487</v>
      </c>
      <c r="B551" s="17">
        <v>4</v>
      </c>
    </row>
    <row r="552" spans="1:2" x14ac:dyDescent="0.35">
      <c r="A552" s="15" t="s">
        <v>163</v>
      </c>
      <c r="B552" s="17">
        <v>4</v>
      </c>
    </row>
    <row r="553" spans="1:2" x14ac:dyDescent="0.35">
      <c r="A553" s="15" t="s">
        <v>384</v>
      </c>
      <c r="B553" s="17">
        <v>4</v>
      </c>
    </row>
    <row r="554" spans="1:2" x14ac:dyDescent="0.35">
      <c r="A554" s="15" t="s">
        <v>679</v>
      </c>
      <c r="B554" s="17">
        <v>4</v>
      </c>
    </row>
    <row r="555" spans="1:2" x14ac:dyDescent="0.35">
      <c r="A555" s="15" t="s">
        <v>1130</v>
      </c>
      <c r="B555" s="17">
        <v>4</v>
      </c>
    </row>
    <row r="556" spans="1:2" x14ac:dyDescent="0.35">
      <c r="A556" s="15" t="s">
        <v>523</v>
      </c>
      <c r="B556" s="17">
        <v>4</v>
      </c>
    </row>
    <row r="557" spans="1:2" x14ac:dyDescent="0.35">
      <c r="A557" s="15" t="s">
        <v>274</v>
      </c>
      <c r="B557" s="17">
        <v>3</v>
      </c>
    </row>
    <row r="558" spans="1:2" x14ac:dyDescent="0.35">
      <c r="A558" s="15" t="s">
        <v>628</v>
      </c>
      <c r="B558" s="17">
        <v>3</v>
      </c>
    </row>
    <row r="559" spans="1:2" x14ac:dyDescent="0.35">
      <c r="A559" s="15" t="s">
        <v>351</v>
      </c>
      <c r="B559" s="17">
        <v>3</v>
      </c>
    </row>
    <row r="560" spans="1:2" x14ac:dyDescent="0.35">
      <c r="A560" s="15" t="s">
        <v>293</v>
      </c>
      <c r="B560" s="17">
        <v>3</v>
      </c>
    </row>
    <row r="561" spans="1:2" x14ac:dyDescent="0.35">
      <c r="A561" s="15" t="s">
        <v>250</v>
      </c>
      <c r="B561" s="17">
        <v>3</v>
      </c>
    </row>
    <row r="562" spans="1:2" x14ac:dyDescent="0.35">
      <c r="A562" s="15" t="s">
        <v>263</v>
      </c>
      <c r="B562" s="17">
        <v>3</v>
      </c>
    </row>
    <row r="563" spans="1:2" x14ac:dyDescent="0.35">
      <c r="A563" s="15" t="s">
        <v>819</v>
      </c>
      <c r="B563" s="17">
        <v>3</v>
      </c>
    </row>
    <row r="564" spans="1:2" x14ac:dyDescent="0.35">
      <c r="A564" s="15" t="s">
        <v>744</v>
      </c>
      <c r="B564" s="17">
        <v>3</v>
      </c>
    </row>
    <row r="565" spans="1:2" x14ac:dyDescent="0.35">
      <c r="A565" s="15" t="s">
        <v>1037</v>
      </c>
      <c r="B565" s="17">
        <v>3</v>
      </c>
    </row>
    <row r="566" spans="1:2" x14ac:dyDescent="0.35">
      <c r="A566" s="15" t="s">
        <v>705</v>
      </c>
      <c r="B566" s="17">
        <v>3</v>
      </c>
    </row>
    <row r="567" spans="1:2" x14ac:dyDescent="0.35">
      <c r="A567" s="15" t="s">
        <v>1179</v>
      </c>
      <c r="B567" s="17">
        <v>3</v>
      </c>
    </row>
    <row r="568" spans="1:2" x14ac:dyDescent="0.35">
      <c r="A568" s="15" t="s">
        <v>430</v>
      </c>
      <c r="B568" s="17">
        <v>3</v>
      </c>
    </row>
    <row r="569" spans="1:2" x14ac:dyDescent="0.35">
      <c r="A569" s="15" t="s">
        <v>1012</v>
      </c>
      <c r="B569" s="17">
        <v>3</v>
      </c>
    </row>
    <row r="570" spans="1:2" x14ac:dyDescent="0.35">
      <c r="A570" s="15" t="s">
        <v>281</v>
      </c>
      <c r="B570" s="17">
        <v>3</v>
      </c>
    </row>
    <row r="571" spans="1:2" x14ac:dyDescent="0.35">
      <c r="A571" s="15" t="s">
        <v>377</v>
      </c>
      <c r="B571" s="17">
        <v>3</v>
      </c>
    </row>
    <row r="572" spans="1:2" x14ac:dyDescent="0.35">
      <c r="A572" s="15" t="s">
        <v>1335</v>
      </c>
      <c r="B572" s="17">
        <v>3</v>
      </c>
    </row>
    <row r="573" spans="1:2" x14ac:dyDescent="0.35">
      <c r="A573" s="15" t="s">
        <v>1255</v>
      </c>
      <c r="B573" s="17">
        <v>3</v>
      </c>
    </row>
    <row r="574" spans="1:2" x14ac:dyDescent="0.35">
      <c r="A574" s="15" t="s">
        <v>563</v>
      </c>
      <c r="B574" s="17">
        <v>3</v>
      </c>
    </row>
    <row r="575" spans="1:2" x14ac:dyDescent="0.35">
      <c r="A575" s="15" t="s">
        <v>353</v>
      </c>
      <c r="B575" s="17">
        <v>3</v>
      </c>
    </row>
    <row r="576" spans="1:2" x14ac:dyDescent="0.35">
      <c r="A576" s="15" t="s">
        <v>435</v>
      </c>
      <c r="B576" s="17">
        <v>3</v>
      </c>
    </row>
    <row r="577" spans="1:2" x14ac:dyDescent="0.35">
      <c r="A577" s="15" t="s">
        <v>1132</v>
      </c>
      <c r="B577" s="17">
        <v>3</v>
      </c>
    </row>
    <row r="578" spans="1:2" x14ac:dyDescent="0.35">
      <c r="A578" s="15" t="s">
        <v>261</v>
      </c>
      <c r="B578" s="17">
        <v>3</v>
      </c>
    </row>
    <row r="579" spans="1:2" x14ac:dyDescent="0.35">
      <c r="A579" s="15" t="s">
        <v>272</v>
      </c>
      <c r="B579" s="17">
        <v>3</v>
      </c>
    </row>
    <row r="580" spans="1:2" x14ac:dyDescent="0.35">
      <c r="A580" s="15" t="s">
        <v>681</v>
      </c>
      <c r="B580" s="17">
        <v>3</v>
      </c>
    </row>
    <row r="581" spans="1:2" x14ac:dyDescent="0.35">
      <c r="A581" s="15" t="s">
        <v>152</v>
      </c>
      <c r="B581" s="17">
        <v>3</v>
      </c>
    </row>
    <row r="582" spans="1:2" x14ac:dyDescent="0.35">
      <c r="A582" s="15" t="s">
        <v>889</v>
      </c>
      <c r="B582" s="17">
        <v>3</v>
      </c>
    </row>
    <row r="583" spans="1:2" x14ac:dyDescent="0.35">
      <c r="A583" s="15" t="s">
        <v>240</v>
      </c>
      <c r="B583" s="17">
        <v>3</v>
      </c>
    </row>
    <row r="584" spans="1:2" x14ac:dyDescent="0.35">
      <c r="A584" s="15" t="s">
        <v>267</v>
      </c>
      <c r="B584" s="17">
        <v>3</v>
      </c>
    </row>
    <row r="585" spans="1:2" x14ac:dyDescent="0.35">
      <c r="A585" s="15" t="s">
        <v>1290</v>
      </c>
      <c r="B585" s="17">
        <v>3</v>
      </c>
    </row>
    <row r="586" spans="1:2" x14ac:dyDescent="0.35">
      <c r="A586" s="15" t="s">
        <v>814</v>
      </c>
      <c r="B586" s="17">
        <v>3</v>
      </c>
    </row>
    <row r="587" spans="1:2" x14ac:dyDescent="0.35">
      <c r="A587" s="15" t="s">
        <v>604</v>
      </c>
      <c r="B587" s="17">
        <v>3</v>
      </c>
    </row>
    <row r="588" spans="1:2" x14ac:dyDescent="0.35">
      <c r="A588" s="15" t="s">
        <v>1331</v>
      </c>
      <c r="B588" s="17">
        <v>3</v>
      </c>
    </row>
    <row r="589" spans="1:2" x14ac:dyDescent="0.35">
      <c r="A589" s="15" t="s">
        <v>1020</v>
      </c>
      <c r="B589" s="17">
        <v>3</v>
      </c>
    </row>
    <row r="590" spans="1:2" x14ac:dyDescent="0.35">
      <c r="A590" s="15" t="s">
        <v>265</v>
      </c>
      <c r="B590" s="17">
        <v>3</v>
      </c>
    </row>
    <row r="591" spans="1:2" x14ac:dyDescent="0.35">
      <c r="A591" s="15" t="s">
        <v>584</v>
      </c>
      <c r="B591" s="17">
        <v>3</v>
      </c>
    </row>
    <row r="592" spans="1:2" x14ac:dyDescent="0.35">
      <c r="A592" s="15" t="s">
        <v>473</v>
      </c>
      <c r="B592" s="17">
        <v>3</v>
      </c>
    </row>
    <row r="593" spans="1:2" x14ac:dyDescent="0.35">
      <c r="A593" s="15" t="s">
        <v>408</v>
      </c>
      <c r="B593" s="17">
        <v>3</v>
      </c>
    </row>
    <row r="594" spans="1:2" x14ac:dyDescent="0.35">
      <c r="A594" s="15" t="s">
        <v>645</v>
      </c>
      <c r="B594" s="17">
        <v>3</v>
      </c>
    </row>
    <row r="595" spans="1:2" x14ac:dyDescent="0.35">
      <c r="A595" s="15" t="s">
        <v>538</v>
      </c>
      <c r="B595" s="17">
        <v>3</v>
      </c>
    </row>
    <row r="596" spans="1:2" x14ac:dyDescent="0.35">
      <c r="A596" s="15" t="s">
        <v>1077</v>
      </c>
      <c r="B596" s="17">
        <v>3</v>
      </c>
    </row>
    <row r="597" spans="1:2" x14ac:dyDescent="0.35">
      <c r="A597" s="15" t="s">
        <v>782</v>
      </c>
      <c r="B597" s="17">
        <v>3</v>
      </c>
    </row>
    <row r="598" spans="1:2" x14ac:dyDescent="0.35">
      <c r="A598" s="15" t="s">
        <v>1052</v>
      </c>
      <c r="B598" s="17">
        <v>3</v>
      </c>
    </row>
    <row r="599" spans="1:2" x14ac:dyDescent="0.35">
      <c r="A599" s="15" t="s">
        <v>393</v>
      </c>
      <c r="B599" s="17">
        <v>3</v>
      </c>
    </row>
    <row r="600" spans="1:2" x14ac:dyDescent="0.35">
      <c r="A600" s="15" t="s">
        <v>947</v>
      </c>
      <c r="B600" s="17">
        <v>3</v>
      </c>
    </row>
    <row r="601" spans="1:2" x14ac:dyDescent="0.35">
      <c r="A601" s="15" t="s">
        <v>53</v>
      </c>
      <c r="B601" s="17">
        <v>3</v>
      </c>
    </row>
    <row r="602" spans="1:2" x14ac:dyDescent="0.35">
      <c r="A602" s="15" t="s">
        <v>499</v>
      </c>
      <c r="B602" s="17">
        <v>3</v>
      </c>
    </row>
    <row r="603" spans="1:2" x14ac:dyDescent="0.35">
      <c r="A603" s="15" t="s">
        <v>291</v>
      </c>
      <c r="B603" s="17">
        <v>3</v>
      </c>
    </row>
    <row r="604" spans="1:2" x14ac:dyDescent="0.35">
      <c r="A604" s="15" t="s">
        <v>822</v>
      </c>
      <c r="B604" s="17">
        <v>3</v>
      </c>
    </row>
    <row r="605" spans="1:2" x14ac:dyDescent="0.35">
      <c r="A605" s="15" t="s">
        <v>203</v>
      </c>
      <c r="B605" s="17">
        <v>3</v>
      </c>
    </row>
    <row r="606" spans="1:2" x14ac:dyDescent="0.35">
      <c r="A606" s="15" t="s">
        <v>306</v>
      </c>
      <c r="B606" s="17">
        <v>3</v>
      </c>
    </row>
    <row r="607" spans="1:2" x14ac:dyDescent="0.35">
      <c r="A607" s="15" t="s">
        <v>982</v>
      </c>
      <c r="B607" s="17">
        <v>3</v>
      </c>
    </row>
    <row r="608" spans="1:2" x14ac:dyDescent="0.35">
      <c r="A608" s="15" t="s">
        <v>403</v>
      </c>
      <c r="B608" s="17">
        <v>3</v>
      </c>
    </row>
    <row r="609" spans="1:2" x14ac:dyDescent="0.35">
      <c r="A609" s="15" t="s">
        <v>338</v>
      </c>
      <c r="B609" s="17">
        <v>3</v>
      </c>
    </row>
    <row r="610" spans="1:2" x14ac:dyDescent="0.35">
      <c r="A610" s="15" t="s">
        <v>1381</v>
      </c>
      <c r="B610" s="17">
        <v>3</v>
      </c>
    </row>
    <row r="611" spans="1:2" x14ac:dyDescent="0.35">
      <c r="A611" s="15" t="s">
        <v>156</v>
      </c>
      <c r="B611" s="17">
        <v>3</v>
      </c>
    </row>
    <row r="612" spans="1:2" x14ac:dyDescent="0.35">
      <c r="A612" s="15" t="s">
        <v>336</v>
      </c>
      <c r="B612" s="17">
        <v>3</v>
      </c>
    </row>
    <row r="613" spans="1:2" x14ac:dyDescent="0.35">
      <c r="A613" s="15" t="s">
        <v>1007</v>
      </c>
      <c r="B613" s="17">
        <v>3</v>
      </c>
    </row>
    <row r="614" spans="1:2" x14ac:dyDescent="0.35">
      <c r="A614" s="15" t="s">
        <v>419</v>
      </c>
      <c r="B614" s="17">
        <v>3</v>
      </c>
    </row>
    <row r="615" spans="1:2" x14ac:dyDescent="0.35">
      <c r="A615" s="15" t="s">
        <v>413</v>
      </c>
      <c r="B615" s="17">
        <v>3</v>
      </c>
    </row>
    <row r="616" spans="1:2" x14ac:dyDescent="0.35">
      <c r="A616" s="15" t="s">
        <v>348</v>
      </c>
      <c r="B616" s="17">
        <v>3</v>
      </c>
    </row>
    <row r="617" spans="1:2" x14ac:dyDescent="0.35">
      <c r="A617" s="15" t="s">
        <v>848</v>
      </c>
      <c r="B617" s="17">
        <v>3</v>
      </c>
    </row>
    <row r="618" spans="1:2" x14ac:dyDescent="0.35">
      <c r="A618" s="15" t="s">
        <v>883</v>
      </c>
      <c r="B618" s="17">
        <v>3</v>
      </c>
    </row>
    <row r="619" spans="1:2" x14ac:dyDescent="0.35">
      <c r="A619" s="15" t="s">
        <v>656</v>
      </c>
      <c r="B619" s="17">
        <v>3</v>
      </c>
    </row>
    <row r="620" spans="1:2" x14ac:dyDescent="0.35">
      <c r="A620" s="15" t="s">
        <v>442</v>
      </c>
      <c r="B620" s="17">
        <v>3</v>
      </c>
    </row>
    <row r="621" spans="1:2" x14ac:dyDescent="0.35">
      <c r="A621" s="15" t="s">
        <v>331</v>
      </c>
      <c r="B621" s="17">
        <v>3</v>
      </c>
    </row>
    <row r="622" spans="1:2" x14ac:dyDescent="0.35">
      <c r="A622" s="15" t="s">
        <v>532</v>
      </c>
      <c r="B622" s="17">
        <v>3</v>
      </c>
    </row>
    <row r="623" spans="1:2" x14ac:dyDescent="0.35">
      <c r="A623" s="15" t="s">
        <v>654</v>
      </c>
      <c r="B623" s="17">
        <v>3</v>
      </c>
    </row>
    <row r="624" spans="1:2" x14ac:dyDescent="0.35">
      <c r="A624" s="15" t="s">
        <v>616</v>
      </c>
      <c r="B624" s="17">
        <v>3</v>
      </c>
    </row>
    <row r="625" spans="1:2" x14ac:dyDescent="0.35">
      <c r="A625" s="15" t="s">
        <v>958</v>
      </c>
      <c r="B625" s="17">
        <v>3</v>
      </c>
    </row>
    <row r="626" spans="1:2" x14ac:dyDescent="0.35">
      <c r="A626" s="15" t="s">
        <v>406</v>
      </c>
      <c r="B626" s="17">
        <v>3</v>
      </c>
    </row>
    <row r="627" spans="1:2" x14ac:dyDescent="0.35">
      <c r="A627" s="15" t="s">
        <v>1079</v>
      </c>
      <c r="B627" s="17">
        <v>3</v>
      </c>
    </row>
    <row r="628" spans="1:2" x14ac:dyDescent="0.35">
      <c r="A628" s="15" t="s">
        <v>138</v>
      </c>
      <c r="B628" s="17">
        <v>3</v>
      </c>
    </row>
    <row r="629" spans="1:2" x14ac:dyDescent="0.35">
      <c r="A629" s="15" t="s">
        <v>71</v>
      </c>
      <c r="B629" s="17">
        <v>3</v>
      </c>
    </row>
    <row r="630" spans="1:2" x14ac:dyDescent="0.35">
      <c r="A630" s="15" t="s">
        <v>121</v>
      </c>
      <c r="B630" s="17">
        <v>3</v>
      </c>
    </row>
    <row r="631" spans="1:2" x14ac:dyDescent="0.35">
      <c r="A631" s="15" t="s">
        <v>1318</v>
      </c>
      <c r="B631" s="17">
        <v>3</v>
      </c>
    </row>
    <row r="632" spans="1:2" x14ac:dyDescent="0.35">
      <c r="A632" s="15" t="s">
        <v>316</v>
      </c>
      <c r="B632" s="17">
        <v>3</v>
      </c>
    </row>
    <row r="633" spans="1:2" x14ac:dyDescent="0.35">
      <c r="A633" s="15" t="s">
        <v>826</v>
      </c>
      <c r="B633" s="17">
        <v>3</v>
      </c>
    </row>
    <row r="634" spans="1:2" x14ac:dyDescent="0.35">
      <c r="A634" s="15" t="s">
        <v>178</v>
      </c>
      <c r="B634" s="17">
        <v>3</v>
      </c>
    </row>
    <row r="635" spans="1:2" x14ac:dyDescent="0.35">
      <c r="A635" s="15" t="s">
        <v>729</v>
      </c>
      <c r="B635" s="17">
        <v>3</v>
      </c>
    </row>
    <row r="636" spans="1:2" x14ac:dyDescent="0.35">
      <c r="A636" s="15" t="s">
        <v>320</v>
      </c>
      <c r="B636" s="17">
        <v>3</v>
      </c>
    </row>
    <row r="637" spans="1:2" x14ac:dyDescent="0.35">
      <c r="A637" s="15" t="s">
        <v>440</v>
      </c>
      <c r="B637" s="17">
        <v>3</v>
      </c>
    </row>
    <row r="638" spans="1:2" x14ac:dyDescent="0.35">
      <c r="A638" s="15" t="s">
        <v>192</v>
      </c>
      <c r="B638" s="17">
        <v>3</v>
      </c>
    </row>
    <row r="639" spans="1:2" x14ac:dyDescent="0.35">
      <c r="A639" s="15" t="s">
        <v>448</v>
      </c>
      <c r="B639" s="17">
        <v>3</v>
      </c>
    </row>
    <row r="640" spans="1:2" x14ac:dyDescent="0.35">
      <c r="A640" s="15" t="s">
        <v>597</v>
      </c>
      <c r="B640" s="17">
        <v>3</v>
      </c>
    </row>
    <row r="641" spans="1:2" x14ac:dyDescent="0.35">
      <c r="A641" s="15" t="s">
        <v>1193</v>
      </c>
      <c r="B641" s="17">
        <v>2</v>
      </c>
    </row>
    <row r="642" spans="1:2" x14ac:dyDescent="0.35">
      <c r="A642" s="15" t="s">
        <v>1050</v>
      </c>
      <c r="B642" s="17">
        <v>2</v>
      </c>
    </row>
    <row r="643" spans="1:2" x14ac:dyDescent="0.35">
      <c r="A643" s="15" t="s">
        <v>1041</v>
      </c>
      <c r="B643" s="17">
        <v>2</v>
      </c>
    </row>
    <row r="644" spans="1:2" x14ac:dyDescent="0.35">
      <c r="A644" s="15" t="s">
        <v>702</v>
      </c>
      <c r="B644" s="17">
        <v>2</v>
      </c>
    </row>
    <row r="645" spans="1:2" x14ac:dyDescent="0.35">
      <c r="A645" s="15" t="s">
        <v>47</v>
      </c>
      <c r="B645" s="17">
        <v>2</v>
      </c>
    </row>
    <row r="646" spans="1:2" x14ac:dyDescent="0.35">
      <c r="A646" s="15" t="s">
        <v>1352</v>
      </c>
      <c r="B646" s="17">
        <v>2</v>
      </c>
    </row>
    <row r="647" spans="1:2" x14ac:dyDescent="0.35">
      <c r="A647" s="15" t="s">
        <v>765</v>
      </c>
      <c r="B647" s="17">
        <v>2</v>
      </c>
    </row>
    <row r="648" spans="1:2" x14ac:dyDescent="0.35">
      <c r="A648" s="15" t="s">
        <v>505</v>
      </c>
      <c r="B648" s="17">
        <v>2</v>
      </c>
    </row>
    <row r="649" spans="1:2" x14ac:dyDescent="0.35">
      <c r="A649" s="15" t="s">
        <v>1095</v>
      </c>
      <c r="B649" s="17">
        <v>2</v>
      </c>
    </row>
    <row r="650" spans="1:2" x14ac:dyDescent="0.35">
      <c r="A650" s="15" t="s">
        <v>149</v>
      </c>
      <c r="B650" s="17">
        <v>2</v>
      </c>
    </row>
    <row r="651" spans="1:2" x14ac:dyDescent="0.35">
      <c r="A651" s="15" t="s">
        <v>1253</v>
      </c>
      <c r="B651" s="17">
        <v>2</v>
      </c>
    </row>
    <row r="652" spans="1:2" x14ac:dyDescent="0.35">
      <c r="A652" s="15" t="s">
        <v>1429</v>
      </c>
      <c r="B652" s="17">
        <v>2</v>
      </c>
    </row>
    <row r="653" spans="1:2" x14ac:dyDescent="0.35">
      <c r="A653" s="15" t="s">
        <v>790</v>
      </c>
      <c r="B653" s="17">
        <v>2</v>
      </c>
    </row>
    <row r="654" spans="1:2" x14ac:dyDescent="0.35">
      <c r="A654" s="15" t="s">
        <v>1506</v>
      </c>
      <c r="B654" s="17">
        <v>2</v>
      </c>
    </row>
    <row r="655" spans="1:2" x14ac:dyDescent="0.35">
      <c r="A655" s="15" t="s">
        <v>529</v>
      </c>
      <c r="B655" s="17">
        <v>2</v>
      </c>
    </row>
    <row r="656" spans="1:2" x14ac:dyDescent="0.35">
      <c r="A656" s="15" t="s">
        <v>796</v>
      </c>
      <c r="B656" s="17">
        <v>2</v>
      </c>
    </row>
    <row r="657" spans="1:2" x14ac:dyDescent="0.35">
      <c r="A657" s="15" t="s">
        <v>1206</v>
      </c>
      <c r="B657" s="17">
        <v>2</v>
      </c>
    </row>
    <row r="658" spans="1:2" x14ac:dyDescent="0.35">
      <c r="A658" s="15" t="s">
        <v>669</v>
      </c>
      <c r="B658" s="17">
        <v>2</v>
      </c>
    </row>
    <row r="659" spans="1:2" x14ac:dyDescent="0.35">
      <c r="A659" s="15" t="s">
        <v>918</v>
      </c>
      <c r="B659" s="17">
        <v>2</v>
      </c>
    </row>
    <row r="660" spans="1:2" x14ac:dyDescent="0.35">
      <c r="A660" s="15" t="s">
        <v>1217</v>
      </c>
      <c r="B660" s="17">
        <v>2</v>
      </c>
    </row>
    <row r="661" spans="1:2" x14ac:dyDescent="0.35">
      <c r="A661" s="15" t="s">
        <v>843</v>
      </c>
      <c r="B661" s="17">
        <v>2</v>
      </c>
    </row>
    <row r="662" spans="1:2" x14ac:dyDescent="0.35">
      <c r="A662" s="15" t="s">
        <v>536</v>
      </c>
      <c r="B662" s="17">
        <v>2</v>
      </c>
    </row>
    <row r="663" spans="1:2" x14ac:dyDescent="0.35">
      <c r="A663" s="15" t="s">
        <v>887</v>
      </c>
      <c r="B663" s="17">
        <v>2</v>
      </c>
    </row>
    <row r="664" spans="1:2" x14ac:dyDescent="0.35">
      <c r="A664" s="15" t="s">
        <v>328</v>
      </c>
      <c r="B664" s="17">
        <v>2</v>
      </c>
    </row>
    <row r="665" spans="1:2" x14ac:dyDescent="0.35">
      <c r="A665" s="15" t="s">
        <v>865</v>
      </c>
      <c r="B665" s="17">
        <v>2</v>
      </c>
    </row>
    <row r="666" spans="1:2" x14ac:dyDescent="0.35">
      <c r="A666" s="15" t="s">
        <v>974</v>
      </c>
      <c r="B666" s="17">
        <v>2</v>
      </c>
    </row>
    <row r="667" spans="1:2" x14ac:dyDescent="0.35">
      <c r="A667" s="15" t="s">
        <v>295</v>
      </c>
      <c r="B667" s="17">
        <v>2</v>
      </c>
    </row>
    <row r="668" spans="1:2" x14ac:dyDescent="0.35">
      <c r="A668" s="15" t="s">
        <v>467</v>
      </c>
      <c r="B668" s="17">
        <v>2</v>
      </c>
    </row>
    <row r="669" spans="1:2" x14ac:dyDescent="0.35">
      <c r="A669" s="15" t="s">
        <v>1297</v>
      </c>
      <c r="B669" s="17">
        <v>2</v>
      </c>
    </row>
    <row r="670" spans="1:2" x14ac:dyDescent="0.35">
      <c r="A670" s="15" t="s">
        <v>780</v>
      </c>
      <c r="B670" s="17">
        <v>2</v>
      </c>
    </row>
    <row r="671" spans="1:2" x14ac:dyDescent="0.35">
      <c r="A671" s="15" t="s">
        <v>762</v>
      </c>
      <c r="B671" s="17">
        <v>2</v>
      </c>
    </row>
    <row r="672" spans="1:2" x14ac:dyDescent="0.35">
      <c r="A672" s="15" t="s">
        <v>513</v>
      </c>
      <c r="B672" s="17">
        <v>2</v>
      </c>
    </row>
    <row r="673" spans="1:2" x14ac:dyDescent="0.35">
      <c r="A673" s="15" t="s">
        <v>180</v>
      </c>
      <c r="B673" s="17">
        <v>2</v>
      </c>
    </row>
    <row r="674" spans="1:2" x14ac:dyDescent="0.35">
      <c r="A674" s="15" t="s">
        <v>503</v>
      </c>
      <c r="B674" s="17">
        <v>2</v>
      </c>
    </row>
    <row r="675" spans="1:2" x14ac:dyDescent="0.35">
      <c r="A675" s="15" t="s">
        <v>515</v>
      </c>
      <c r="B675" s="17">
        <v>2</v>
      </c>
    </row>
    <row r="676" spans="1:2" x14ac:dyDescent="0.35">
      <c r="A676" s="15" t="s">
        <v>1610</v>
      </c>
      <c r="B676" s="17">
        <v>2</v>
      </c>
    </row>
    <row r="677" spans="1:2" x14ac:dyDescent="0.35">
      <c r="A677" s="15" t="s">
        <v>1466</v>
      </c>
      <c r="B677" s="17">
        <v>2</v>
      </c>
    </row>
    <row r="678" spans="1:2" x14ac:dyDescent="0.35">
      <c r="A678" s="15" t="s">
        <v>222</v>
      </c>
      <c r="B678" s="17">
        <v>2</v>
      </c>
    </row>
    <row r="679" spans="1:2" x14ac:dyDescent="0.35">
      <c r="A679" s="15" t="s">
        <v>1446</v>
      </c>
      <c r="B679" s="17">
        <v>2</v>
      </c>
    </row>
    <row r="680" spans="1:2" x14ac:dyDescent="0.35">
      <c r="A680" s="15" t="s">
        <v>746</v>
      </c>
      <c r="B680" s="17">
        <v>2</v>
      </c>
    </row>
    <row r="681" spans="1:2" x14ac:dyDescent="0.35">
      <c r="A681" s="15" t="s">
        <v>410</v>
      </c>
      <c r="B681" s="17">
        <v>2</v>
      </c>
    </row>
    <row r="682" spans="1:2" x14ac:dyDescent="0.35">
      <c r="A682" s="15" t="s">
        <v>38</v>
      </c>
      <c r="B682" s="17">
        <v>2</v>
      </c>
    </row>
    <row r="683" spans="1:2" x14ac:dyDescent="0.35">
      <c r="A683" s="15" t="s">
        <v>1226</v>
      </c>
      <c r="B683" s="17">
        <v>2</v>
      </c>
    </row>
    <row r="684" spans="1:2" x14ac:dyDescent="0.35">
      <c r="A684" s="15" t="s">
        <v>1093</v>
      </c>
      <c r="B684" s="17">
        <v>2</v>
      </c>
    </row>
    <row r="685" spans="1:2" x14ac:dyDescent="0.35">
      <c r="A685" s="15" t="s">
        <v>995</v>
      </c>
      <c r="B685" s="17">
        <v>2</v>
      </c>
    </row>
    <row r="686" spans="1:2" x14ac:dyDescent="0.35">
      <c r="A686" s="15" t="s">
        <v>712</v>
      </c>
      <c r="B686" s="17">
        <v>2</v>
      </c>
    </row>
    <row r="687" spans="1:2" x14ac:dyDescent="0.35">
      <c r="A687" s="15" t="s">
        <v>949</v>
      </c>
      <c r="B687" s="17">
        <v>2</v>
      </c>
    </row>
    <row r="688" spans="1:2" x14ac:dyDescent="0.35">
      <c r="A688" s="15" t="s">
        <v>482</v>
      </c>
      <c r="B688" s="17">
        <v>2</v>
      </c>
    </row>
    <row r="689" spans="1:2" x14ac:dyDescent="0.35">
      <c r="A689" s="15" t="s">
        <v>390</v>
      </c>
      <c r="B689" s="17">
        <v>2</v>
      </c>
    </row>
    <row r="690" spans="1:2" x14ac:dyDescent="0.35">
      <c r="A690" s="15" t="s">
        <v>786</v>
      </c>
      <c r="B690" s="17">
        <v>2</v>
      </c>
    </row>
    <row r="691" spans="1:2" x14ac:dyDescent="0.35">
      <c r="A691" s="15" t="s">
        <v>187</v>
      </c>
      <c r="B691" s="17">
        <v>2</v>
      </c>
    </row>
    <row r="692" spans="1:2" x14ac:dyDescent="0.35">
      <c r="A692" s="15" t="s">
        <v>59</v>
      </c>
      <c r="B692" s="17">
        <v>2</v>
      </c>
    </row>
    <row r="693" spans="1:2" x14ac:dyDescent="0.35">
      <c r="A693" s="15" t="s">
        <v>1185</v>
      </c>
      <c r="B693" s="17">
        <v>2</v>
      </c>
    </row>
    <row r="694" spans="1:2" x14ac:dyDescent="0.35">
      <c r="A694" s="15" t="s">
        <v>368</v>
      </c>
      <c r="B694" s="17">
        <v>2</v>
      </c>
    </row>
    <row r="695" spans="1:2" x14ac:dyDescent="0.35">
      <c r="A695" s="15" t="s">
        <v>1057</v>
      </c>
      <c r="B695" s="17">
        <v>2</v>
      </c>
    </row>
    <row r="696" spans="1:2" x14ac:dyDescent="0.35">
      <c r="A696" s="15" t="s">
        <v>832</v>
      </c>
      <c r="B696" s="17">
        <v>2</v>
      </c>
    </row>
    <row r="697" spans="1:2" x14ac:dyDescent="0.35">
      <c r="A697" s="15" t="s">
        <v>674</v>
      </c>
      <c r="B697" s="17">
        <v>2</v>
      </c>
    </row>
    <row r="698" spans="1:2" x14ac:dyDescent="0.35">
      <c r="A698" s="15" t="s">
        <v>852</v>
      </c>
      <c r="B698" s="17">
        <v>2</v>
      </c>
    </row>
    <row r="699" spans="1:2" x14ac:dyDescent="0.35">
      <c r="A699" s="15" t="s">
        <v>1024</v>
      </c>
      <c r="B699" s="17">
        <v>2</v>
      </c>
    </row>
    <row r="700" spans="1:2" x14ac:dyDescent="0.35">
      <c r="A700" s="15" t="s">
        <v>757</v>
      </c>
      <c r="B700" s="17">
        <v>2</v>
      </c>
    </row>
    <row r="701" spans="1:2" x14ac:dyDescent="0.35">
      <c r="A701" s="15" t="s">
        <v>387</v>
      </c>
      <c r="B701" s="17">
        <v>2</v>
      </c>
    </row>
    <row r="702" spans="1:2" x14ac:dyDescent="0.35">
      <c r="A702" s="15" t="s">
        <v>1139</v>
      </c>
      <c r="B702" s="17">
        <v>2</v>
      </c>
    </row>
    <row r="703" spans="1:2" x14ac:dyDescent="0.35">
      <c r="A703" s="15" t="s">
        <v>1310</v>
      </c>
      <c r="B703" s="17">
        <v>2</v>
      </c>
    </row>
    <row r="704" spans="1:2" x14ac:dyDescent="0.35">
      <c r="A704" s="15" t="s">
        <v>103</v>
      </c>
      <c r="B704" s="17">
        <v>2</v>
      </c>
    </row>
    <row r="705" spans="1:2" x14ac:dyDescent="0.35">
      <c r="A705" s="15" t="s">
        <v>213</v>
      </c>
      <c r="B705" s="17">
        <v>2</v>
      </c>
    </row>
    <row r="706" spans="1:2" x14ac:dyDescent="0.35">
      <c r="A706" s="15" t="s">
        <v>201</v>
      </c>
      <c r="B706" s="17">
        <v>2</v>
      </c>
    </row>
    <row r="707" spans="1:2" x14ac:dyDescent="0.35">
      <c r="A707" s="15" t="s">
        <v>1363</v>
      </c>
      <c r="B707" s="17">
        <v>2</v>
      </c>
    </row>
    <row r="708" spans="1:2" x14ac:dyDescent="0.35">
      <c r="A708" s="15" t="s">
        <v>778</v>
      </c>
      <c r="B708" s="17">
        <v>2</v>
      </c>
    </row>
    <row r="709" spans="1:2" x14ac:dyDescent="0.35">
      <c r="A709" s="15" t="s">
        <v>1471</v>
      </c>
      <c r="B709" s="17">
        <v>2</v>
      </c>
    </row>
    <row r="710" spans="1:2" x14ac:dyDescent="0.35">
      <c r="A710" s="15" t="s">
        <v>159</v>
      </c>
      <c r="B710" s="17">
        <v>2</v>
      </c>
    </row>
    <row r="711" spans="1:2" x14ac:dyDescent="0.35">
      <c r="A711" s="15" t="s">
        <v>97</v>
      </c>
      <c r="B711" s="17">
        <v>2</v>
      </c>
    </row>
    <row r="712" spans="1:2" x14ac:dyDescent="0.35">
      <c r="A712" s="15" t="s">
        <v>469</v>
      </c>
      <c r="B712" s="17">
        <v>2</v>
      </c>
    </row>
    <row r="713" spans="1:2" x14ac:dyDescent="0.35">
      <c r="A713" s="15" t="s">
        <v>225</v>
      </c>
      <c r="B713" s="17">
        <v>2</v>
      </c>
    </row>
    <row r="714" spans="1:2" x14ac:dyDescent="0.35">
      <c r="A714" s="15" t="s">
        <v>116</v>
      </c>
      <c r="B714" s="17">
        <v>2</v>
      </c>
    </row>
    <row r="715" spans="1:2" x14ac:dyDescent="0.35">
      <c r="A715" s="15" t="s">
        <v>198</v>
      </c>
      <c r="B715" s="17">
        <v>2</v>
      </c>
    </row>
    <row r="716" spans="1:2" x14ac:dyDescent="0.35">
      <c r="A716" s="15" t="s">
        <v>620</v>
      </c>
      <c r="B716" s="17">
        <v>2</v>
      </c>
    </row>
    <row r="717" spans="1:2" x14ac:dyDescent="0.35">
      <c r="A717" s="15" t="s">
        <v>216</v>
      </c>
      <c r="B717" s="17">
        <v>2</v>
      </c>
    </row>
    <row r="718" spans="1:2" x14ac:dyDescent="0.35">
      <c r="A718" s="15" t="s">
        <v>495</v>
      </c>
      <c r="B718" s="17">
        <v>2</v>
      </c>
    </row>
    <row r="719" spans="1:2" x14ac:dyDescent="0.35">
      <c r="A719" s="15" t="s">
        <v>426</v>
      </c>
      <c r="B719" s="17">
        <v>2</v>
      </c>
    </row>
    <row r="720" spans="1:2" x14ac:dyDescent="0.35">
      <c r="A720" s="15" t="s">
        <v>606</v>
      </c>
      <c r="B720" s="17">
        <v>2</v>
      </c>
    </row>
    <row r="721" spans="1:2" x14ac:dyDescent="0.35">
      <c r="A721" s="15" t="s">
        <v>437</v>
      </c>
      <c r="B721" s="17">
        <v>2</v>
      </c>
    </row>
    <row r="722" spans="1:2" x14ac:dyDescent="0.35">
      <c r="A722" s="15" t="s">
        <v>184</v>
      </c>
      <c r="B722" s="17">
        <v>2</v>
      </c>
    </row>
    <row r="723" spans="1:2" x14ac:dyDescent="0.35">
      <c r="A723" s="15" t="s">
        <v>817</v>
      </c>
      <c r="B723" s="17">
        <v>2</v>
      </c>
    </row>
    <row r="724" spans="1:2" x14ac:dyDescent="0.35">
      <c r="A724" s="15" t="s">
        <v>1071</v>
      </c>
      <c r="B724" s="17">
        <v>2</v>
      </c>
    </row>
    <row r="725" spans="1:2" x14ac:dyDescent="0.35">
      <c r="A725" s="15" t="s">
        <v>686</v>
      </c>
      <c r="B725" s="17">
        <v>2</v>
      </c>
    </row>
    <row r="726" spans="1:2" x14ac:dyDescent="0.35">
      <c r="A726" s="15" t="s">
        <v>395</v>
      </c>
      <c r="B726" s="17">
        <v>2</v>
      </c>
    </row>
    <row r="727" spans="1:2" x14ac:dyDescent="0.35">
      <c r="A727" s="15" t="s">
        <v>926</v>
      </c>
      <c r="B727" s="17">
        <v>2</v>
      </c>
    </row>
    <row r="728" spans="1:2" x14ac:dyDescent="0.35">
      <c r="A728" s="15" t="s">
        <v>636</v>
      </c>
      <c r="B728" s="17">
        <v>2</v>
      </c>
    </row>
    <row r="729" spans="1:2" x14ac:dyDescent="0.35">
      <c r="A729" s="15" t="s">
        <v>235</v>
      </c>
      <c r="B729" s="17">
        <v>2</v>
      </c>
    </row>
    <row r="730" spans="1:2" x14ac:dyDescent="0.35">
      <c r="A730" s="15" t="s">
        <v>1029</v>
      </c>
      <c r="B730" s="17">
        <v>2</v>
      </c>
    </row>
    <row r="731" spans="1:2" x14ac:dyDescent="0.35">
      <c r="A731" s="15" t="s">
        <v>1118</v>
      </c>
      <c r="B731" s="17">
        <v>2</v>
      </c>
    </row>
    <row r="732" spans="1:2" x14ac:dyDescent="0.35">
      <c r="A732" s="15" t="s">
        <v>1305</v>
      </c>
      <c r="B732" s="17">
        <v>2</v>
      </c>
    </row>
    <row r="733" spans="1:2" x14ac:dyDescent="0.35">
      <c r="A733" s="15" t="s">
        <v>477</v>
      </c>
      <c r="B733" s="17">
        <v>2</v>
      </c>
    </row>
    <row r="734" spans="1:2" x14ac:dyDescent="0.35">
      <c r="A734" s="15" t="s">
        <v>878</v>
      </c>
      <c r="B734" s="17">
        <v>2</v>
      </c>
    </row>
    <row r="735" spans="1:2" x14ac:dyDescent="0.35">
      <c r="A735" s="15" t="s">
        <v>358</v>
      </c>
      <c r="B735" s="17">
        <v>2</v>
      </c>
    </row>
    <row r="736" spans="1:2" x14ac:dyDescent="0.35">
      <c r="A736" s="15" t="s">
        <v>1327</v>
      </c>
      <c r="B736" s="17">
        <v>2</v>
      </c>
    </row>
    <row r="737" spans="1:2" x14ac:dyDescent="0.35">
      <c r="A737" s="15" t="s">
        <v>551</v>
      </c>
      <c r="B737" s="17">
        <v>2</v>
      </c>
    </row>
    <row r="738" spans="1:2" x14ac:dyDescent="0.35">
      <c r="A738" s="15" t="s">
        <v>1066</v>
      </c>
      <c r="B738" s="17">
        <v>2</v>
      </c>
    </row>
    <row r="739" spans="1:2" x14ac:dyDescent="0.35">
      <c r="A739" s="15" t="s">
        <v>935</v>
      </c>
      <c r="B739" s="17">
        <v>2</v>
      </c>
    </row>
    <row r="740" spans="1:2" x14ac:dyDescent="0.35">
      <c r="A740" s="15" t="s">
        <v>727</v>
      </c>
      <c r="B740" s="17">
        <v>2</v>
      </c>
    </row>
    <row r="741" spans="1:2" x14ac:dyDescent="0.35">
      <c r="A741" s="15" t="s">
        <v>1436</v>
      </c>
      <c r="B741" s="17">
        <v>2</v>
      </c>
    </row>
    <row r="742" spans="1:2" x14ac:dyDescent="0.35">
      <c r="A742" s="15" t="s">
        <v>1125</v>
      </c>
      <c r="B742" s="17">
        <v>2</v>
      </c>
    </row>
    <row r="743" spans="1:2" x14ac:dyDescent="0.35">
      <c r="A743" s="15" t="s">
        <v>219</v>
      </c>
      <c r="B743" s="17">
        <v>2</v>
      </c>
    </row>
    <row r="744" spans="1:2" x14ac:dyDescent="0.35">
      <c r="A744" s="15" t="s">
        <v>401</v>
      </c>
      <c r="B744" s="17">
        <v>2</v>
      </c>
    </row>
    <row r="745" spans="1:2" x14ac:dyDescent="0.35">
      <c r="A745" s="15" t="s">
        <v>753</v>
      </c>
      <c r="B745" s="17">
        <v>2</v>
      </c>
    </row>
    <row r="746" spans="1:2" x14ac:dyDescent="0.35">
      <c r="A746" s="15" t="s">
        <v>1032</v>
      </c>
      <c r="B746" s="17">
        <v>2</v>
      </c>
    </row>
    <row r="747" spans="1:2" x14ac:dyDescent="0.35">
      <c r="A747" s="15" t="s">
        <v>1147</v>
      </c>
      <c r="B747" s="17">
        <v>2</v>
      </c>
    </row>
    <row r="748" spans="1:2" x14ac:dyDescent="0.35">
      <c r="A748" s="15" t="s">
        <v>210</v>
      </c>
      <c r="B748" s="17">
        <v>2</v>
      </c>
    </row>
    <row r="749" spans="1:2" x14ac:dyDescent="0.35">
      <c r="A749" s="15" t="s">
        <v>1344</v>
      </c>
      <c r="B749" s="17">
        <v>2</v>
      </c>
    </row>
    <row r="750" spans="1:2" x14ac:dyDescent="0.35">
      <c r="A750" s="15" t="s">
        <v>237</v>
      </c>
      <c r="B750" s="17">
        <v>2</v>
      </c>
    </row>
    <row r="751" spans="1:2" x14ac:dyDescent="0.35">
      <c r="A751" s="15" t="s">
        <v>1162</v>
      </c>
      <c r="B751" s="17">
        <v>2</v>
      </c>
    </row>
    <row r="752" spans="1:2" x14ac:dyDescent="0.35">
      <c r="A752" s="15" t="s">
        <v>1229</v>
      </c>
      <c r="B752" s="17">
        <v>2</v>
      </c>
    </row>
    <row r="753" spans="1:2" x14ac:dyDescent="0.35">
      <c r="A753" s="15" t="s">
        <v>910</v>
      </c>
      <c r="B753" s="17">
        <v>2</v>
      </c>
    </row>
    <row r="754" spans="1:2" x14ac:dyDescent="0.35">
      <c r="A754" s="15" t="s">
        <v>885</v>
      </c>
      <c r="B754" s="17">
        <v>2</v>
      </c>
    </row>
    <row r="755" spans="1:2" x14ac:dyDescent="0.35">
      <c r="A755" s="15" t="s">
        <v>446</v>
      </c>
      <c r="B755" s="17">
        <v>2</v>
      </c>
    </row>
    <row r="756" spans="1:2" x14ac:dyDescent="0.35">
      <c r="A756" s="15" t="s">
        <v>828</v>
      </c>
      <c r="B756" s="17">
        <v>2</v>
      </c>
    </row>
    <row r="757" spans="1:2" x14ac:dyDescent="0.35">
      <c r="A757" s="15" t="s">
        <v>171</v>
      </c>
      <c r="B757" s="17">
        <v>2</v>
      </c>
    </row>
    <row r="758" spans="1:2" x14ac:dyDescent="0.35">
      <c r="A758" s="15" t="s">
        <v>1170</v>
      </c>
      <c r="B758" s="17">
        <v>2</v>
      </c>
    </row>
    <row r="759" spans="1:2" x14ac:dyDescent="0.35">
      <c r="A759" s="15" t="s">
        <v>1369</v>
      </c>
      <c r="B759" s="17">
        <v>2</v>
      </c>
    </row>
    <row r="760" spans="1:2" x14ac:dyDescent="0.35">
      <c r="A760" s="15" t="s">
        <v>557</v>
      </c>
      <c r="B760" s="17">
        <v>2</v>
      </c>
    </row>
    <row r="761" spans="1:2" x14ac:dyDescent="0.35">
      <c r="A761" s="15" t="s">
        <v>595</v>
      </c>
      <c r="B761" s="17">
        <v>2</v>
      </c>
    </row>
    <row r="762" spans="1:2" x14ac:dyDescent="0.35">
      <c r="A762" s="15" t="s">
        <v>894</v>
      </c>
      <c r="B762" s="17">
        <v>2</v>
      </c>
    </row>
    <row r="763" spans="1:2" x14ac:dyDescent="0.35">
      <c r="A763" s="15" t="s">
        <v>190</v>
      </c>
      <c r="B763" s="17">
        <v>2</v>
      </c>
    </row>
    <row r="764" spans="1:2" x14ac:dyDescent="0.35">
      <c r="A764" s="15" t="s">
        <v>1010</v>
      </c>
      <c r="B764" s="17">
        <v>2</v>
      </c>
    </row>
    <row r="765" spans="1:2" x14ac:dyDescent="0.35">
      <c r="A765" s="15" t="s">
        <v>479</v>
      </c>
      <c r="B765" s="17">
        <v>2</v>
      </c>
    </row>
    <row r="766" spans="1:2" x14ac:dyDescent="0.35">
      <c r="A766" s="15" t="s">
        <v>229</v>
      </c>
      <c r="B766" s="17">
        <v>2</v>
      </c>
    </row>
    <row r="767" spans="1:2" x14ac:dyDescent="0.35">
      <c r="A767" s="15" t="s">
        <v>456</v>
      </c>
      <c r="B767" s="17">
        <v>2</v>
      </c>
    </row>
    <row r="768" spans="1:2" x14ac:dyDescent="0.35">
      <c r="A768" s="15" t="s">
        <v>1141</v>
      </c>
      <c r="B768" s="17">
        <v>2</v>
      </c>
    </row>
    <row r="769" spans="1:2" x14ac:dyDescent="0.35">
      <c r="A769" s="15" t="s">
        <v>167</v>
      </c>
      <c r="B769" s="17">
        <v>2</v>
      </c>
    </row>
    <row r="770" spans="1:2" x14ac:dyDescent="0.35">
      <c r="A770" s="15" t="s">
        <v>501</v>
      </c>
      <c r="B770" s="17">
        <v>2</v>
      </c>
    </row>
    <row r="771" spans="1:2" x14ac:dyDescent="0.35">
      <c r="A771" s="15" t="s">
        <v>1183</v>
      </c>
      <c r="B771" s="17">
        <v>2</v>
      </c>
    </row>
    <row r="772" spans="1:2" x14ac:dyDescent="0.35">
      <c r="A772" s="15" t="s">
        <v>1034</v>
      </c>
      <c r="B772" s="17">
        <v>2</v>
      </c>
    </row>
    <row r="773" spans="1:2" x14ac:dyDescent="0.35">
      <c r="A773" s="15" t="s">
        <v>601</v>
      </c>
      <c r="B773" s="17">
        <v>2</v>
      </c>
    </row>
    <row r="774" spans="1:2" x14ac:dyDescent="0.35">
      <c r="A774" s="15" t="s">
        <v>902</v>
      </c>
      <c r="B774" s="17">
        <v>2</v>
      </c>
    </row>
    <row r="775" spans="1:2" x14ac:dyDescent="0.35">
      <c r="A775" s="15" t="s">
        <v>565</v>
      </c>
      <c r="B775" s="17">
        <v>2</v>
      </c>
    </row>
    <row r="776" spans="1:2" x14ac:dyDescent="0.35">
      <c r="A776" s="15" t="s">
        <v>671</v>
      </c>
      <c r="B776" s="17">
        <v>2</v>
      </c>
    </row>
    <row r="777" spans="1:2" x14ac:dyDescent="0.35">
      <c r="A777" s="15" t="s">
        <v>591</v>
      </c>
      <c r="B777" s="17">
        <v>2</v>
      </c>
    </row>
    <row r="778" spans="1:2" x14ac:dyDescent="0.35">
      <c r="A778" s="15" t="s">
        <v>798</v>
      </c>
      <c r="B778" s="17">
        <v>2</v>
      </c>
    </row>
    <row r="779" spans="1:2" x14ac:dyDescent="0.35">
      <c r="A779" s="15" t="s">
        <v>663</v>
      </c>
      <c r="B779" s="17">
        <v>2</v>
      </c>
    </row>
    <row r="780" spans="1:2" x14ac:dyDescent="0.35">
      <c r="A780" s="15" t="s">
        <v>1060</v>
      </c>
      <c r="B780" s="17">
        <v>2</v>
      </c>
    </row>
    <row r="781" spans="1:2" x14ac:dyDescent="0.35">
      <c r="A781" s="15" t="s">
        <v>1597</v>
      </c>
      <c r="B781" s="17">
        <v>2</v>
      </c>
    </row>
    <row r="782" spans="1:2" x14ac:dyDescent="0.35">
      <c r="A782" s="15" t="s">
        <v>658</v>
      </c>
      <c r="B782" s="17">
        <v>2</v>
      </c>
    </row>
    <row r="783" spans="1:2" x14ac:dyDescent="0.35">
      <c r="A783" s="15" t="s">
        <v>1237</v>
      </c>
      <c r="B783" s="17">
        <v>2</v>
      </c>
    </row>
    <row r="784" spans="1:2" x14ac:dyDescent="0.35">
      <c r="A784" s="15" t="s">
        <v>1122</v>
      </c>
      <c r="B784" s="17">
        <v>2</v>
      </c>
    </row>
    <row r="785" spans="1:2" x14ac:dyDescent="0.35">
      <c r="A785" s="15" t="s">
        <v>142</v>
      </c>
      <c r="B785" s="17">
        <v>2</v>
      </c>
    </row>
    <row r="786" spans="1:2" x14ac:dyDescent="0.35">
      <c r="A786" s="15" t="s">
        <v>608</v>
      </c>
      <c r="B786" s="17">
        <v>2</v>
      </c>
    </row>
    <row r="787" spans="1:2" x14ac:dyDescent="0.35">
      <c r="A787" s="15" t="s">
        <v>1017</v>
      </c>
      <c r="B787" s="17">
        <v>2</v>
      </c>
    </row>
    <row r="788" spans="1:2" x14ac:dyDescent="0.35">
      <c r="A788" s="15" t="s">
        <v>634</v>
      </c>
      <c r="B788" s="17">
        <v>2</v>
      </c>
    </row>
    <row r="789" spans="1:2" x14ac:dyDescent="0.35">
      <c r="A789" s="15" t="s">
        <v>1456</v>
      </c>
      <c r="B789" s="17">
        <v>2</v>
      </c>
    </row>
    <row r="790" spans="1:2" x14ac:dyDescent="0.35">
      <c r="A790" s="15" t="s">
        <v>578</v>
      </c>
      <c r="B790" s="17">
        <v>2</v>
      </c>
    </row>
    <row r="791" spans="1:2" x14ac:dyDescent="0.35">
      <c r="A791" s="15" t="s">
        <v>768</v>
      </c>
      <c r="B791" s="17">
        <v>2</v>
      </c>
    </row>
    <row r="792" spans="1:2" x14ac:dyDescent="0.35">
      <c r="A792" s="15" t="s">
        <v>80</v>
      </c>
      <c r="B792" s="17">
        <v>2</v>
      </c>
    </row>
    <row r="793" spans="1:2" x14ac:dyDescent="0.35">
      <c r="A793" s="15" t="s">
        <v>990</v>
      </c>
      <c r="B793" s="17">
        <v>2</v>
      </c>
    </row>
    <row r="794" spans="1:2" x14ac:dyDescent="0.35">
      <c r="A794" s="15" t="s">
        <v>912</v>
      </c>
      <c r="B794" s="17">
        <v>2</v>
      </c>
    </row>
    <row r="795" spans="1:2" x14ac:dyDescent="0.35">
      <c r="A795" s="15" t="s">
        <v>977</v>
      </c>
      <c r="B795" s="17">
        <v>2</v>
      </c>
    </row>
    <row r="796" spans="1:2" x14ac:dyDescent="0.35">
      <c r="A796" s="15" t="s">
        <v>1203</v>
      </c>
      <c r="B796" s="17">
        <v>2</v>
      </c>
    </row>
    <row r="797" spans="1:2" x14ac:dyDescent="0.35">
      <c r="A797" s="15" t="s">
        <v>283</v>
      </c>
      <c r="B797" s="17">
        <v>2</v>
      </c>
    </row>
    <row r="798" spans="1:2" x14ac:dyDescent="0.35">
      <c r="A798" s="15" t="s">
        <v>484</v>
      </c>
      <c r="B798" s="17">
        <v>2</v>
      </c>
    </row>
    <row r="799" spans="1:2" x14ac:dyDescent="0.35">
      <c r="A799" s="15" t="s">
        <v>760</v>
      </c>
      <c r="B799" s="17">
        <v>2</v>
      </c>
    </row>
    <row r="800" spans="1:2" x14ac:dyDescent="0.35">
      <c r="A800" s="15" t="s">
        <v>1087</v>
      </c>
      <c r="B800" s="17">
        <v>1</v>
      </c>
    </row>
    <row r="801" spans="1:2" x14ac:dyDescent="0.35">
      <c r="A801" s="15" t="s">
        <v>1099</v>
      </c>
      <c r="B801" s="17">
        <v>1</v>
      </c>
    </row>
    <row r="802" spans="1:2" x14ac:dyDescent="0.35">
      <c r="A802" s="15" t="s">
        <v>1443</v>
      </c>
      <c r="B802" s="17">
        <v>1</v>
      </c>
    </row>
    <row r="803" spans="1:2" x14ac:dyDescent="0.35">
      <c r="A803" s="15" t="s">
        <v>951</v>
      </c>
      <c r="B803" s="17">
        <v>1</v>
      </c>
    </row>
    <row r="804" spans="1:2" x14ac:dyDescent="0.35">
      <c r="A804" s="15" t="s">
        <v>1585</v>
      </c>
      <c r="B804" s="17">
        <v>1</v>
      </c>
    </row>
    <row r="805" spans="1:2" x14ac:dyDescent="0.35">
      <c r="A805" s="15" t="s">
        <v>811</v>
      </c>
      <c r="B805" s="17">
        <v>1</v>
      </c>
    </row>
    <row r="806" spans="1:2" x14ac:dyDescent="0.35">
      <c r="A806" s="15" t="s">
        <v>85</v>
      </c>
      <c r="B806" s="17">
        <v>1</v>
      </c>
    </row>
    <row r="807" spans="1:2" x14ac:dyDescent="0.35">
      <c r="A807" s="15" t="s">
        <v>589</v>
      </c>
      <c r="B807" s="17">
        <v>1</v>
      </c>
    </row>
    <row r="808" spans="1:2" x14ac:dyDescent="0.35">
      <c r="A808" s="15" t="s">
        <v>534</v>
      </c>
      <c r="B808" s="17">
        <v>1</v>
      </c>
    </row>
    <row r="809" spans="1:2" x14ac:dyDescent="0.35">
      <c r="A809" s="15" t="s">
        <v>1398</v>
      </c>
      <c r="B809" s="17">
        <v>1</v>
      </c>
    </row>
    <row r="810" spans="1:2" x14ac:dyDescent="0.35">
      <c r="A810" s="15" t="s">
        <v>1000</v>
      </c>
      <c r="B810" s="17">
        <v>1</v>
      </c>
    </row>
    <row r="811" spans="1:2" x14ac:dyDescent="0.35">
      <c r="A811" s="15" t="s">
        <v>906</v>
      </c>
      <c r="B811" s="17">
        <v>1</v>
      </c>
    </row>
    <row r="812" spans="1:2" x14ac:dyDescent="0.35">
      <c r="A812" s="15" t="s">
        <v>1149</v>
      </c>
      <c r="B812" s="17">
        <v>1</v>
      </c>
    </row>
    <row r="813" spans="1:2" x14ac:dyDescent="0.35">
      <c r="A813" s="15" t="s">
        <v>124</v>
      </c>
      <c r="B813" s="17">
        <v>1</v>
      </c>
    </row>
    <row r="814" spans="1:2" x14ac:dyDescent="0.35">
      <c r="A814" s="15" t="s">
        <v>770</v>
      </c>
      <c r="B814" s="17">
        <v>1</v>
      </c>
    </row>
    <row r="815" spans="1:2" x14ac:dyDescent="0.35">
      <c r="A815" s="15" t="s">
        <v>748</v>
      </c>
      <c r="B815" s="17">
        <v>1</v>
      </c>
    </row>
    <row r="816" spans="1:2" x14ac:dyDescent="0.35">
      <c r="A816" s="15" t="s">
        <v>718</v>
      </c>
      <c r="B816" s="17">
        <v>1</v>
      </c>
    </row>
    <row r="817" spans="1:2" x14ac:dyDescent="0.35">
      <c r="A817" s="15" t="s">
        <v>1075</v>
      </c>
      <c r="B817" s="17">
        <v>1</v>
      </c>
    </row>
    <row r="818" spans="1:2" x14ac:dyDescent="0.35">
      <c r="A818" s="15" t="s">
        <v>464</v>
      </c>
      <c r="B818" s="17">
        <v>1</v>
      </c>
    </row>
    <row r="819" spans="1:2" x14ac:dyDescent="0.35">
      <c r="A819" s="15" t="s">
        <v>1026</v>
      </c>
      <c r="B819" s="17">
        <v>1</v>
      </c>
    </row>
    <row r="820" spans="1:2" x14ac:dyDescent="0.35">
      <c r="A820" s="15" t="s">
        <v>1540</v>
      </c>
      <c r="B820" s="17">
        <v>1</v>
      </c>
    </row>
    <row r="821" spans="1:2" x14ac:dyDescent="0.35">
      <c r="A821" s="15" t="s">
        <v>1453</v>
      </c>
      <c r="B821" s="17">
        <v>1</v>
      </c>
    </row>
    <row r="822" spans="1:2" x14ac:dyDescent="0.35">
      <c r="A822" s="15" t="s">
        <v>1209</v>
      </c>
      <c r="B822" s="17">
        <v>1</v>
      </c>
    </row>
    <row r="823" spans="1:2" x14ac:dyDescent="0.35">
      <c r="A823" s="15" t="s">
        <v>257</v>
      </c>
      <c r="B823" s="17">
        <v>1</v>
      </c>
    </row>
    <row r="824" spans="1:2" x14ac:dyDescent="0.35">
      <c r="A824" s="15" t="s">
        <v>343</v>
      </c>
      <c r="B824" s="17">
        <v>1</v>
      </c>
    </row>
    <row r="825" spans="1:2" x14ac:dyDescent="0.35">
      <c r="A825" s="15" t="s">
        <v>867</v>
      </c>
      <c r="B825" s="17">
        <v>1</v>
      </c>
    </row>
    <row r="826" spans="1:2" x14ac:dyDescent="0.35">
      <c r="A826" s="15" t="s">
        <v>195</v>
      </c>
      <c r="B826" s="17">
        <v>1</v>
      </c>
    </row>
    <row r="827" spans="1:2" x14ac:dyDescent="0.35">
      <c r="A827" s="15" t="s">
        <v>941</v>
      </c>
      <c r="B827" s="17">
        <v>1</v>
      </c>
    </row>
    <row r="828" spans="1:2" x14ac:dyDescent="0.35">
      <c r="A828" s="15" t="s">
        <v>720</v>
      </c>
      <c r="B828" s="17">
        <v>1</v>
      </c>
    </row>
    <row r="829" spans="1:2" x14ac:dyDescent="0.35">
      <c r="A829" s="15" t="s">
        <v>253</v>
      </c>
      <c r="B829" s="17">
        <v>1</v>
      </c>
    </row>
    <row r="830" spans="1:2" x14ac:dyDescent="0.35">
      <c r="A830" s="15" t="s">
        <v>355</v>
      </c>
      <c r="B830" s="17">
        <v>1</v>
      </c>
    </row>
    <row r="831" spans="1:2" x14ac:dyDescent="0.35">
      <c r="A831" s="15" t="s">
        <v>1196</v>
      </c>
      <c r="B831" s="17">
        <v>1</v>
      </c>
    </row>
    <row r="832" spans="1:2" x14ac:dyDescent="0.35">
      <c r="A832" s="15" t="s">
        <v>497</v>
      </c>
      <c r="B832" s="17">
        <v>1</v>
      </c>
    </row>
    <row r="833" spans="1:2" x14ac:dyDescent="0.35">
      <c r="A833" s="15" t="s">
        <v>398</v>
      </c>
      <c r="B833" s="17">
        <v>1</v>
      </c>
    </row>
    <row r="834" spans="1:2" x14ac:dyDescent="0.35">
      <c r="A834" s="15" t="s">
        <v>1251</v>
      </c>
      <c r="B834" s="17">
        <v>1</v>
      </c>
    </row>
    <row r="835" spans="1:2" x14ac:dyDescent="0.35">
      <c r="A835" s="15" t="s">
        <v>1410</v>
      </c>
      <c r="B835" s="17">
        <v>1</v>
      </c>
    </row>
    <row r="836" spans="1:2" x14ac:dyDescent="0.35">
      <c r="A836" s="15" t="s">
        <v>18</v>
      </c>
      <c r="B836" s="17">
        <v>1</v>
      </c>
    </row>
    <row r="837" spans="1:2" x14ac:dyDescent="0.35">
      <c r="A837" s="15" t="s">
        <v>1128</v>
      </c>
      <c r="B837" s="17">
        <v>1</v>
      </c>
    </row>
    <row r="838" spans="1:2" x14ac:dyDescent="0.35">
      <c r="A838" s="15" t="s">
        <v>520</v>
      </c>
      <c r="B838" s="17">
        <v>1</v>
      </c>
    </row>
    <row r="839" spans="1:2" x14ac:dyDescent="0.35">
      <c r="A839" s="15" t="s">
        <v>451</v>
      </c>
      <c r="B839" s="17">
        <v>1</v>
      </c>
    </row>
    <row r="840" spans="1:2" x14ac:dyDescent="0.35">
      <c r="A840" s="15" t="s">
        <v>1570</v>
      </c>
      <c r="B840" s="17">
        <v>1</v>
      </c>
    </row>
    <row r="841" spans="1:2" x14ac:dyDescent="0.35">
      <c r="A841" s="15" t="s">
        <v>459</v>
      </c>
      <c r="B841" s="17">
        <v>1</v>
      </c>
    </row>
    <row r="842" spans="1:2" x14ac:dyDescent="0.35">
      <c r="A842" s="15" t="s">
        <v>1602</v>
      </c>
      <c r="B842" s="17">
        <v>1</v>
      </c>
    </row>
    <row r="843" spans="1:2" x14ac:dyDescent="0.35">
      <c r="A843" s="15" t="s">
        <v>1301</v>
      </c>
      <c r="B843" s="17">
        <v>1</v>
      </c>
    </row>
    <row r="844" spans="1:2" x14ac:dyDescent="0.35">
      <c r="A844" s="15" t="s">
        <v>586</v>
      </c>
      <c r="B844" s="17">
        <v>1</v>
      </c>
    </row>
    <row r="845" spans="1:2" x14ac:dyDescent="0.35">
      <c r="A845" s="15" t="s">
        <v>733</v>
      </c>
      <c r="B845" s="17">
        <v>1</v>
      </c>
    </row>
    <row r="846" spans="1:2" x14ac:dyDescent="0.35">
      <c r="A846" s="15" t="s">
        <v>364</v>
      </c>
      <c r="B846" s="17">
        <v>1</v>
      </c>
    </row>
    <row r="847" spans="1:2" x14ac:dyDescent="0.35">
      <c r="A847" s="15" t="s">
        <v>298</v>
      </c>
      <c r="B847" s="17">
        <v>1</v>
      </c>
    </row>
    <row r="848" spans="1:2" x14ac:dyDescent="0.35">
      <c r="A848" s="15" t="s">
        <v>1213</v>
      </c>
      <c r="B848" s="17">
        <v>1</v>
      </c>
    </row>
    <row r="849" spans="1:2" x14ac:dyDescent="0.35">
      <c r="A849" s="15" t="s">
        <v>255</v>
      </c>
      <c r="B849" s="17">
        <v>1</v>
      </c>
    </row>
    <row r="850" spans="1:2" x14ac:dyDescent="0.35">
      <c r="A850" s="15" t="s">
        <v>247</v>
      </c>
      <c r="B850" s="17">
        <v>1</v>
      </c>
    </row>
    <row r="851" spans="1:2" x14ac:dyDescent="0.35">
      <c r="A851" s="15" t="s">
        <v>1490</v>
      </c>
      <c r="B851" s="17">
        <v>1</v>
      </c>
    </row>
    <row r="852" spans="1:2" x14ac:dyDescent="0.35">
      <c r="A852" s="15" t="s">
        <v>939</v>
      </c>
      <c r="B852" s="17">
        <v>1</v>
      </c>
    </row>
    <row r="853" spans="1:2" x14ac:dyDescent="0.35">
      <c r="A853" s="15" t="s">
        <v>1273</v>
      </c>
      <c r="B853" s="17">
        <v>1</v>
      </c>
    </row>
    <row r="854" spans="1:2" x14ac:dyDescent="0.35">
      <c r="A854" s="15" t="s">
        <v>750</v>
      </c>
      <c r="B854" s="17">
        <v>1</v>
      </c>
    </row>
    <row r="855" spans="1:2" x14ac:dyDescent="0.35">
      <c r="A855" s="15" t="s">
        <v>709</v>
      </c>
      <c r="B855" s="17">
        <v>1</v>
      </c>
    </row>
    <row r="856" spans="1:2" x14ac:dyDescent="0.35">
      <c r="A856" s="15" t="s">
        <v>182</v>
      </c>
      <c r="B856" s="17">
        <v>1</v>
      </c>
    </row>
    <row r="857" spans="1:2" x14ac:dyDescent="0.35">
      <c r="A857" s="15" t="s">
        <v>161</v>
      </c>
      <c r="B857" s="17">
        <v>1</v>
      </c>
    </row>
    <row r="858" spans="1:2" x14ac:dyDescent="0.35">
      <c r="A858" s="15" t="s">
        <v>1144</v>
      </c>
      <c r="B858" s="17">
        <v>1</v>
      </c>
    </row>
    <row r="859" spans="1:2" x14ac:dyDescent="0.35">
      <c r="A859" s="15" t="s">
        <v>518</v>
      </c>
      <c r="B859" s="17">
        <v>1</v>
      </c>
    </row>
    <row r="860" spans="1:2" x14ac:dyDescent="0.35">
      <c r="A860" s="15" t="s">
        <v>1551</v>
      </c>
      <c r="B860" s="17">
        <v>1</v>
      </c>
    </row>
    <row r="861" spans="1:2" x14ac:dyDescent="0.35">
      <c r="A861" s="15" t="s">
        <v>1242</v>
      </c>
      <c r="B861" s="17">
        <v>1</v>
      </c>
    </row>
    <row r="862" spans="1:2" x14ac:dyDescent="0.35">
      <c r="A862" s="15" t="s">
        <v>618</v>
      </c>
      <c r="B862" s="17">
        <v>1</v>
      </c>
    </row>
    <row r="863" spans="1:2" x14ac:dyDescent="0.35">
      <c r="A863" s="15" t="s">
        <v>345</v>
      </c>
      <c r="B863" s="17">
        <v>1</v>
      </c>
    </row>
    <row r="864" spans="1:2" x14ac:dyDescent="0.35">
      <c r="A864" s="15" t="s">
        <v>1631</v>
      </c>
      <c r="B864" s="17">
        <v>1</v>
      </c>
    </row>
    <row r="865" spans="1:2" x14ac:dyDescent="0.35">
      <c r="A865" s="15" t="s">
        <v>101</v>
      </c>
      <c r="B865" s="17">
        <v>1</v>
      </c>
    </row>
    <row r="866" spans="1:2" x14ac:dyDescent="0.35">
      <c r="A866" s="15" t="s">
        <v>462</v>
      </c>
      <c r="B866" s="17">
        <v>1</v>
      </c>
    </row>
    <row r="867" spans="1:2" x14ac:dyDescent="0.35">
      <c r="A867" s="15" t="s">
        <v>835</v>
      </c>
      <c r="B867" s="17">
        <v>1</v>
      </c>
    </row>
    <row r="868" spans="1:2" x14ac:dyDescent="0.35">
      <c r="A868" s="15" t="s">
        <v>511</v>
      </c>
      <c r="B868" s="17">
        <v>1</v>
      </c>
    </row>
    <row r="869" spans="1:2" x14ac:dyDescent="0.35">
      <c r="A869" s="15" t="s">
        <v>1164</v>
      </c>
      <c r="B869" s="17">
        <v>1</v>
      </c>
    </row>
    <row r="870" spans="1:2" x14ac:dyDescent="0.35">
      <c r="A870" s="15" t="s">
        <v>1629</v>
      </c>
      <c r="B870" s="17">
        <v>1</v>
      </c>
    </row>
    <row r="871" spans="1:2" x14ac:dyDescent="0.35">
      <c r="A871" s="15" t="s">
        <v>1412</v>
      </c>
      <c r="B871" s="17">
        <v>1</v>
      </c>
    </row>
    <row r="872" spans="1:2" x14ac:dyDescent="0.35">
      <c r="A872" s="15" t="s">
        <v>340</v>
      </c>
      <c r="B872" s="17">
        <v>1</v>
      </c>
    </row>
    <row r="873" spans="1:2" x14ac:dyDescent="0.35">
      <c r="A873" s="15" t="s">
        <v>1002</v>
      </c>
      <c r="B873" s="17">
        <v>1</v>
      </c>
    </row>
    <row r="874" spans="1:2" x14ac:dyDescent="0.35">
      <c r="A874" s="15" t="s">
        <v>1374</v>
      </c>
      <c r="B874" s="17">
        <v>1</v>
      </c>
    </row>
    <row r="875" spans="1:2" x14ac:dyDescent="0.35">
      <c r="A875" s="15" t="s">
        <v>922</v>
      </c>
      <c r="B875" s="17">
        <v>1</v>
      </c>
    </row>
    <row r="876" spans="1:2" x14ac:dyDescent="0.35">
      <c r="A876" s="15" t="s">
        <v>1624</v>
      </c>
      <c r="B876" s="17">
        <v>1</v>
      </c>
    </row>
    <row r="877" spans="1:2" x14ac:dyDescent="0.35">
      <c r="A877" s="15" t="s">
        <v>375</v>
      </c>
      <c r="B877" s="17">
        <v>1</v>
      </c>
    </row>
    <row r="878" spans="1:2" x14ac:dyDescent="0.35">
      <c r="A878" s="15" t="s">
        <v>731</v>
      </c>
      <c r="B878" s="17">
        <v>1</v>
      </c>
    </row>
    <row r="879" spans="1:2" x14ac:dyDescent="0.35">
      <c r="A879" s="15" t="s">
        <v>1386</v>
      </c>
      <c r="B879" s="17">
        <v>1</v>
      </c>
    </row>
    <row r="880" spans="1:2" x14ac:dyDescent="0.35">
      <c r="A880" s="15" t="s">
        <v>960</v>
      </c>
      <c r="B880" s="17">
        <v>1</v>
      </c>
    </row>
    <row r="881" spans="1:2" x14ac:dyDescent="0.35">
      <c r="A881" s="15" t="s">
        <v>1438</v>
      </c>
      <c r="B881" s="17">
        <v>1</v>
      </c>
    </row>
    <row r="882" spans="1:2" x14ac:dyDescent="0.35">
      <c r="A882" s="15" t="s">
        <v>1509</v>
      </c>
      <c r="B882" s="17">
        <v>1</v>
      </c>
    </row>
    <row r="883" spans="1:2" x14ac:dyDescent="0.35">
      <c r="A883" s="15" t="s">
        <v>862</v>
      </c>
      <c r="B883" s="17">
        <v>1</v>
      </c>
    </row>
    <row r="884" spans="1:2" x14ac:dyDescent="0.35">
      <c r="A884" s="15" t="s">
        <v>896</v>
      </c>
      <c r="B884" s="17">
        <v>1</v>
      </c>
    </row>
    <row r="885" spans="1:2" x14ac:dyDescent="0.35">
      <c r="A885" s="15" t="s">
        <v>683</v>
      </c>
      <c r="B885" s="17">
        <v>1</v>
      </c>
    </row>
    <row r="886" spans="1:2" x14ac:dyDescent="0.35">
      <c r="A886" s="15" t="s">
        <v>839</v>
      </c>
      <c r="B886" s="17">
        <v>1</v>
      </c>
    </row>
    <row r="887" spans="1:2" x14ac:dyDescent="0.35">
      <c r="A887" s="15" t="s">
        <v>665</v>
      </c>
      <c r="B887" s="17">
        <v>1</v>
      </c>
    </row>
    <row r="888" spans="1:2" x14ac:dyDescent="0.35">
      <c r="A888" s="15" t="s">
        <v>108</v>
      </c>
      <c r="B888" s="17">
        <v>1</v>
      </c>
    </row>
    <row r="889" spans="1:2" x14ac:dyDescent="0.35">
      <c r="A889" s="15" t="s">
        <v>755</v>
      </c>
      <c r="B889" s="17">
        <v>1</v>
      </c>
    </row>
    <row r="890" spans="1:2" x14ac:dyDescent="0.35">
      <c r="A890" s="15" t="s">
        <v>1503</v>
      </c>
      <c r="B890" s="17">
        <v>1</v>
      </c>
    </row>
    <row r="891" spans="1:2" x14ac:dyDescent="0.35">
      <c r="A891" s="15" t="s">
        <v>576</v>
      </c>
      <c r="B891" s="17">
        <v>1</v>
      </c>
    </row>
    <row r="892" spans="1:2" x14ac:dyDescent="0.35">
      <c r="A892" s="15" t="s">
        <v>205</v>
      </c>
      <c r="B892" s="17">
        <v>1</v>
      </c>
    </row>
    <row r="893" spans="1:2" x14ac:dyDescent="0.35">
      <c r="A893" s="15" t="s">
        <v>1337</v>
      </c>
      <c r="B893" s="17">
        <v>1</v>
      </c>
    </row>
    <row r="894" spans="1:2" x14ac:dyDescent="0.35">
      <c r="A894" s="15" t="s">
        <v>968</v>
      </c>
      <c r="B894" s="17">
        <v>1</v>
      </c>
    </row>
    <row r="895" spans="1:2" x14ac:dyDescent="0.35">
      <c r="A895" s="15" t="s">
        <v>1324</v>
      </c>
      <c r="B895" s="17">
        <v>1</v>
      </c>
    </row>
    <row r="896" spans="1:2" x14ac:dyDescent="0.35">
      <c r="A896" s="15" t="s">
        <v>146</v>
      </c>
      <c r="B896" s="17">
        <v>1</v>
      </c>
    </row>
    <row r="897" spans="1:2" x14ac:dyDescent="0.35">
      <c r="A897" s="15" t="s">
        <v>1097</v>
      </c>
      <c r="B897" s="17">
        <v>1</v>
      </c>
    </row>
    <row r="898" spans="1:2" x14ac:dyDescent="0.35">
      <c r="A898" s="15" t="s">
        <v>278</v>
      </c>
      <c r="B898" s="17">
        <v>1</v>
      </c>
    </row>
    <row r="899" spans="1:2" x14ac:dyDescent="0.35">
      <c r="A899" s="15" t="s">
        <v>1069</v>
      </c>
      <c r="B899" s="17">
        <v>1</v>
      </c>
    </row>
    <row r="900" spans="1:2" x14ac:dyDescent="0.35">
      <c r="A900" s="15" t="s">
        <v>876</v>
      </c>
      <c r="B900" s="17">
        <v>1</v>
      </c>
    </row>
    <row r="901" spans="1:2" x14ac:dyDescent="0.35">
      <c r="A901" s="15" t="s">
        <v>1525</v>
      </c>
      <c r="B901" s="17">
        <v>1</v>
      </c>
    </row>
    <row r="902" spans="1:2" x14ac:dyDescent="0.35">
      <c r="A902" s="15" t="s">
        <v>304</v>
      </c>
      <c r="B902" s="17">
        <v>1</v>
      </c>
    </row>
    <row r="903" spans="1:2" x14ac:dyDescent="0.35">
      <c r="A903" s="15" t="s">
        <v>1635</v>
      </c>
      <c r="B903" s="17">
        <v>1</v>
      </c>
    </row>
    <row r="904" spans="1:2" x14ac:dyDescent="0.35">
      <c r="A904" s="15" t="s">
        <v>1224</v>
      </c>
      <c r="B904" s="17">
        <v>1</v>
      </c>
    </row>
    <row r="905" spans="1:2" x14ac:dyDescent="0.35">
      <c r="A905" s="15" t="s">
        <v>1167</v>
      </c>
      <c r="B905" s="17">
        <v>1</v>
      </c>
    </row>
    <row r="906" spans="1:2" x14ac:dyDescent="0.35">
      <c r="A906" s="15" t="s">
        <v>1174</v>
      </c>
      <c r="B906" s="17">
        <v>1</v>
      </c>
    </row>
    <row r="907" spans="1:2" x14ac:dyDescent="0.35">
      <c r="A907" s="15" t="s">
        <v>647</v>
      </c>
      <c r="B907" s="17">
        <v>1</v>
      </c>
    </row>
    <row r="908" spans="1:2" x14ac:dyDescent="0.35">
      <c r="A908" s="15" t="s">
        <v>612</v>
      </c>
      <c r="B908" s="17">
        <v>1</v>
      </c>
    </row>
    <row r="909" spans="1:2" x14ac:dyDescent="0.35">
      <c r="A909" s="15" t="s">
        <v>1113</v>
      </c>
      <c r="B909" s="17">
        <v>1</v>
      </c>
    </row>
    <row r="910" spans="1:2" x14ac:dyDescent="0.35">
      <c r="A910" s="15" t="s">
        <v>549</v>
      </c>
      <c r="B910" s="17">
        <v>1</v>
      </c>
    </row>
    <row r="911" spans="1:2" x14ac:dyDescent="0.35">
      <c r="A911" s="15" t="s">
        <v>1405</v>
      </c>
      <c r="B911" s="17">
        <v>1</v>
      </c>
    </row>
    <row r="912" spans="1:2" x14ac:dyDescent="0.35">
      <c r="A912" s="15" t="s">
        <v>971</v>
      </c>
      <c r="B912" s="17">
        <v>1</v>
      </c>
    </row>
    <row r="913" spans="1:2" x14ac:dyDescent="0.35">
      <c r="A913" s="15" t="s">
        <v>1662</v>
      </c>
      <c r="B913" s="17">
        <v>1</v>
      </c>
    </row>
    <row r="914" spans="1:2" x14ac:dyDescent="0.35">
      <c r="A914" s="15" t="s">
        <v>1647</v>
      </c>
      <c r="B914" s="17">
        <v>1</v>
      </c>
    </row>
    <row r="915" spans="1:2" x14ac:dyDescent="0.35">
      <c r="A915" s="15" t="s">
        <v>1576</v>
      </c>
      <c r="B915" s="17">
        <v>1</v>
      </c>
    </row>
    <row r="916" spans="1:2" x14ac:dyDescent="0.35">
      <c r="A916" s="15" t="s">
        <v>1547</v>
      </c>
      <c r="B916" s="17">
        <v>1</v>
      </c>
    </row>
    <row r="917" spans="1:2" x14ac:dyDescent="0.35">
      <c r="A917" s="15" t="s">
        <v>1232</v>
      </c>
      <c r="B917" s="17">
        <v>1</v>
      </c>
    </row>
    <row r="918" spans="1:2" x14ac:dyDescent="0.35">
      <c r="A918" s="15" t="s">
        <v>788</v>
      </c>
      <c r="B918" s="17">
        <v>1</v>
      </c>
    </row>
    <row r="919" spans="1:2" x14ac:dyDescent="0.35">
      <c r="A919" s="15" t="s">
        <v>1039</v>
      </c>
      <c r="B919" s="17">
        <v>1</v>
      </c>
    </row>
    <row r="920" spans="1:2" x14ac:dyDescent="0.35">
      <c r="A920" s="15" t="s">
        <v>526</v>
      </c>
      <c r="B920" s="17">
        <v>1</v>
      </c>
    </row>
    <row r="921" spans="1:2" x14ac:dyDescent="0.35">
      <c r="A921" s="15" t="s">
        <v>639</v>
      </c>
      <c r="B921" s="17">
        <v>1</v>
      </c>
    </row>
    <row r="922" spans="1:2" x14ac:dyDescent="0.35">
      <c r="A922" s="15" t="s">
        <v>276</v>
      </c>
      <c r="B922" s="17">
        <v>1</v>
      </c>
    </row>
    <row r="923" spans="1:2" x14ac:dyDescent="0.35">
      <c r="A923" s="15" t="s">
        <v>560</v>
      </c>
      <c r="B923" s="17">
        <v>1</v>
      </c>
    </row>
    <row r="924" spans="1:2" x14ac:dyDescent="0.35">
      <c r="A924" s="15" t="s">
        <v>801</v>
      </c>
      <c r="B924" s="17">
        <v>1</v>
      </c>
    </row>
    <row r="925" spans="1:2" x14ac:dyDescent="0.35">
      <c r="A925" s="15" t="s">
        <v>1626</v>
      </c>
      <c r="B925" s="17">
        <v>1</v>
      </c>
    </row>
    <row r="926" spans="1:2" x14ac:dyDescent="0.35">
      <c r="A926" s="15" t="s">
        <v>1342</v>
      </c>
      <c r="B926" s="17">
        <v>1</v>
      </c>
    </row>
    <row r="927" spans="1:2" x14ac:dyDescent="0.35">
      <c r="A927" s="15" t="s">
        <v>1048</v>
      </c>
      <c r="B927" s="17">
        <v>1</v>
      </c>
    </row>
    <row r="928" spans="1:2" x14ac:dyDescent="0.35">
      <c r="A928" s="15" t="s">
        <v>980</v>
      </c>
      <c r="B928" s="17">
        <v>1</v>
      </c>
    </row>
    <row r="929" spans="1:2" x14ac:dyDescent="0.35">
      <c r="A929" s="15" t="s">
        <v>698</v>
      </c>
      <c r="B929" s="17">
        <v>1</v>
      </c>
    </row>
    <row r="930" spans="1:2" x14ac:dyDescent="0.35">
      <c r="A930" s="15" t="s">
        <v>1261</v>
      </c>
      <c r="B930" s="17">
        <v>1</v>
      </c>
    </row>
    <row r="931" spans="1:2" x14ac:dyDescent="0.35">
      <c r="A931" s="15" t="s">
        <v>1211</v>
      </c>
      <c r="B931" s="17">
        <v>1</v>
      </c>
    </row>
    <row r="932" spans="1:2" x14ac:dyDescent="0.35">
      <c r="A932" s="15" t="s">
        <v>428</v>
      </c>
      <c r="B932" s="17">
        <v>1</v>
      </c>
    </row>
    <row r="933" spans="1:2" x14ac:dyDescent="0.35">
      <c r="A933" s="15" t="s">
        <v>243</v>
      </c>
      <c r="B933" s="17">
        <v>1</v>
      </c>
    </row>
    <row r="934" spans="1:2" x14ac:dyDescent="0.35">
      <c r="A934" s="15" t="s">
        <v>580</v>
      </c>
      <c r="B934" s="17">
        <v>1</v>
      </c>
    </row>
    <row r="935" spans="1:2" x14ac:dyDescent="0.35">
      <c r="A935" s="15" t="s">
        <v>1564</v>
      </c>
      <c r="B935" s="17">
        <v>1</v>
      </c>
    </row>
    <row r="936" spans="1:2" x14ac:dyDescent="0.35">
      <c r="A936" s="15" t="s">
        <v>1135</v>
      </c>
      <c r="B936" s="17">
        <v>1</v>
      </c>
    </row>
    <row r="937" spans="1:2" x14ac:dyDescent="0.35">
      <c r="A937" s="15" t="s">
        <v>381</v>
      </c>
      <c r="B937" s="17">
        <v>1</v>
      </c>
    </row>
    <row r="938" spans="1:2" x14ac:dyDescent="0.35">
      <c r="A938" s="15" t="s">
        <v>714</v>
      </c>
      <c r="B938" s="17">
        <v>1</v>
      </c>
    </row>
    <row r="939" spans="1:2" x14ac:dyDescent="0.35">
      <c r="A939" s="15" t="s">
        <v>1107</v>
      </c>
      <c r="B939" s="17">
        <v>1</v>
      </c>
    </row>
    <row r="940" spans="1:2" x14ac:dyDescent="0.35">
      <c r="A940" s="15" t="s">
        <v>1292</v>
      </c>
      <c r="B940" s="17">
        <v>1</v>
      </c>
    </row>
    <row r="941" spans="1:2" x14ac:dyDescent="0.35">
      <c r="A941" s="15" t="s">
        <v>1538</v>
      </c>
      <c r="B941" s="17">
        <v>1</v>
      </c>
    </row>
    <row r="942" spans="1:2" x14ac:dyDescent="0.35">
      <c r="A942" s="15" t="s">
        <v>914</v>
      </c>
      <c r="B942" s="17">
        <v>1</v>
      </c>
    </row>
    <row r="943" spans="1:2" x14ac:dyDescent="0.35">
      <c r="A943" s="15" t="s">
        <v>1407</v>
      </c>
      <c r="B943" s="17">
        <v>1</v>
      </c>
    </row>
    <row r="944" spans="1:2" x14ac:dyDescent="0.35">
      <c r="A944" s="15" t="s">
        <v>1294</v>
      </c>
      <c r="B944" s="17">
        <v>1</v>
      </c>
    </row>
    <row r="945" spans="1:2" x14ac:dyDescent="0.35">
      <c r="A945" s="15" t="s">
        <v>1281</v>
      </c>
      <c r="B945" s="17">
        <v>1</v>
      </c>
    </row>
    <row r="946" spans="1:2" x14ac:dyDescent="0.35">
      <c r="A946" s="15" t="s">
        <v>1219</v>
      </c>
      <c r="B946" s="17">
        <v>1</v>
      </c>
    </row>
    <row r="947" spans="1:2" x14ac:dyDescent="0.35">
      <c r="A947" s="15" t="s">
        <v>643</v>
      </c>
      <c r="B947" s="17">
        <v>1</v>
      </c>
    </row>
    <row r="948" spans="1:2" x14ac:dyDescent="0.35">
      <c r="A948" s="15" t="s">
        <v>1461</v>
      </c>
      <c r="B948" s="17">
        <v>1</v>
      </c>
    </row>
    <row r="949" spans="1:2" x14ac:dyDescent="0.35">
      <c r="A949" s="15" t="s">
        <v>1190</v>
      </c>
      <c r="B949" s="17">
        <v>1</v>
      </c>
    </row>
    <row r="950" spans="1:2" x14ac:dyDescent="0.35">
      <c r="A950" s="15" t="s">
        <v>1532</v>
      </c>
      <c r="B950" s="17">
        <v>1</v>
      </c>
    </row>
    <row r="951" spans="1:2" x14ac:dyDescent="0.35">
      <c r="A951" s="15" t="s">
        <v>1613</v>
      </c>
      <c r="B951" s="17">
        <v>1</v>
      </c>
    </row>
    <row r="952" spans="1:2" x14ac:dyDescent="0.35">
      <c r="A952" s="15" t="s">
        <v>1116</v>
      </c>
      <c r="B952" s="17">
        <v>1</v>
      </c>
    </row>
    <row r="953" spans="1:2" x14ac:dyDescent="0.35">
      <c r="A953" s="15" t="s">
        <v>1554</v>
      </c>
      <c r="B953" s="17">
        <v>1</v>
      </c>
    </row>
    <row r="954" spans="1:2" x14ac:dyDescent="0.35">
      <c r="A954" s="15" t="s">
        <v>992</v>
      </c>
      <c r="B954" s="17">
        <v>1</v>
      </c>
    </row>
    <row r="955" spans="1:2" x14ac:dyDescent="0.35">
      <c r="A955" s="15" t="s">
        <v>1090</v>
      </c>
      <c r="B955" s="17">
        <v>1</v>
      </c>
    </row>
    <row r="956" spans="1:2" x14ac:dyDescent="0.35">
      <c r="A956" s="15" t="s">
        <v>475</v>
      </c>
      <c r="B956" s="17">
        <v>1</v>
      </c>
    </row>
    <row r="957" spans="1:2" x14ac:dyDescent="0.35">
      <c r="A957" s="15" t="s">
        <v>1109</v>
      </c>
      <c r="B957" s="17">
        <v>1</v>
      </c>
    </row>
    <row r="958" spans="1:2" x14ac:dyDescent="0.35">
      <c r="A958" s="15" t="s">
        <v>1307</v>
      </c>
      <c r="B958" s="17">
        <v>1</v>
      </c>
    </row>
    <row r="959" spans="1:2" x14ac:dyDescent="0.35">
      <c r="A959" s="15" t="s">
        <v>792</v>
      </c>
      <c r="B959" s="17">
        <v>1</v>
      </c>
    </row>
    <row r="960" spans="1:2" x14ac:dyDescent="0.35">
      <c r="A960" s="15" t="s">
        <v>908</v>
      </c>
      <c r="B960" s="17">
        <v>1</v>
      </c>
    </row>
    <row r="961" spans="1:2" x14ac:dyDescent="0.35">
      <c r="A961" s="15" t="s">
        <v>1354</v>
      </c>
      <c r="B961" s="17">
        <v>1</v>
      </c>
    </row>
    <row r="962" spans="1:2" x14ac:dyDescent="0.35">
      <c r="A962" s="15" t="s">
        <v>1473</v>
      </c>
      <c r="B962" s="17">
        <v>1</v>
      </c>
    </row>
    <row r="963" spans="1:2" x14ac:dyDescent="0.35">
      <c r="A963" s="15" t="s">
        <v>824</v>
      </c>
      <c r="B963" s="17">
        <v>1</v>
      </c>
    </row>
    <row r="964" spans="1:2" x14ac:dyDescent="0.35">
      <c r="A964" s="15" t="s">
        <v>804</v>
      </c>
      <c r="B964" s="17">
        <v>1</v>
      </c>
    </row>
    <row r="965" spans="1:2" x14ac:dyDescent="0.35">
      <c r="A965" s="15" t="s">
        <v>1484</v>
      </c>
      <c r="B965" s="17">
        <v>1</v>
      </c>
    </row>
    <row r="966" spans="1:2" x14ac:dyDescent="0.35">
      <c r="A966" s="15" t="s">
        <v>309</v>
      </c>
      <c r="B966" s="17">
        <v>1</v>
      </c>
    </row>
    <row r="967" spans="1:2" x14ac:dyDescent="0.35">
      <c r="A967" s="15" t="s">
        <v>857</v>
      </c>
      <c r="B967" s="17">
        <v>1</v>
      </c>
    </row>
    <row r="968" spans="1:2" x14ac:dyDescent="0.35">
      <c r="A968" s="15" t="s">
        <v>540</v>
      </c>
      <c r="B968" s="17">
        <v>1</v>
      </c>
    </row>
    <row r="969" spans="1:2" x14ac:dyDescent="0.35">
      <c r="A969" s="15" t="s">
        <v>1608</v>
      </c>
      <c r="B969" s="17">
        <v>1</v>
      </c>
    </row>
    <row r="970" spans="1:2" x14ac:dyDescent="0.35">
      <c r="A970" s="15" t="s">
        <v>372</v>
      </c>
      <c r="B970" s="17">
        <v>1</v>
      </c>
    </row>
    <row r="971" spans="1:2" x14ac:dyDescent="0.35">
      <c r="A971" s="15" t="s">
        <v>924</v>
      </c>
      <c r="B971" s="17">
        <v>1</v>
      </c>
    </row>
    <row r="972" spans="1:2" x14ac:dyDescent="0.35">
      <c r="A972" s="15" t="s">
        <v>1403</v>
      </c>
      <c r="B972" s="17">
        <v>1</v>
      </c>
    </row>
    <row r="973" spans="1:2" x14ac:dyDescent="0.35">
      <c r="A973" s="15" t="s">
        <v>725</v>
      </c>
      <c r="B973" s="17">
        <v>1</v>
      </c>
    </row>
    <row r="974" spans="1:2" x14ac:dyDescent="0.35">
      <c r="A974" s="15" t="s">
        <v>1064</v>
      </c>
      <c r="B974" s="17">
        <v>1</v>
      </c>
    </row>
    <row r="975" spans="1:2" x14ac:dyDescent="0.35">
      <c r="A975" s="15" t="s">
        <v>1578</v>
      </c>
      <c r="B975" s="17">
        <v>1</v>
      </c>
    </row>
    <row r="976" spans="1:2" x14ac:dyDescent="0.35">
      <c r="A976" s="15" t="s">
        <v>1431</v>
      </c>
      <c r="B976" s="17">
        <v>1</v>
      </c>
    </row>
    <row r="977" spans="1:2" x14ac:dyDescent="0.35">
      <c r="A977" s="15" t="s">
        <v>574</v>
      </c>
      <c r="B977" s="17">
        <v>1</v>
      </c>
    </row>
    <row r="978" spans="1:2" x14ac:dyDescent="0.35">
      <c r="A978" s="15" t="s">
        <v>904</v>
      </c>
      <c r="B978" s="17">
        <v>1</v>
      </c>
    </row>
    <row r="979" spans="1:2" x14ac:dyDescent="0.35">
      <c r="A979" s="15" t="s">
        <v>1492</v>
      </c>
      <c r="B979" s="17">
        <v>1</v>
      </c>
    </row>
    <row r="980" spans="1:2" x14ac:dyDescent="0.35">
      <c r="A980" s="15" t="s">
        <v>1199</v>
      </c>
      <c r="B980" s="17">
        <v>1</v>
      </c>
    </row>
    <row r="981" spans="1:2" x14ac:dyDescent="0.35">
      <c r="A981" s="15" t="s">
        <v>1514</v>
      </c>
      <c r="B981" s="17">
        <v>1</v>
      </c>
    </row>
    <row r="982" spans="1:2" x14ac:dyDescent="0.35">
      <c r="A982" s="15" t="s">
        <v>955</v>
      </c>
      <c r="B982" s="17">
        <v>1</v>
      </c>
    </row>
    <row r="983" spans="1:2" x14ac:dyDescent="0.35">
      <c r="A983" s="15" t="s">
        <v>333</v>
      </c>
      <c r="B983" s="17">
        <v>1</v>
      </c>
    </row>
    <row r="984" spans="1:2" x14ac:dyDescent="0.35">
      <c r="A984" s="15" t="s">
        <v>651</v>
      </c>
      <c r="B984" s="17">
        <v>1</v>
      </c>
    </row>
    <row r="985" spans="1:2" x14ac:dyDescent="0.35">
      <c r="A985" s="15" t="s">
        <v>1383</v>
      </c>
      <c r="B985" s="17">
        <v>1</v>
      </c>
    </row>
    <row r="986" spans="1:2" x14ac:dyDescent="0.35">
      <c r="A986" s="15" t="s">
        <v>649</v>
      </c>
      <c r="B986" s="17">
        <v>1</v>
      </c>
    </row>
    <row r="987" spans="1:2" x14ac:dyDescent="0.35">
      <c r="A987" s="15" t="s">
        <v>773</v>
      </c>
      <c r="B987" s="17">
        <v>1</v>
      </c>
    </row>
    <row r="988" spans="1:2" x14ac:dyDescent="0.35">
      <c r="A988" s="15" t="s">
        <v>489</v>
      </c>
      <c r="B988" s="17">
        <v>1</v>
      </c>
    </row>
    <row r="989" spans="1:2" x14ac:dyDescent="0.35">
      <c r="A989" s="15" t="s">
        <v>1246</v>
      </c>
      <c r="B989" s="17">
        <v>1</v>
      </c>
    </row>
    <row r="990" spans="1:2" x14ac:dyDescent="0.35">
      <c r="A990" s="15" t="s">
        <v>568</v>
      </c>
      <c r="B990" s="17">
        <v>1</v>
      </c>
    </row>
    <row r="991" spans="1:2" x14ac:dyDescent="0.35">
      <c r="A991" s="15" t="s">
        <v>1724</v>
      </c>
      <c r="B991" s="17">
        <v>1000</v>
      </c>
    </row>
  </sheetData>
  <conditionalFormatting pivot="1" sqref="B5:B8">
    <cfRule type="colorScale" priority="36">
      <colorScale>
        <cfvo type="min"/>
        <cfvo type="percentile" val="50"/>
        <cfvo type="max"/>
        <color rgb="FFF8696B"/>
        <color rgb="FFFFEB84"/>
        <color rgb="FF63BE7B"/>
      </colorScale>
    </cfRule>
  </conditionalFormatting>
  <conditionalFormatting pivot="1" sqref="B107:B118">
    <cfRule type="colorScale" priority="33">
      <colorScale>
        <cfvo type="min"/>
        <cfvo type="percentile" val="50"/>
        <cfvo type="max"/>
        <color rgb="FFF8696B"/>
        <color rgb="FFFFEB84"/>
        <color rgb="FF63BE7B"/>
      </colorScale>
    </cfRule>
  </conditionalFormatting>
  <conditionalFormatting pivot="1" sqref="C107:C118">
    <cfRule type="colorScale" priority="32">
      <colorScale>
        <cfvo type="min"/>
        <cfvo type="percentile" val="50"/>
        <cfvo type="max"/>
        <color rgb="FFF8696B"/>
        <color rgb="FFFFEB84"/>
        <color rgb="FF63BE7B"/>
      </colorScale>
    </cfRule>
  </conditionalFormatting>
  <conditionalFormatting pivot="1" sqref="B151:B162">
    <cfRule type="colorScale" priority="27">
      <colorScale>
        <cfvo type="min"/>
        <cfvo type="percentile" val="50"/>
        <cfvo type="max"/>
        <color rgb="FFF8696B"/>
        <color rgb="FFFFEB84"/>
        <color rgb="FF63BE7B"/>
      </colorScale>
    </cfRule>
  </conditionalFormatting>
  <conditionalFormatting pivot="1" sqref="B216:D227">
    <cfRule type="colorScale" priority="25">
      <colorScale>
        <cfvo type="min"/>
        <cfvo type="percentile" val="50"/>
        <cfvo type="max"/>
        <color rgb="FFF8696B"/>
        <color rgb="FFFFEB84"/>
        <color rgb="FF63BE7B"/>
      </colorScale>
    </cfRule>
  </conditionalFormatting>
  <conditionalFormatting pivot="1" sqref="B237:D248">
    <cfRule type="colorScale" priority="24">
      <colorScale>
        <cfvo type="min"/>
        <cfvo type="percentile" val="50"/>
        <cfvo type="max"/>
        <color rgb="FFF8696B"/>
        <color rgb="FFFFEB84"/>
        <color rgb="FF63BE7B"/>
      </colorScale>
    </cfRule>
  </conditionalFormatting>
  <conditionalFormatting pivot="1" sqref="E256:E261">
    <cfRule type="colorScale" priority="23">
      <colorScale>
        <cfvo type="min"/>
        <cfvo type="percentile" val="50"/>
        <cfvo type="max"/>
        <color rgb="FFF8696B"/>
        <color rgb="FFFFEB84"/>
        <color rgb="FF63BE7B"/>
      </colorScale>
    </cfRule>
  </conditionalFormatting>
  <conditionalFormatting sqref="D271:D276">
    <cfRule type="colorScale" priority="22">
      <colorScale>
        <cfvo type="min"/>
        <cfvo type="percentile" val="50"/>
        <cfvo type="max"/>
        <color rgb="FFF8696B"/>
        <color rgb="FFFFEB84"/>
        <color rgb="FF63BE7B"/>
      </colorScale>
    </cfRule>
  </conditionalFormatting>
  <conditionalFormatting pivot="1" sqref="B283:B286">
    <cfRule type="colorScale" priority="21">
      <colorScale>
        <cfvo type="min"/>
        <cfvo type="percentile" val="50"/>
        <cfvo type="max"/>
        <color rgb="FFF8696B"/>
        <color rgb="FFFFEB84"/>
        <color rgb="FF63BE7B"/>
      </colorScale>
    </cfRule>
  </conditionalFormatting>
  <conditionalFormatting pivot="1" sqref="B340:B343">
    <cfRule type="colorScale" priority="19">
      <colorScale>
        <cfvo type="min"/>
        <cfvo type="percentile" val="50"/>
        <cfvo type="max"/>
        <color rgb="FFF8696B"/>
        <color rgb="FFFFEB84"/>
        <color rgb="FF63BE7B"/>
      </colorScale>
    </cfRule>
  </conditionalFormatting>
  <conditionalFormatting pivot="1" sqref="C340:C343">
    <cfRule type="colorScale" priority="18">
      <colorScale>
        <cfvo type="min"/>
        <cfvo type="percentile" val="50"/>
        <cfvo type="max"/>
        <color rgb="FFF8696B"/>
        <color rgb="FFFFEB84"/>
        <color rgb="FF63BE7B"/>
      </colorScale>
    </cfRule>
  </conditionalFormatting>
  <conditionalFormatting pivot="1" sqref="B351 B358 B365 B372">
    <cfRule type="colorScale" priority="17">
      <colorScale>
        <cfvo type="min"/>
        <cfvo type="percentile" val="50"/>
        <cfvo type="max"/>
        <color rgb="FFF8696B"/>
        <color rgb="FFFFEB84"/>
        <color rgb="FF63BE7B"/>
      </colorScale>
    </cfRule>
  </conditionalFormatting>
  <conditionalFormatting pivot="1" sqref="C351 C358 C365 C372">
    <cfRule type="colorScale" priority="16">
      <colorScale>
        <cfvo type="min"/>
        <cfvo type="percentile" val="50"/>
        <cfvo type="max"/>
        <color rgb="FFF8696B"/>
        <color rgb="FFFFEB84"/>
        <color rgb="FF63BE7B"/>
      </colorScale>
    </cfRule>
  </conditionalFormatting>
  <conditionalFormatting pivot="1" sqref="G236:G247">
    <cfRule type="colorScale" priority="12">
      <colorScale>
        <cfvo type="min"/>
        <cfvo type="percentile" val="50"/>
        <cfvo type="max"/>
        <color rgb="FFF8696B"/>
        <color rgb="FFFFEB84"/>
        <color rgb="FF63BE7B"/>
      </colorScale>
    </cfRule>
  </conditionalFormatting>
  <conditionalFormatting sqref="J236:J247">
    <cfRule type="colorScale" priority="11">
      <colorScale>
        <cfvo type="min"/>
        <cfvo type="percentile" val="50"/>
        <cfvo type="max"/>
        <color rgb="FFF8696B"/>
        <color rgb="FFFFEB84"/>
        <color rgb="FF63BE7B"/>
      </colorScale>
    </cfRule>
  </conditionalFormatting>
  <conditionalFormatting pivot="1" sqref="B439:B442">
    <cfRule type="colorScale" priority="9">
      <colorScale>
        <cfvo type="min"/>
        <cfvo type="percentile" val="50"/>
        <cfvo type="max"/>
        <color rgb="FFF8696B"/>
        <color rgb="FFFFEB84"/>
        <color rgb="FF63BE7B"/>
      </colorScale>
    </cfRule>
  </conditionalFormatting>
  <conditionalFormatting sqref="M215:M226">
    <cfRule type="colorScale" priority="8">
      <colorScale>
        <cfvo type="min"/>
        <cfvo type="percentile" val="50"/>
        <cfvo type="max"/>
        <color rgb="FFF8696B"/>
        <color rgb="FFFFEB84"/>
        <color rgb="FF63BE7B"/>
      </colorScale>
    </cfRule>
  </conditionalFormatting>
  <conditionalFormatting pivot="1" sqref="F351:F354">
    <cfRule type="colorScale" priority="4">
      <colorScale>
        <cfvo type="min"/>
        <cfvo type="percentile" val="50"/>
        <cfvo type="max"/>
        <color rgb="FFF8696B"/>
        <color rgb="FFFFEB84"/>
        <color rgb="FF63BE7B"/>
      </colorScale>
    </cfRule>
  </conditionalFormatting>
  <conditionalFormatting pivot="1" sqref="G351:G354">
    <cfRule type="colorScale" priority="3">
      <colorScale>
        <cfvo type="min"/>
        <cfvo type="percentile" val="50"/>
        <cfvo type="max"/>
        <color rgb="FFF8696B"/>
        <color rgb="FFFFEB84"/>
        <color rgb="FF63BE7B"/>
      </colorScale>
    </cfRule>
  </conditionalFormatting>
  <conditionalFormatting pivot="1" sqref="M356 M351 M360 M364">
    <cfRule type="colorScale" priority="2">
      <colorScale>
        <cfvo type="min"/>
        <cfvo type="percentile" val="50"/>
        <cfvo type="max"/>
        <color rgb="FFF8696B"/>
        <color rgb="FFFFEB84"/>
        <color rgb="FF63BE7B"/>
      </colorScale>
    </cfRule>
  </conditionalFormatting>
  <conditionalFormatting pivot="1" sqref="O356 O351 O360 O364">
    <cfRule type="colorScale" priority="1">
      <colorScale>
        <cfvo type="min"/>
        <cfvo type="percentile" val="50"/>
        <cfvo type="max"/>
        <color rgb="FFF8696B"/>
        <color rgb="FFFFEB84"/>
        <color rgb="FF63BE7B"/>
      </colorScale>
    </cfRule>
  </conditionalFormatting>
  <pageMargins left="0.7" right="0.7" top="0.75" bottom="0.75" header="0.3" footer="0.3"/>
  <drawing r:id="rId41"/>
  <tableParts count="1">
    <tablePart r:id="rId42"/>
  </tableParts>
  <extLst>
    <ext xmlns:x14="http://schemas.microsoft.com/office/spreadsheetml/2009/9/main" uri="{A8765BA9-456A-4dab-B4F3-ACF838C121DE}">
      <x14:slicerList>
        <x14:slicer r:id="rId43"/>
      </x14:slicerList>
    </ext>
    <ext xmlns:x15="http://schemas.microsoft.com/office/spreadsheetml/2010/11/main" uri="{7E03D99C-DC04-49d9-9315-930204A7B6E9}">
      <x15:timelineRefs>
        <x15:timelineRef r:id="rId4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1034-A2B6-4F31-B738-ADF132CAA815}">
  <dimension ref="A3:S113"/>
  <sheetViews>
    <sheetView topLeftCell="F78" workbookViewId="0">
      <selection activeCell="F91" sqref="F91"/>
    </sheetView>
  </sheetViews>
  <sheetFormatPr defaultRowHeight="14.5" x14ac:dyDescent="0.35"/>
  <cols>
    <col min="1" max="1" width="24.36328125" bestFit="1" customWidth="1"/>
    <col min="2" max="2" width="12.1796875" bestFit="1" customWidth="1"/>
    <col min="3" max="3" width="11.81640625" bestFit="1" customWidth="1"/>
    <col min="4" max="4" width="16.453125" bestFit="1" customWidth="1"/>
    <col min="5" max="5" width="18.54296875" bestFit="1" customWidth="1"/>
    <col min="7" max="8" width="10.26953125" customWidth="1"/>
    <col min="9" max="9" width="24.36328125" bestFit="1" customWidth="1"/>
    <col min="10" max="10" width="19.6328125" bestFit="1" customWidth="1"/>
    <col min="11" max="11" width="18.54296875" bestFit="1" customWidth="1"/>
    <col min="12" max="12" width="16.453125" bestFit="1" customWidth="1"/>
    <col min="13" max="13" width="18.54296875" bestFit="1" customWidth="1"/>
  </cols>
  <sheetData>
    <row r="3" spans="1:11" x14ac:dyDescent="0.35">
      <c r="A3" s="14" t="s">
        <v>1723</v>
      </c>
      <c r="B3" t="s">
        <v>1725</v>
      </c>
      <c r="C3" t="s">
        <v>1727</v>
      </c>
      <c r="D3" t="s">
        <v>1785</v>
      </c>
      <c r="E3" t="s">
        <v>1784</v>
      </c>
      <c r="I3" s="14" t="s">
        <v>1723</v>
      </c>
      <c r="J3" t="s">
        <v>1789</v>
      </c>
      <c r="K3" t="s">
        <v>1788</v>
      </c>
    </row>
    <row r="4" spans="1:11" x14ac:dyDescent="0.35">
      <c r="A4" s="15" t="s">
        <v>60</v>
      </c>
      <c r="B4" s="17">
        <v>4521461.9999999991</v>
      </c>
      <c r="C4" s="17">
        <v>330381.88</v>
      </c>
      <c r="D4" s="17">
        <v>30</v>
      </c>
      <c r="E4" s="17">
        <v>49489.469999999987</v>
      </c>
      <c r="I4" s="15" t="s">
        <v>20</v>
      </c>
      <c r="J4" s="43">
        <v>9.66</v>
      </c>
      <c r="K4" s="47">
        <v>51704.609999999986</v>
      </c>
    </row>
    <row r="5" spans="1:11" x14ac:dyDescent="0.35">
      <c r="A5" s="18" t="s">
        <v>117</v>
      </c>
      <c r="B5" s="17">
        <v>104662.60999999999</v>
      </c>
      <c r="C5" s="17">
        <v>24074.91</v>
      </c>
      <c r="D5" s="17">
        <v>30</v>
      </c>
      <c r="E5" s="17">
        <v>9726.34</v>
      </c>
      <c r="I5" s="15" t="s">
        <v>60</v>
      </c>
      <c r="J5" s="43">
        <v>9.875</v>
      </c>
      <c r="K5" s="47">
        <v>49489.470000000016</v>
      </c>
    </row>
    <row r="6" spans="1:11" x14ac:dyDescent="0.35">
      <c r="A6" s="18" t="s">
        <v>42</v>
      </c>
      <c r="B6" s="17">
        <v>51471.799999999988</v>
      </c>
      <c r="C6" s="17">
        <v>5188.0000000000009</v>
      </c>
      <c r="D6" s="17">
        <v>25</v>
      </c>
      <c r="E6" s="17">
        <v>6575.3899999999985</v>
      </c>
      <c r="I6" s="15" t="s">
        <v>40</v>
      </c>
      <c r="J6" s="43">
        <v>10.2834008097166</v>
      </c>
      <c r="K6" s="47">
        <v>50383.959999999992</v>
      </c>
    </row>
    <row r="7" spans="1:11" x14ac:dyDescent="0.35">
      <c r="A7" s="18" t="s">
        <v>134</v>
      </c>
      <c r="B7" s="17">
        <v>173666.54</v>
      </c>
      <c r="C7" s="17">
        <v>26413.299999999996</v>
      </c>
      <c r="D7" s="17">
        <v>25</v>
      </c>
      <c r="E7" s="17">
        <v>7488.6299999999992</v>
      </c>
      <c r="I7" s="15" t="s">
        <v>30</v>
      </c>
      <c r="J7" s="43">
        <v>10.399239543726235</v>
      </c>
      <c r="K7" s="47">
        <v>52647.570000000022</v>
      </c>
    </row>
    <row r="8" spans="1:11" x14ac:dyDescent="0.35">
      <c r="A8" s="18" t="s">
        <v>22</v>
      </c>
      <c r="B8" s="17">
        <v>3103732.9599999995</v>
      </c>
      <c r="C8" s="17">
        <v>128253.22</v>
      </c>
      <c r="D8" s="17">
        <v>30</v>
      </c>
      <c r="E8" s="17">
        <v>9612.510000000002</v>
      </c>
      <c r="I8" s="15" t="s">
        <v>1724</v>
      </c>
      <c r="J8" s="43">
        <v>10.06</v>
      </c>
      <c r="K8" s="47">
        <v>204225.60999999984</v>
      </c>
    </row>
    <row r="9" spans="1:11" x14ac:dyDescent="0.35">
      <c r="A9" s="18" t="s">
        <v>32</v>
      </c>
      <c r="B9" s="17">
        <v>499396.62000000011</v>
      </c>
      <c r="C9" s="17">
        <v>59537.390000000007</v>
      </c>
      <c r="D9" s="17">
        <v>30</v>
      </c>
      <c r="E9" s="17">
        <v>7649.06</v>
      </c>
    </row>
    <row r="10" spans="1:11" x14ac:dyDescent="0.35">
      <c r="A10" s="18" t="s">
        <v>49</v>
      </c>
      <c r="B10" s="17">
        <v>588531.47000000009</v>
      </c>
      <c r="C10" s="17">
        <v>86915.059999999983</v>
      </c>
      <c r="D10" s="17">
        <v>30</v>
      </c>
      <c r="E10" s="17">
        <v>8437.5399999999991</v>
      </c>
    </row>
    <row r="11" spans="1:11" x14ac:dyDescent="0.35">
      <c r="A11" s="15" t="s">
        <v>30</v>
      </c>
      <c r="B11" s="17">
        <v>3930181.7099999972</v>
      </c>
      <c r="C11" s="17">
        <v>336343.34</v>
      </c>
      <c r="D11" s="17">
        <v>30</v>
      </c>
      <c r="E11" s="17">
        <v>52647.569999999992</v>
      </c>
    </row>
    <row r="12" spans="1:11" x14ac:dyDescent="0.35">
      <c r="A12" s="18" t="s">
        <v>117</v>
      </c>
      <c r="B12" s="17">
        <v>69206.59</v>
      </c>
      <c r="C12" s="17">
        <v>16855.8</v>
      </c>
      <c r="D12" s="17">
        <v>30</v>
      </c>
      <c r="E12" s="17">
        <v>6689</v>
      </c>
    </row>
    <row r="13" spans="1:11" x14ac:dyDescent="0.35">
      <c r="A13" s="18" t="s">
        <v>42</v>
      </c>
      <c r="B13" s="17">
        <v>27982.100000000009</v>
      </c>
      <c r="C13" s="17">
        <v>2356.7300000000005</v>
      </c>
      <c r="D13" s="17">
        <v>30</v>
      </c>
      <c r="E13" s="17">
        <v>8146.2200000000012</v>
      </c>
    </row>
    <row r="14" spans="1:11" x14ac:dyDescent="0.35">
      <c r="A14" s="18" t="s">
        <v>134</v>
      </c>
      <c r="B14" s="17">
        <v>204884.91000000003</v>
      </c>
      <c r="C14" s="17">
        <v>34954.689999999988</v>
      </c>
      <c r="D14" s="17">
        <v>30</v>
      </c>
      <c r="E14" s="17">
        <v>8450.0499999999975</v>
      </c>
    </row>
    <row r="15" spans="1:11" x14ac:dyDescent="0.35">
      <c r="A15" s="18" t="s">
        <v>22</v>
      </c>
      <c r="B15" s="17">
        <v>2496566.6099999994</v>
      </c>
      <c r="C15" s="17">
        <v>128163.03000000003</v>
      </c>
      <c r="D15" s="17">
        <v>30</v>
      </c>
      <c r="E15" s="17">
        <v>9741.1299999999992</v>
      </c>
    </row>
    <row r="16" spans="1:11" x14ac:dyDescent="0.35">
      <c r="A16" s="18" t="s">
        <v>32</v>
      </c>
      <c r="B16" s="17">
        <v>519766.74999999994</v>
      </c>
      <c r="C16" s="17">
        <v>70687.989999999991</v>
      </c>
      <c r="D16" s="17">
        <v>30</v>
      </c>
      <c r="E16" s="17">
        <v>9088.34</v>
      </c>
    </row>
    <row r="17" spans="1:5" x14ac:dyDescent="0.35">
      <c r="A17" s="18" t="s">
        <v>49</v>
      </c>
      <c r="B17" s="17">
        <v>611774.75</v>
      </c>
      <c r="C17" s="17">
        <v>83325.099999999977</v>
      </c>
      <c r="D17" s="17">
        <v>30</v>
      </c>
      <c r="E17" s="17">
        <v>10532.829999999994</v>
      </c>
    </row>
    <row r="18" spans="1:5" x14ac:dyDescent="0.35">
      <c r="A18" s="15" t="s">
        <v>20</v>
      </c>
      <c r="B18" s="17">
        <v>3504132.85</v>
      </c>
      <c r="C18" s="17">
        <v>355533.18000000005</v>
      </c>
      <c r="D18" s="17">
        <v>30</v>
      </c>
      <c r="E18" s="17">
        <v>51704.609999999957</v>
      </c>
    </row>
    <row r="19" spans="1:5" x14ac:dyDescent="0.35">
      <c r="A19" s="18" t="s">
        <v>117</v>
      </c>
      <c r="B19" s="17">
        <v>134963.1</v>
      </c>
      <c r="C19" s="17">
        <v>31084.929999999997</v>
      </c>
      <c r="D19" s="17">
        <v>30</v>
      </c>
      <c r="E19" s="17">
        <v>10113.900000000001</v>
      </c>
    </row>
    <row r="20" spans="1:5" x14ac:dyDescent="0.35">
      <c r="A20" s="18" t="s">
        <v>42</v>
      </c>
      <c r="B20" s="17">
        <v>48371.920000000006</v>
      </c>
      <c r="C20" s="17">
        <v>3724.2699999999986</v>
      </c>
      <c r="D20" s="17">
        <v>30</v>
      </c>
      <c r="E20" s="17">
        <v>7543.4900000000016</v>
      </c>
    </row>
    <row r="21" spans="1:5" x14ac:dyDescent="0.35">
      <c r="A21" s="18" t="s">
        <v>134</v>
      </c>
      <c r="B21" s="17">
        <v>205491.86000000004</v>
      </c>
      <c r="C21" s="17">
        <v>34800.010000000009</v>
      </c>
      <c r="D21" s="17">
        <v>30</v>
      </c>
      <c r="E21" s="17">
        <v>8677.0900000000038</v>
      </c>
    </row>
    <row r="22" spans="1:5" x14ac:dyDescent="0.35">
      <c r="A22" s="18" t="s">
        <v>22</v>
      </c>
      <c r="B22" s="17">
        <v>2172346.7799999998</v>
      </c>
      <c r="C22" s="17">
        <v>159750.64000000001</v>
      </c>
      <c r="D22" s="17">
        <v>30</v>
      </c>
      <c r="E22" s="17">
        <v>8543.9900000000016</v>
      </c>
    </row>
    <row r="23" spans="1:5" x14ac:dyDescent="0.35">
      <c r="A23" s="18" t="s">
        <v>32</v>
      </c>
      <c r="B23" s="17">
        <v>379985.71999999991</v>
      </c>
      <c r="C23" s="17">
        <v>45797.080000000009</v>
      </c>
      <c r="D23" s="17">
        <v>30</v>
      </c>
      <c r="E23" s="17">
        <v>6574.5699999999979</v>
      </c>
    </row>
    <row r="24" spans="1:5" x14ac:dyDescent="0.35">
      <c r="A24" s="18" t="s">
        <v>49</v>
      </c>
      <c r="B24" s="17">
        <v>562973.46999999986</v>
      </c>
      <c r="C24" s="17">
        <v>80376.249999999985</v>
      </c>
      <c r="D24" s="17">
        <v>30</v>
      </c>
      <c r="E24" s="17">
        <v>10251.570000000002</v>
      </c>
    </row>
    <row r="25" spans="1:5" x14ac:dyDescent="0.35">
      <c r="A25" s="15" t="s">
        <v>40</v>
      </c>
      <c r="B25" s="17">
        <v>3256957.4799999995</v>
      </c>
      <c r="C25" s="17">
        <v>331276.17000000004</v>
      </c>
      <c r="D25" s="17">
        <v>30</v>
      </c>
      <c r="E25" s="17">
        <v>50383.960000000065</v>
      </c>
    </row>
    <row r="26" spans="1:5" x14ac:dyDescent="0.35">
      <c r="A26" s="18" t="s">
        <v>117</v>
      </c>
      <c r="B26" s="17">
        <v>107132.02</v>
      </c>
      <c r="C26" s="17">
        <v>23235.53</v>
      </c>
      <c r="D26" s="17">
        <v>30</v>
      </c>
      <c r="E26" s="17">
        <v>8223.6000000000022</v>
      </c>
    </row>
    <row r="27" spans="1:5" x14ac:dyDescent="0.35">
      <c r="A27" s="18" t="s">
        <v>42</v>
      </c>
      <c r="B27" s="17">
        <v>53343.349999999991</v>
      </c>
      <c r="C27" s="17">
        <v>4571.4900000000007</v>
      </c>
      <c r="D27" s="17">
        <v>30</v>
      </c>
      <c r="E27" s="17">
        <v>9208.0500000000011</v>
      </c>
    </row>
    <row r="28" spans="1:5" x14ac:dyDescent="0.35">
      <c r="A28" s="18" t="s">
        <v>134</v>
      </c>
      <c r="B28" s="17">
        <v>180645.71000000002</v>
      </c>
      <c r="C28" s="17">
        <v>30409.43</v>
      </c>
      <c r="D28" s="17">
        <v>30</v>
      </c>
      <c r="E28" s="17">
        <v>9266.6</v>
      </c>
    </row>
    <row r="29" spans="1:5" x14ac:dyDescent="0.35">
      <c r="A29" s="18" t="s">
        <v>22</v>
      </c>
      <c r="B29" s="17">
        <v>1941320.93</v>
      </c>
      <c r="C29" s="17">
        <v>143229.82</v>
      </c>
      <c r="D29" s="17">
        <v>25</v>
      </c>
      <c r="E29" s="17">
        <v>6588.0999999999995</v>
      </c>
    </row>
    <row r="30" spans="1:5" x14ac:dyDescent="0.35">
      <c r="A30" s="18" t="s">
        <v>32</v>
      </c>
      <c r="B30" s="17">
        <v>458973.35</v>
      </c>
      <c r="C30" s="17">
        <v>50928.32</v>
      </c>
      <c r="D30" s="17">
        <v>30</v>
      </c>
      <c r="E30" s="17">
        <v>9117.9699999999975</v>
      </c>
    </row>
    <row r="31" spans="1:5" x14ac:dyDescent="0.35">
      <c r="A31" s="18" t="s">
        <v>49</v>
      </c>
      <c r="B31" s="17">
        <v>515542.12000000005</v>
      </c>
      <c r="C31" s="17">
        <v>78901.58</v>
      </c>
      <c r="D31" s="17">
        <v>30</v>
      </c>
      <c r="E31" s="17">
        <v>7979.64</v>
      </c>
    </row>
    <row r="32" spans="1:5" x14ac:dyDescent="0.35">
      <c r="A32" s="15" t="s">
        <v>1724</v>
      </c>
      <c r="B32" s="17">
        <v>15212734.040000021</v>
      </c>
      <c r="C32" s="17">
        <v>1353534.5700000005</v>
      </c>
      <c r="D32" s="17">
        <v>30</v>
      </c>
      <c r="E32" s="17">
        <v>204225.60999999981</v>
      </c>
    </row>
    <row r="36" spans="1:6" x14ac:dyDescent="0.35">
      <c r="A36" s="14" t="s">
        <v>6</v>
      </c>
      <c r="B36" t="s">
        <v>22</v>
      </c>
    </row>
    <row r="38" spans="1:6" x14ac:dyDescent="0.35">
      <c r="A38" s="14" t="s">
        <v>1723</v>
      </c>
      <c r="B38" t="s">
        <v>1725</v>
      </c>
      <c r="C38" t="s">
        <v>1729</v>
      </c>
      <c r="D38" t="s">
        <v>1727</v>
      </c>
      <c r="E38" t="s">
        <v>1785</v>
      </c>
      <c r="F38" t="s">
        <v>1784</v>
      </c>
    </row>
    <row r="39" spans="1:6" x14ac:dyDescent="0.35">
      <c r="A39" s="15" t="s">
        <v>60</v>
      </c>
      <c r="B39" s="17">
        <v>427981.85000000003</v>
      </c>
      <c r="C39" s="19">
        <v>9</v>
      </c>
      <c r="D39" s="17">
        <v>-36323.14</v>
      </c>
      <c r="E39" s="17">
        <v>30</v>
      </c>
      <c r="F39" s="17">
        <v>1754.6399999999999</v>
      </c>
    </row>
    <row r="40" spans="1:6" x14ac:dyDescent="0.35">
      <c r="A40" s="18" t="s">
        <v>359</v>
      </c>
      <c r="B40" s="17">
        <v>19516</v>
      </c>
      <c r="C40" s="19">
        <v>2</v>
      </c>
      <c r="D40" s="17">
        <v>-819.22</v>
      </c>
      <c r="E40" s="17">
        <v>10</v>
      </c>
      <c r="F40" s="17">
        <v>269.17</v>
      </c>
    </row>
    <row r="41" spans="1:6" x14ac:dyDescent="0.35">
      <c r="A41" s="18" t="s">
        <v>640</v>
      </c>
      <c r="B41" s="17">
        <v>65158.799999999996</v>
      </c>
      <c r="C41" s="19">
        <v>4</v>
      </c>
      <c r="D41" s="17">
        <v>-6398.15</v>
      </c>
      <c r="E41" s="17">
        <v>30</v>
      </c>
      <c r="F41" s="17">
        <v>827.33999999999992</v>
      </c>
    </row>
    <row r="42" spans="1:6" x14ac:dyDescent="0.35">
      <c r="A42" s="18" t="s">
        <v>399</v>
      </c>
      <c r="B42" s="17">
        <v>150200.22999999998</v>
      </c>
      <c r="C42" s="19">
        <v>2</v>
      </c>
      <c r="D42" s="17">
        <v>-8942.33</v>
      </c>
      <c r="E42" s="17">
        <v>25</v>
      </c>
      <c r="F42" s="17">
        <v>557.87</v>
      </c>
    </row>
    <row r="43" spans="1:6" x14ac:dyDescent="0.35">
      <c r="A43" s="18" t="s">
        <v>932</v>
      </c>
      <c r="B43" s="17">
        <v>193106.82</v>
      </c>
      <c r="C43" s="19">
        <v>1</v>
      </c>
      <c r="D43" s="17">
        <v>-20163.439999999999</v>
      </c>
      <c r="E43" s="17">
        <v>25</v>
      </c>
      <c r="F43" s="17">
        <v>100.26</v>
      </c>
    </row>
    <row r="44" spans="1:6" x14ac:dyDescent="0.35">
      <c r="A44" s="15" t="s">
        <v>30</v>
      </c>
      <c r="B44" s="17">
        <v>153067.91999999998</v>
      </c>
      <c r="C44" s="19">
        <v>6</v>
      </c>
      <c r="D44" s="17">
        <v>-6824.22</v>
      </c>
      <c r="E44" s="17">
        <v>30</v>
      </c>
      <c r="F44" s="17">
        <v>1358.9399999999998</v>
      </c>
    </row>
    <row r="45" spans="1:6" x14ac:dyDescent="0.35">
      <c r="A45" s="18" t="s">
        <v>157</v>
      </c>
      <c r="B45" s="17">
        <v>66259.040000000008</v>
      </c>
      <c r="C45" s="19">
        <v>3</v>
      </c>
      <c r="D45" s="17">
        <v>-461.07000000000011</v>
      </c>
      <c r="E45" s="17">
        <v>20</v>
      </c>
      <c r="F45" s="17">
        <v>763.09999999999991</v>
      </c>
    </row>
    <row r="46" spans="1:6" x14ac:dyDescent="0.35">
      <c r="A46" s="18" t="s">
        <v>640</v>
      </c>
      <c r="B46" s="17">
        <v>34983.81</v>
      </c>
      <c r="C46" s="19">
        <v>1</v>
      </c>
      <c r="D46" s="17">
        <v>-1826.85</v>
      </c>
      <c r="E46" s="17">
        <v>30</v>
      </c>
      <c r="F46" s="17">
        <v>94.15</v>
      </c>
    </row>
    <row r="47" spans="1:6" x14ac:dyDescent="0.35">
      <c r="A47" s="18" t="s">
        <v>629</v>
      </c>
      <c r="B47" s="17">
        <v>51825.07</v>
      </c>
      <c r="C47" s="19">
        <v>2</v>
      </c>
      <c r="D47" s="17">
        <v>-4536.3</v>
      </c>
      <c r="E47" s="17">
        <v>30</v>
      </c>
      <c r="F47" s="17">
        <v>501.69</v>
      </c>
    </row>
    <row r="48" spans="1:6" x14ac:dyDescent="0.35">
      <c r="A48" s="15" t="s">
        <v>40</v>
      </c>
      <c r="B48" s="17">
        <v>302580.27</v>
      </c>
      <c r="C48" s="19">
        <v>8</v>
      </c>
      <c r="D48" s="17">
        <v>-5629.9499999999989</v>
      </c>
      <c r="E48" s="17">
        <v>25</v>
      </c>
      <c r="F48" s="17">
        <v>2051.4900000000002</v>
      </c>
    </row>
    <row r="49" spans="1:19" x14ac:dyDescent="0.35">
      <c r="A49" s="18" t="s">
        <v>238</v>
      </c>
      <c r="B49" s="17">
        <v>82252.97</v>
      </c>
      <c r="C49" s="19">
        <v>4</v>
      </c>
      <c r="D49" s="17">
        <v>-1447.4899999999993</v>
      </c>
      <c r="E49" s="17">
        <v>20</v>
      </c>
      <c r="F49" s="17">
        <v>1177.4000000000001</v>
      </c>
    </row>
    <row r="50" spans="1:19" x14ac:dyDescent="0.35">
      <c r="A50" s="18" t="s">
        <v>932</v>
      </c>
      <c r="B50" s="17">
        <v>57264.73</v>
      </c>
      <c r="C50" s="19">
        <v>2</v>
      </c>
      <c r="D50" s="17">
        <v>-1149.98</v>
      </c>
      <c r="E50" s="17">
        <v>25</v>
      </c>
      <c r="F50" s="17">
        <v>406.07000000000005</v>
      </c>
    </row>
    <row r="51" spans="1:19" x14ac:dyDescent="0.35">
      <c r="A51" s="18" t="s">
        <v>629</v>
      </c>
      <c r="B51" s="17">
        <v>163062.57</v>
      </c>
      <c r="C51" s="19">
        <v>2</v>
      </c>
      <c r="D51" s="17">
        <v>-3032.48</v>
      </c>
      <c r="E51" s="17">
        <v>15</v>
      </c>
      <c r="F51" s="17">
        <v>468.02</v>
      </c>
    </row>
    <row r="52" spans="1:19" x14ac:dyDescent="0.35">
      <c r="A52" s="15" t="s">
        <v>20</v>
      </c>
      <c r="B52" s="17">
        <v>81488.160000000003</v>
      </c>
      <c r="C52" s="19">
        <v>3</v>
      </c>
      <c r="D52" s="17">
        <v>-215.1400000000001</v>
      </c>
      <c r="E52" s="17">
        <v>5</v>
      </c>
      <c r="F52" s="17">
        <v>345.26</v>
      </c>
    </row>
    <row r="53" spans="1:19" x14ac:dyDescent="0.35">
      <c r="A53" s="18" t="s">
        <v>150</v>
      </c>
      <c r="B53" s="17">
        <v>81488.160000000003</v>
      </c>
      <c r="C53" s="19">
        <v>3</v>
      </c>
      <c r="D53" s="17">
        <v>-215.1400000000001</v>
      </c>
      <c r="E53" s="17">
        <v>5</v>
      </c>
      <c r="F53" s="17">
        <v>345.26</v>
      </c>
    </row>
    <row r="54" spans="1:19" x14ac:dyDescent="0.35">
      <c r="A54" s="15" t="s">
        <v>1724</v>
      </c>
      <c r="B54" s="17">
        <v>965118.2</v>
      </c>
      <c r="C54" s="19">
        <v>26</v>
      </c>
      <c r="D54" s="17">
        <v>-48992.44999999999</v>
      </c>
      <c r="E54" s="17">
        <v>30</v>
      </c>
      <c r="F54" s="17">
        <v>5510.3299999999981</v>
      </c>
    </row>
    <row r="60" spans="1:19" x14ac:dyDescent="0.35">
      <c r="A60" s="14" t="s">
        <v>6</v>
      </c>
      <c r="B60" t="s">
        <v>22</v>
      </c>
    </row>
    <row r="62" spans="1:19" x14ac:dyDescent="0.35">
      <c r="A62" s="14" t="s">
        <v>1723</v>
      </c>
      <c r="B62" t="s">
        <v>1727</v>
      </c>
    </row>
    <row r="63" spans="1:19" x14ac:dyDescent="0.35">
      <c r="A63" s="15" t="s">
        <v>60</v>
      </c>
      <c r="B63" s="17">
        <v>-36323.14</v>
      </c>
      <c r="E63" t="s">
        <v>60</v>
      </c>
      <c r="F63" t="s">
        <v>40</v>
      </c>
      <c r="G63" t="s">
        <v>20</v>
      </c>
      <c r="H63" t="s">
        <v>30</v>
      </c>
      <c r="L63" s="18" t="s">
        <v>359</v>
      </c>
      <c r="M63" s="18" t="s">
        <v>640</v>
      </c>
      <c r="N63" s="18" t="s">
        <v>399</v>
      </c>
      <c r="O63" s="18" t="s">
        <v>932</v>
      </c>
      <c r="P63" s="18" t="s">
        <v>157</v>
      </c>
      <c r="Q63" s="18" t="s">
        <v>629</v>
      </c>
      <c r="R63" s="18" t="s">
        <v>238</v>
      </c>
      <c r="S63" s="18" t="s">
        <v>150</v>
      </c>
    </row>
    <row r="64" spans="1:19" x14ac:dyDescent="0.35">
      <c r="A64" s="15" t="s">
        <v>30</v>
      </c>
      <c r="B64" s="17">
        <v>-6824.22</v>
      </c>
      <c r="D64" s="18" t="s">
        <v>359</v>
      </c>
      <c r="E64" s="47">
        <v>-819</v>
      </c>
      <c r="F64" s="47">
        <v>0</v>
      </c>
      <c r="G64" s="47">
        <v>0</v>
      </c>
      <c r="H64" s="47">
        <v>0</v>
      </c>
      <c r="K64" t="s">
        <v>60</v>
      </c>
      <c r="L64" s="47">
        <v>-819</v>
      </c>
      <c r="M64" s="47">
        <v>-6398</v>
      </c>
      <c r="N64" s="47">
        <v>-8942</v>
      </c>
      <c r="O64" s="47">
        <v>-20163</v>
      </c>
      <c r="P64" s="47">
        <v>0</v>
      </c>
      <c r="Q64" s="47">
        <v>0</v>
      </c>
      <c r="R64" s="47">
        <v>0</v>
      </c>
      <c r="S64" s="47">
        <v>0</v>
      </c>
    </row>
    <row r="65" spans="1:19" x14ac:dyDescent="0.35">
      <c r="A65" s="15" t="s">
        <v>40</v>
      </c>
      <c r="B65" s="17">
        <v>-5629.9499999999989</v>
      </c>
      <c r="D65" s="18" t="s">
        <v>640</v>
      </c>
      <c r="E65" s="47">
        <v>-6398</v>
      </c>
      <c r="F65" s="47">
        <v>0</v>
      </c>
      <c r="G65" s="47">
        <v>0</v>
      </c>
      <c r="H65" s="47">
        <v>-1827</v>
      </c>
      <c r="K65" t="s">
        <v>40</v>
      </c>
      <c r="L65" s="47">
        <v>0</v>
      </c>
      <c r="M65" s="47">
        <v>0</v>
      </c>
      <c r="N65" s="47">
        <v>0</v>
      </c>
      <c r="O65" s="47">
        <v>-1150</v>
      </c>
      <c r="P65" s="47">
        <v>0</v>
      </c>
      <c r="Q65" s="47">
        <v>-3032</v>
      </c>
      <c r="R65" s="47">
        <v>-1447</v>
      </c>
      <c r="S65" s="47">
        <v>0</v>
      </c>
    </row>
    <row r="66" spans="1:19" x14ac:dyDescent="0.35">
      <c r="A66" s="15" t="s">
        <v>20</v>
      </c>
      <c r="B66" s="17">
        <v>-215.1400000000001</v>
      </c>
      <c r="D66" s="18" t="s">
        <v>399</v>
      </c>
      <c r="E66" s="47">
        <v>-8942</v>
      </c>
      <c r="F66" s="47">
        <v>0</v>
      </c>
      <c r="G66" s="47">
        <v>0</v>
      </c>
      <c r="H66" s="47">
        <v>0</v>
      </c>
      <c r="K66" t="s">
        <v>20</v>
      </c>
      <c r="L66" s="47">
        <v>0</v>
      </c>
      <c r="M66" s="47">
        <v>0</v>
      </c>
      <c r="N66" s="47">
        <v>0</v>
      </c>
      <c r="O66" s="47">
        <v>0</v>
      </c>
      <c r="P66" s="47">
        <v>0</v>
      </c>
      <c r="Q66" s="47">
        <v>0</v>
      </c>
      <c r="R66" s="47">
        <v>0</v>
      </c>
      <c r="S66" s="47">
        <v>-215</v>
      </c>
    </row>
    <row r="67" spans="1:19" x14ac:dyDescent="0.35">
      <c r="A67" s="15" t="s">
        <v>1724</v>
      </c>
      <c r="B67" s="17">
        <v>-48992.450000000004</v>
      </c>
      <c r="D67" s="18" t="s">
        <v>932</v>
      </c>
      <c r="E67" s="47">
        <v>-20163</v>
      </c>
      <c r="F67" s="47">
        <v>-1150</v>
      </c>
      <c r="G67" s="47">
        <v>0</v>
      </c>
      <c r="H67" s="47">
        <v>0</v>
      </c>
      <c r="K67" t="s">
        <v>30</v>
      </c>
      <c r="L67" s="47">
        <v>0</v>
      </c>
      <c r="M67" s="47">
        <v>-1827</v>
      </c>
      <c r="N67" s="47">
        <v>0</v>
      </c>
      <c r="O67" s="47">
        <v>0</v>
      </c>
      <c r="P67" s="47">
        <v>-461</v>
      </c>
      <c r="Q67" s="47">
        <v>-4536</v>
      </c>
      <c r="R67" s="47">
        <v>0</v>
      </c>
      <c r="S67" s="47">
        <v>0</v>
      </c>
    </row>
    <row r="68" spans="1:19" x14ac:dyDescent="0.35">
      <c r="D68" s="18" t="s">
        <v>157</v>
      </c>
      <c r="E68" s="47">
        <v>0</v>
      </c>
      <c r="F68" s="47">
        <v>0</v>
      </c>
      <c r="G68" s="47">
        <v>0</v>
      </c>
      <c r="H68" s="47">
        <v>-461</v>
      </c>
    </row>
    <row r="69" spans="1:19" x14ac:dyDescent="0.35">
      <c r="D69" s="18" t="s">
        <v>629</v>
      </c>
      <c r="E69" s="47">
        <v>0</v>
      </c>
      <c r="F69" s="47">
        <v>-3032</v>
      </c>
      <c r="G69" s="47">
        <v>0</v>
      </c>
      <c r="H69" s="47">
        <v>-4536</v>
      </c>
    </row>
    <row r="70" spans="1:19" x14ac:dyDescent="0.35">
      <c r="D70" s="18" t="s">
        <v>238</v>
      </c>
      <c r="E70" s="47">
        <v>0</v>
      </c>
      <c r="F70" s="47">
        <v>-1447</v>
      </c>
      <c r="G70" s="47">
        <v>0</v>
      </c>
      <c r="H70" s="47">
        <v>0</v>
      </c>
    </row>
    <row r="71" spans="1:19" x14ac:dyDescent="0.35">
      <c r="D71" s="18" t="s">
        <v>150</v>
      </c>
      <c r="E71" s="47">
        <v>0</v>
      </c>
      <c r="F71" s="47">
        <v>0</v>
      </c>
      <c r="G71" s="47">
        <v>-215</v>
      </c>
      <c r="H71" s="47">
        <v>0</v>
      </c>
    </row>
    <row r="79" spans="1:19" x14ac:dyDescent="0.35">
      <c r="A79" s="48"/>
      <c r="B79" s="49"/>
    </row>
    <row r="80" spans="1:19" x14ac:dyDescent="0.35">
      <c r="A80" s="48"/>
      <c r="B80" s="49"/>
      <c r="D80" s="14" t="s">
        <v>1723</v>
      </c>
      <c r="E80" t="s">
        <v>1727</v>
      </c>
    </row>
    <row r="81" spans="1:8" x14ac:dyDescent="0.35">
      <c r="A81" s="48"/>
      <c r="B81" s="49"/>
      <c r="D81" s="15" t="s">
        <v>104</v>
      </c>
      <c r="E81" s="17">
        <v>-20560.93</v>
      </c>
      <c r="G81" t="s">
        <v>1786</v>
      </c>
      <c r="H81" s="47" t="s">
        <v>1787</v>
      </c>
    </row>
    <row r="82" spans="1:8" x14ac:dyDescent="0.35">
      <c r="A82" s="48"/>
      <c r="B82" s="49"/>
      <c r="D82" s="15" t="s">
        <v>61</v>
      </c>
      <c r="E82" s="17">
        <v>-18837.45</v>
      </c>
      <c r="G82" t="str">
        <f>D81</f>
        <v>Uttar Pradesh</v>
      </c>
      <c r="H82" s="47">
        <f>E81</f>
        <v>-20560.93</v>
      </c>
    </row>
    <row r="83" spans="1:8" x14ac:dyDescent="0.35">
      <c r="A83" s="50"/>
      <c r="B83" s="51"/>
      <c r="D83" s="15" t="s">
        <v>72</v>
      </c>
      <c r="E83" s="17">
        <v>-10232.290000000001</v>
      </c>
      <c r="G83" t="str">
        <f>D82</f>
        <v>Delhi</v>
      </c>
      <c r="H83" s="47">
        <f>E82</f>
        <v>-18837.45</v>
      </c>
    </row>
    <row r="84" spans="1:8" x14ac:dyDescent="0.35">
      <c r="D84" s="15" t="s">
        <v>41</v>
      </c>
      <c r="E84" s="17">
        <v>-7630.83</v>
      </c>
      <c r="G84" t="str">
        <f>D83</f>
        <v>Haryana</v>
      </c>
      <c r="H84" s="47">
        <f>E83</f>
        <v>-10232.290000000001</v>
      </c>
    </row>
    <row r="85" spans="1:8" x14ac:dyDescent="0.35">
      <c r="D85" s="15" t="s">
        <v>77</v>
      </c>
      <c r="E85" s="17">
        <v>-6701.8700000000008</v>
      </c>
      <c r="G85" t="str">
        <f>D84</f>
        <v>Kerala</v>
      </c>
      <c r="H85" s="47">
        <f>E84</f>
        <v>-7630.83</v>
      </c>
    </row>
    <row r="86" spans="1:8" x14ac:dyDescent="0.35">
      <c r="D86" s="15" t="s">
        <v>21</v>
      </c>
      <c r="E86" s="17">
        <v>-6121.5099999999993</v>
      </c>
      <c r="G86" t="str">
        <f>D85</f>
        <v>Telangana</v>
      </c>
      <c r="H86" s="47">
        <f>E85</f>
        <v>-6701.8700000000008</v>
      </c>
    </row>
    <row r="87" spans="1:8" x14ac:dyDescent="0.35">
      <c r="G87" t="str">
        <f>D86</f>
        <v>Bihar</v>
      </c>
      <c r="H87" s="47">
        <f>E86</f>
        <v>-6121.5099999999993</v>
      </c>
    </row>
    <row r="98" spans="1:3" x14ac:dyDescent="0.35">
      <c r="A98" s="14" t="s">
        <v>1723</v>
      </c>
      <c r="B98" t="s">
        <v>1725</v>
      </c>
      <c r="C98" t="s">
        <v>1727</v>
      </c>
    </row>
    <row r="99" spans="1:3" x14ac:dyDescent="0.35">
      <c r="A99" s="15" t="s">
        <v>60</v>
      </c>
      <c r="B99" s="17">
        <v>4521462</v>
      </c>
      <c r="C99" s="17">
        <v>330381.88000000006</v>
      </c>
    </row>
    <row r="100" spans="1:3" x14ac:dyDescent="0.35">
      <c r="A100" s="18" t="s">
        <v>117</v>
      </c>
      <c r="B100" s="17">
        <v>104662.61000000002</v>
      </c>
      <c r="C100" s="17">
        <v>24074.91</v>
      </c>
    </row>
    <row r="101" spans="1:3" x14ac:dyDescent="0.35">
      <c r="A101" s="18" t="s">
        <v>42</v>
      </c>
      <c r="B101" s="17">
        <v>51471.799999999996</v>
      </c>
      <c r="C101" s="17">
        <v>5188</v>
      </c>
    </row>
    <row r="102" spans="1:3" x14ac:dyDescent="0.35">
      <c r="A102" s="18" t="s">
        <v>134</v>
      </c>
      <c r="B102" s="17">
        <v>173666.54</v>
      </c>
      <c r="C102" s="17">
        <v>26413.300000000003</v>
      </c>
    </row>
    <row r="103" spans="1:3" x14ac:dyDescent="0.35">
      <c r="A103" s="18" t="s">
        <v>22</v>
      </c>
      <c r="B103" s="17">
        <v>3103732.96</v>
      </c>
      <c r="C103" s="17">
        <v>128253.22000000003</v>
      </c>
    </row>
    <row r="104" spans="1:3" x14ac:dyDescent="0.35">
      <c r="A104" s="18" t="s">
        <v>32</v>
      </c>
      <c r="B104" s="17">
        <v>499396.62000000023</v>
      </c>
      <c r="C104" s="17">
        <v>59537.390000000014</v>
      </c>
    </row>
    <row r="105" spans="1:3" x14ac:dyDescent="0.35">
      <c r="A105" s="18" t="s">
        <v>49</v>
      </c>
      <c r="B105" s="17">
        <v>588531.47</v>
      </c>
      <c r="C105" s="17">
        <v>86915.059999999983</v>
      </c>
    </row>
    <row r="106" spans="1:3" x14ac:dyDescent="0.35">
      <c r="A106" s="15" t="s">
        <v>30</v>
      </c>
      <c r="B106" s="17">
        <v>3930181.71</v>
      </c>
      <c r="C106" s="17">
        <v>336343.34</v>
      </c>
    </row>
    <row r="107" spans="1:3" x14ac:dyDescent="0.35">
      <c r="A107" s="18" t="s">
        <v>117</v>
      </c>
      <c r="B107" s="17">
        <v>69206.59</v>
      </c>
      <c r="C107" s="17">
        <v>16855.8</v>
      </c>
    </row>
    <row r="108" spans="1:3" x14ac:dyDescent="0.35">
      <c r="A108" s="18" t="s">
        <v>42</v>
      </c>
      <c r="B108" s="17">
        <v>27982.100000000002</v>
      </c>
      <c r="C108" s="17">
        <v>2356.7300000000005</v>
      </c>
    </row>
    <row r="109" spans="1:3" x14ac:dyDescent="0.35">
      <c r="A109" s="18" t="s">
        <v>134</v>
      </c>
      <c r="B109" s="17">
        <v>204884.91000000003</v>
      </c>
      <c r="C109" s="17">
        <v>34954.689999999995</v>
      </c>
    </row>
    <row r="110" spans="1:3" x14ac:dyDescent="0.35">
      <c r="A110" s="18" t="s">
        <v>22</v>
      </c>
      <c r="B110" s="17">
        <v>2496566.61</v>
      </c>
      <c r="C110" s="17">
        <v>128163.02999999998</v>
      </c>
    </row>
    <row r="111" spans="1:3" x14ac:dyDescent="0.35">
      <c r="A111" s="18" t="s">
        <v>32</v>
      </c>
      <c r="B111" s="17">
        <v>519766.74999999994</v>
      </c>
      <c r="C111" s="17">
        <v>70687.990000000005</v>
      </c>
    </row>
    <row r="112" spans="1:3" x14ac:dyDescent="0.35">
      <c r="A112" s="18" t="s">
        <v>49</v>
      </c>
      <c r="B112" s="17">
        <v>611774.75</v>
      </c>
      <c r="C112" s="17">
        <v>83325.10000000002</v>
      </c>
    </row>
    <row r="113" spans="1:3" x14ac:dyDescent="0.35">
      <c r="A113" s="15" t="s">
        <v>1724</v>
      </c>
      <c r="B113" s="17">
        <v>8451643.709999999</v>
      </c>
      <c r="C113" s="17">
        <v>666725.22</v>
      </c>
    </row>
  </sheetData>
  <conditionalFormatting pivot="1" sqref="B4 B11 B18 B25">
    <cfRule type="colorScale" priority="5">
      <colorScale>
        <cfvo type="min"/>
        <cfvo type="percentile" val="50"/>
        <cfvo type="max"/>
        <color rgb="FFF8696B"/>
        <color rgb="FFFFEB84"/>
        <color rgb="FF63BE7B"/>
      </colorScale>
    </cfRule>
  </conditionalFormatting>
  <conditionalFormatting pivot="1" sqref="B39 B44 B48 B52">
    <cfRule type="colorScale" priority="4">
      <colorScale>
        <cfvo type="min"/>
        <cfvo type="percentile" val="50"/>
        <cfvo type="max"/>
        <color rgb="FFF8696B"/>
        <color rgb="FFFFEB84"/>
        <color rgb="FF63BE7B"/>
      </colorScale>
    </cfRule>
  </conditionalFormatting>
  <conditionalFormatting pivot="1" sqref="B99 B106">
    <cfRule type="colorScale" priority="2">
      <colorScale>
        <cfvo type="min"/>
        <cfvo type="percentile" val="50"/>
        <cfvo type="max"/>
        <color rgb="FFF8696B"/>
        <color rgb="FFFFEB84"/>
        <color rgb="FF63BE7B"/>
      </colorScale>
    </cfRule>
  </conditionalFormatting>
  <pageMargins left="0.7" right="0.7" top="0.75" bottom="0.75" header="0.3" footer="0.3"/>
  <drawing r:id="rId7"/>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6830-040E-4B6A-B42C-A097939C60B7}">
  <dimension ref="D1"/>
  <sheetViews>
    <sheetView zoomScale="58" workbookViewId="0"/>
  </sheetViews>
  <sheetFormatPr defaultRowHeight="14.5" x14ac:dyDescent="0.35"/>
  <cols>
    <col min="1" max="2" width="8.7265625" style="41"/>
    <col min="3" max="4" width="8.7265625" style="41" customWidth="1"/>
    <col min="5" max="21" width="8.7265625" style="41"/>
    <col min="22" max="22" width="12" style="41" bestFit="1" customWidth="1"/>
    <col min="23" max="16384" width="8.7265625" style="4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F3671-6DF5-4714-AB4B-EA52CA1BF771}">
  <dimension ref="D1"/>
  <sheetViews>
    <sheetView tabSelected="1" topLeftCell="B1" zoomScale="64" workbookViewId="0">
      <selection activeCell="AD16" sqref="AD16"/>
    </sheetView>
  </sheetViews>
  <sheetFormatPr defaultRowHeight="14.5" x14ac:dyDescent="0.35"/>
  <cols>
    <col min="1" max="2" width="8.7265625" style="41"/>
    <col min="3" max="4" width="8.7265625" style="41" customWidth="1"/>
    <col min="5" max="21" width="8.7265625" style="41"/>
    <col min="22" max="22" width="12" style="41" bestFit="1" customWidth="1"/>
    <col min="23" max="16384" width="8.7265625" style="4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workbookViewId="0">
      <selection activeCell="L2" sqref="L2:L1001"/>
    </sheetView>
  </sheetViews>
  <sheetFormatPr defaultRowHeight="14.5" x14ac:dyDescent="0.35"/>
  <cols>
    <col min="1" max="1" width="12" customWidth="1"/>
    <col min="2" max="2" width="13" customWidth="1"/>
    <col min="3" max="3" width="18" customWidth="1"/>
    <col min="4" max="4" width="16" customWidth="1"/>
    <col min="5" max="5" width="10" customWidth="1"/>
    <col min="6" max="6" width="16" customWidth="1"/>
    <col min="7" max="7" width="20" customWidth="1"/>
    <col min="8" max="8" width="16" customWidth="1"/>
    <col min="9" max="9" width="22" customWidth="1"/>
    <col min="10" max="10" width="10" customWidth="1"/>
    <col min="11" max="14" width="12" customWidth="1"/>
    <col min="15" max="15" width="14" customWidth="1"/>
    <col min="16" max="16" width="16" customWidth="1"/>
    <col min="17" max="17" width="14" customWidth="1"/>
  </cols>
  <sheetData>
    <row r="1" spans="1:18" x14ac:dyDescent="0.35">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1759</v>
      </c>
    </row>
    <row r="2" spans="1:18" x14ac:dyDescent="0.35">
      <c r="A2" s="3" t="s">
        <v>17</v>
      </c>
      <c r="B2" s="4">
        <v>45292</v>
      </c>
      <c r="C2" s="3" t="s">
        <v>18</v>
      </c>
      <c r="D2" s="3" t="s">
        <v>19</v>
      </c>
      <c r="E2" s="3" t="s">
        <v>20</v>
      </c>
      <c r="F2" s="3" t="s">
        <v>21</v>
      </c>
      <c r="G2" s="3" t="s">
        <v>22</v>
      </c>
      <c r="H2" s="3" t="s">
        <v>23</v>
      </c>
      <c r="I2" s="3" t="s">
        <v>24</v>
      </c>
      <c r="J2" s="3">
        <v>2</v>
      </c>
      <c r="K2" s="5">
        <v>40157.56</v>
      </c>
      <c r="L2" s="5">
        <v>80315.12</v>
      </c>
      <c r="M2" s="6">
        <v>0</v>
      </c>
      <c r="N2" s="5">
        <v>10595.94</v>
      </c>
      <c r="O2" s="5">
        <v>94.4</v>
      </c>
      <c r="P2" s="3" t="s">
        <v>25</v>
      </c>
      <c r="Q2" s="3" t="s">
        <v>26</v>
      </c>
      <c r="R2" s="30">
        <f>N2/L2</f>
        <v>0.13192957938679542</v>
      </c>
    </row>
    <row r="3" spans="1:18" x14ac:dyDescent="0.35">
      <c r="A3" s="7" t="s">
        <v>27</v>
      </c>
      <c r="B3" s="8">
        <v>45292</v>
      </c>
      <c r="C3" s="7" t="s">
        <v>28</v>
      </c>
      <c r="D3" s="7" t="s">
        <v>29</v>
      </c>
      <c r="E3" s="7" t="s">
        <v>30</v>
      </c>
      <c r="F3" s="7" t="s">
        <v>31</v>
      </c>
      <c r="G3" s="7" t="s">
        <v>32</v>
      </c>
      <c r="H3" s="7" t="s">
        <v>33</v>
      </c>
      <c r="I3" s="7" t="s">
        <v>34</v>
      </c>
      <c r="J3" s="7">
        <v>1</v>
      </c>
      <c r="K3" s="9">
        <v>8300.06</v>
      </c>
      <c r="L3" s="9">
        <v>7055.05</v>
      </c>
      <c r="M3" s="10">
        <v>15</v>
      </c>
      <c r="N3" s="9">
        <v>905.99</v>
      </c>
      <c r="O3" s="9">
        <v>106</v>
      </c>
      <c r="P3" s="7" t="s">
        <v>35</v>
      </c>
      <c r="Q3" s="7" t="s">
        <v>36</v>
      </c>
      <c r="R3" s="30">
        <f t="shared" ref="R3:R66" si="0">N3/L3</f>
        <v>0.12841723304583241</v>
      </c>
    </row>
    <row r="4" spans="1:18" x14ac:dyDescent="0.35">
      <c r="A4" s="3" t="s">
        <v>37</v>
      </c>
      <c r="B4" s="4">
        <v>45292</v>
      </c>
      <c r="C4" s="3" t="s">
        <v>38</v>
      </c>
      <c r="D4" s="3" t="s">
        <v>39</v>
      </c>
      <c r="E4" s="3" t="s">
        <v>40</v>
      </c>
      <c r="F4" s="3" t="s">
        <v>41</v>
      </c>
      <c r="G4" s="3" t="s">
        <v>42</v>
      </c>
      <c r="H4" s="3" t="s">
        <v>43</v>
      </c>
      <c r="I4" s="3" t="s">
        <v>44</v>
      </c>
      <c r="J4" s="3">
        <v>1</v>
      </c>
      <c r="K4" s="5">
        <v>1151.75</v>
      </c>
      <c r="L4" s="5">
        <v>1036.58</v>
      </c>
      <c r="M4" s="6">
        <v>10</v>
      </c>
      <c r="N4" s="5">
        <v>22.36</v>
      </c>
      <c r="O4" s="5">
        <v>244.94</v>
      </c>
      <c r="P4" s="3" t="s">
        <v>45</v>
      </c>
      <c r="Q4" s="3" t="s">
        <v>26</v>
      </c>
      <c r="R4" s="30">
        <f t="shared" si="0"/>
        <v>2.1570935190723343E-2</v>
      </c>
    </row>
    <row r="5" spans="1:18" x14ac:dyDescent="0.35">
      <c r="A5" s="7" t="s">
        <v>46</v>
      </c>
      <c r="B5" s="8">
        <v>45292</v>
      </c>
      <c r="C5" s="7" t="s">
        <v>47</v>
      </c>
      <c r="D5" s="7" t="s">
        <v>39</v>
      </c>
      <c r="E5" s="7" t="s">
        <v>30</v>
      </c>
      <c r="F5" s="7" t="s">
        <v>48</v>
      </c>
      <c r="G5" s="7" t="s">
        <v>49</v>
      </c>
      <c r="H5" s="7" t="s">
        <v>50</v>
      </c>
      <c r="I5" s="7" t="s">
        <v>51</v>
      </c>
      <c r="J5" s="7">
        <v>1</v>
      </c>
      <c r="K5" s="9">
        <v>13093.98</v>
      </c>
      <c r="L5" s="9">
        <v>12439.28</v>
      </c>
      <c r="M5" s="10">
        <v>5</v>
      </c>
      <c r="N5" s="9">
        <v>1806.56</v>
      </c>
      <c r="O5" s="9">
        <v>196.03</v>
      </c>
      <c r="P5" s="7" t="s">
        <v>35</v>
      </c>
      <c r="Q5" s="7" t="s">
        <v>26</v>
      </c>
      <c r="R5" s="30">
        <f t="shared" si="0"/>
        <v>0.14523027056228333</v>
      </c>
    </row>
    <row r="6" spans="1:18" x14ac:dyDescent="0.35">
      <c r="A6" s="3" t="s">
        <v>52</v>
      </c>
      <c r="B6" s="4">
        <v>45292</v>
      </c>
      <c r="C6" s="3" t="s">
        <v>53</v>
      </c>
      <c r="D6" s="3" t="s">
        <v>29</v>
      </c>
      <c r="E6" s="3" t="s">
        <v>20</v>
      </c>
      <c r="F6" s="3" t="s">
        <v>54</v>
      </c>
      <c r="G6" s="3" t="s">
        <v>22</v>
      </c>
      <c r="H6" s="3" t="s">
        <v>55</v>
      </c>
      <c r="I6" s="3" t="s">
        <v>56</v>
      </c>
      <c r="J6" s="3">
        <v>3</v>
      </c>
      <c r="K6" s="5">
        <v>8985.5499999999993</v>
      </c>
      <c r="L6" s="5">
        <v>26956.65</v>
      </c>
      <c r="M6" s="6">
        <v>0</v>
      </c>
      <c r="N6" s="5">
        <v>4037.48</v>
      </c>
      <c r="O6" s="5">
        <v>100.04</v>
      </c>
      <c r="P6" s="3" t="s">
        <v>25</v>
      </c>
      <c r="Q6" s="3" t="s">
        <v>57</v>
      </c>
      <c r="R6" s="30">
        <f t="shared" si="0"/>
        <v>0.14977677122342722</v>
      </c>
    </row>
    <row r="7" spans="1:18" x14ac:dyDescent="0.35">
      <c r="A7" s="7" t="s">
        <v>58</v>
      </c>
      <c r="B7" s="8">
        <v>45292</v>
      </c>
      <c r="C7" s="7" t="s">
        <v>59</v>
      </c>
      <c r="D7" s="7" t="s">
        <v>19</v>
      </c>
      <c r="E7" s="7" t="s">
        <v>60</v>
      </c>
      <c r="F7" s="7" t="s">
        <v>61</v>
      </c>
      <c r="G7" s="7" t="s">
        <v>49</v>
      </c>
      <c r="H7" s="7" t="s">
        <v>62</v>
      </c>
      <c r="I7" s="7" t="s">
        <v>63</v>
      </c>
      <c r="J7" s="7">
        <v>1</v>
      </c>
      <c r="K7" s="9">
        <v>2138.91</v>
      </c>
      <c r="L7" s="9">
        <v>1818.07</v>
      </c>
      <c r="M7" s="10">
        <v>15</v>
      </c>
      <c r="N7" s="9">
        <v>158.99</v>
      </c>
      <c r="O7" s="9">
        <v>174.7</v>
      </c>
      <c r="P7" s="7" t="s">
        <v>64</v>
      </c>
      <c r="Q7" s="7" t="s">
        <v>65</v>
      </c>
      <c r="R7" s="30">
        <f t="shared" si="0"/>
        <v>8.7449878167507308E-2</v>
      </c>
    </row>
    <row r="8" spans="1:18" x14ac:dyDescent="0.35">
      <c r="A8" s="3" t="s">
        <v>66</v>
      </c>
      <c r="B8" s="4">
        <v>45293</v>
      </c>
      <c r="C8" s="3" t="s">
        <v>67</v>
      </c>
      <c r="D8" s="3" t="s">
        <v>19</v>
      </c>
      <c r="E8" s="3" t="s">
        <v>60</v>
      </c>
      <c r="F8" s="3" t="s">
        <v>68</v>
      </c>
      <c r="G8" s="3" t="s">
        <v>32</v>
      </c>
      <c r="H8" s="3" t="s">
        <v>33</v>
      </c>
      <c r="I8" s="3" t="s">
        <v>69</v>
      </c>
      <c r="J8" s="3">
        <v>4</v>
      </c>
      <c r="K8" s="5">
        <v>11956.54</v>
      </c>
      <c r="L8" s="5">
        <v>45434.85</v>
      </c>
      <c r="M8" s="6">
        <v>5</v>
      </c>
      <c r="N8" s="5">
        <v>6957.95</v>
      </c>
      <c r="O8" s="5">
        <v>357.44</v>
      </c>
      <c r="P8" s="3" t="s">
        <v>45</v>
      </c>
      <c r="Q8" s="3" t="s">
        <v>26</v>
      </c>
      <c r="R8" s="30">
        <f t="shared" si="0"/>
        <v>0.15314125610627086</v>
      </c>
    </row>
    <row r="9" spans="1:18" x14ac:dyDescent="0.35">
      <c r="A9" s="7" t="s">
        <v>70</v>
      </c>
      <c r="B9" s="8">
        <v>45293</v>
      </c>
      <c r="C9" s="7" t="s">
        <v>71</v>
      </c>
      <c r="D9" s="7" t="s">
        <v>39</v>
      </c>
      <c r="E9" s="7" t="s">
        <v>60</v>
      </c>
      <c r="F9" s="7" t="s">
        <v>72</v>
      </c>
      <c r="G9" s="7" t="s">
        <v>32</v>
      </c>
      <c r="H9" s="7" t="s">
        <v>73</v>
      </c>
      <c r="I9" s="7" t="s">
        <v>74</v>
      </c>
      <c r="J9" s="7">
        <v>3</v>
      </c>
      <c r="K9" s="9">
        <v>9220.92</v>
      </c>
      <c r="L9" s="9">
        <v>26279.62</v>
      </c>
      <c r="M9" s="10">
        <v>5</v>
      </c>
      <c r="N9" s="9">
        <v>6421.87</v>
      </c>
      <c r="O9" s="9">
        <v>359.26</v>
      </c>
      <c r="P9" s="7" t="s">
        <v>35</v>
      </c>
      <c r="Q9" s="7" t="s">
        <v>65</v>
      </c>
      <c r="R9" s="30">
        <f t="shared" si="0"/>
        <v>0.24436692768008061</v>
      </c>
    </row>
    <row r="10" spans="1:18" x14ac:dyDescent="0.35">
      <c r="A10" s="3" t="s">
        <v>75</v>
      </c>
      <c r="B10" s="4">
        <v>45294</v>
      </c>
      <c r="C10" s="3" t="s">
        <v>76</v>
      </c>
      <c r="D10" s="3" t="s">
        <v>29</v>
      </c>
      <c r="E10" s="3" t="s">
        <v>40</v>
      </c>
      <c r="F10" s="3" t="s">
        <v>77</v>
      </c>
      <c r="G10" s="3" t="s">
        <v>22</v>
      </c>
      <c r="H10" s="3" t="s">
        <v>23</v>
      </c>
      <c r="I10" s="3" t="s">
        <v>78</v>
      </c>
      <c r="J10" s="3">
        <v>3</v>
      </c>
      <c r="K10" s="5">
        <v>11774.84</v>
      </c>
      <c r="L10" s="5">
        <v>31792.07</v>
      </c>
      <c r="M10" s="6">
        <v>10</v>
      </c>
      <c r="N10" s="5">
        <v>3453.97</v>
      </c>
      <c r="O10" s="5">
        <v>202.57</v>
      </c>
      <c r="P10" s="3" t="s">
        <v>64</v>
      </c>
      <c r="Q10" s="3" t="s">
        <v>57</v>
      </c>
      <c r="R10" s="30">
        <f t="shared" si="0"/>
        <v>0.10864250110168981</v>
      </c>
    </row>
    <row r="11" spans="1:18" x14ac:dyDescent="0.35">
      <c r="A11" s="7" t="s">
        <v>79</v>
      </c>
      <c r="B11" s="8">
        <v>45294</v>
      </c>
      <c r="C11" s="7" t="s">
        <v>80</v>
      </c>
      <c r="D11" s="7" t="s">
        <v>19</v>
      </c>
      <c r="E11" s="7" t="s">
        <v>30</v>
      </c>
      <c r="F11" s="7" t="s">
        <v>31</v>
      </c>
      <c r="G11" s="7" t="s">
        <v>42</v>
      </c>
      <c r="H11" s="7" t="s">
        <v>81</v>
      </c>
      <c r="I11" s="7" t="s">
        <v>82</v>
      </c>
      <c r="J11" s="7">
        <v>1</v>
      </c>
      <c r="K11" s="9">
        <v>580.15</v>
      </c>
      <c r="L11" s="9">
        <v>580.15</v>
      </c>
      <c r="M11" s="10">
        <v>0</v>
      </c>
      <c r="N11" s="9">
        <v>86.54</v>
      </c>
      <c r="O11" s="9">
        <v>239.66</v>
      </c>
      <c r="P11" s="7" t="s">
        <v>83</v>
      </c>
      <c r="Q11" s="7" t="s">
        <v>57</v>
      </c>
      <c r="R11" s="30">
        <f t="shared" si="0"/>
        <v>0.14916831853830909</v>
      </c>
    </row>
    <row r="12" spans="1:18" x14ac:dyDescent="0.35">
      <c r="A12" s="3" t="s">
        <v>84</v>
      </c>
      <c r="B12" s="4">
        <v>45296</v>
      </c>
      <c r="C12" s="3" t="s">
        <v>85</v>
      </c>
      <c r="D12" s="3" t="s">
        <v>19</v>
      </c>
      <c r="E12" s="3" t="s">
        <v>20</v>
      </c>
      <c r="F12" s="3" t="s">
        <v>21</v>
      </c>
      <c r="G12" s="3" t="s">
        <v>32</v>
      </c>
      <c r="H12" s="3" t="s">
        <v>86</v>
      </c>
      <c r="I12" s="3" t="s">
        <v>87</v>
      </c>
      <c r="J12" s="3">
        <v>3</v>
      </c>
      <c r="K12" s="5">
        <v>4016.9</v>
      </c>
      <c r="L12" s="5">
        <v>9038.0300000000007</v>
      </c>
      <c r="M12" s="6">
        <v>25</v>
      </c>
      <c r="N12" s="5">
        <v>474.14</v>
      </c>
      <c r="O12" s="5">
        <v>139.93</v>
      </c>
      <c r="P12" s="3" t="s">
        <v>25</v>
      </c>
      <c r="Q12" s="3" t="s">
        <v>65</v>
      </c>
      <c r="R12" s="30">
        <f t="shared" si="0"/>
        <v>5.2460547265277935E-2</v>
      </c>
    </row>
    <row r="13" spans="1:18" x14ac:dyDescent="0.35">
      <c r="A13" s="7" t="s">
        <v>88</v>
      </c>
      <c r="B13" s="8">
        <v>45296</v>
      </c>
      <c r="C13" s="7" t="s">
        <v>89</v>
      </c>
      <c r="D13" s="7" t="s">
        <v>39</v>
      </c>
      <c r="E13" s="7" t="s">
        <v>40</v>
      </c>
      <c r="F13" s="7" t="s">
        <v>90</v>
      </c>
      <c r="G13" s="7" t="s">
        <v>49</v>
      </c>
      <c r="H13" s="7" t="s">
        <v>91</v>
      </c>
      <c r="I13" s="7" t="s">
        <v>92</v>
      </c>
      <c r="J13" s="7">
        <v>5</v>
      </c>
      <c r="K13" s="9">
        <v>7635.63</v>
      </c>
      <c r="L13" s="9">
        <v>36269.24</v>
      </c>
      <c r="M13" s="10">
        <v>5</v>
      </c>
      <c r="N13" s="9">
        <v>3102.73</v>
      </c>
      <c r="O13" s="9">
        <v>333.55</v>
      </c>
      <c r="P13" s="7" t="s">
        <v>35</v>
      </c>
      <c r="Q13" s="7" t="s">
        <v>65</v>
      </c>
      <c r="R13" s="30">
        <f t="shared" si="0"/>
        <v>8.5547146838478014E-2</v>
      </c>
    </row>
    <row r="14" spans="1:18" x14ac:dyDescent="0.35">
      <c r="A14" s="3" t="s">
        <v>93</v>
      </c>
      <c r="B14" s="4">
        <v>45296</v>
      </c>
      <c r="C14" s="3" t="s">
        <v>94</v>
      </c>
      <c r="D14" s="3" t="s">
        <v>39</v>
      </c>
      <c r="E14" s="3" t="s">
        <v>30</v>
      </c>
      <c r="F14" s="3" t="s">
        <v>48</v>
      </c>
      <c r="G14" s="3" t="s">
        <v>49</v>
      </c>
      <c r="H14" s="3" t="s">
        <v>50</v>
      </c>
      <c r="I14" s="3" t="s">
        <v>95</v>
      </c>
      <c r="J14" s="3">
        <v>3</v>
      </c>
      <c r="K14" s="5">
        <v>7048.93</v>
      </c>
      <c r="L14" s="5">
        <v>20089.45</v>
      </c>
      <c r="M14" s="6">
        <v>5</v>
      </c>
      <c r="N14" s="5">
        <v>2901.98</v>
      </c>
      <c r="O14" s="5">
        <v>329.45</v>
      </c>
      <c r="P14" s="3" t="s">
        <v>64</v>
      </c>
      <c r="Q14" s="3" t="s">
        <v>65</v>
      </c>
      <c r="R14" s="30">
        <f t="shared" si="0"/>
        <v>0.14445293425155989</v>
      </c>
    </row>
    <row r="15" spans="1:18" x14ac:dyDescent="0.35">
      <c r="A15" s="7" t="s">
        <v>96</v>
      </c>
      <c r="B15" s="8">
        <v>45296</v>
      </c>
      <c r="C15" s="7" t="s">
        <v>97</v>
      </c>
      <c r="D15" s="7" t="s">
        <v>39</v>
      </c>
      <c r="E15" s="7" t="s">
        <v>20</v>
      </c>
      <c r="F15" s="7" t="s">
        <v>21</v>
      </c>
      <c r="G15" s="7" t="s">
        <v>49</v>
      </c>
      <c r="H15" s="7" t="s">
        <v>98</v>
      </c>
      <c r="I15" s="7" t="s">
        <v>99</v>
      </c>
      <c r="J15" s="7">
        <v>5</v>
      </c>
      <c r="K15" s="9">
        <v>5405.46</v>
      </c>
      <c r="L15" s="9">
        <v>24324.57</v>
      </c>
      <c r="M15" s="10">
        <v>10</v>
      </c>
      <c r="N15" s="9">
        <v>2826.91</v>
      </c>
      <c r="O15" s="9">
        <v>201.24</v>
      </c>
      <c r="P15" s="7" t="s">
        <v>25</v>
      </c>
      <c r="Q15" s="7" t="s">
        <v>26</v>
      </c>
      <c r="R15" s="30">
        <f t="shared" si="0"/>
        <v>0.1162162373271141</v>
      </c>
    </row>
    <row r="16" spans="1:18" x14ac:dyDescent="0.35">
      <c r="A16" s="3" t="s">
        <v>100</v>
      </c>
      <c r="B16" s="4">
        <v>45300</v>
      </c>
      <c r="C16" s="3" t="s">
        <v>101</v>
      </c>
      <c r="D16" s="3" t="s">
        <v>19</v>
      </c>
      <c r="E16" s="3" t="s">
        <v>40</v>
      </c>
      <c r="F16" s="3" t="s">
        <v>90</v>
      </c>
      <c r="G16" s="3" t="s">
        <v>49</v>
      </c>
      <c r="H16" s="3" t="s">
        <v>62</v>
      </c>
      <c r="I16" s="3" t="s">
        <v>63</v>
      </c>
      <c r="J16" s="3">
        <v>1</v>
      </c>
      <c r="K16" s="5">
        <v>4435.47</v>
      </c>
      <c r="L16" s="5">
        <v>4213.7</v>
      </c>
      <c r="M16" s="6">
        <v>5</v>
      </c>
      <c r="N16" s="5">
        <v>822.01</v>
      </c>
      <c r="O16" s="5">
        <v>254.11</v>
      </c>
      <c r="P16" s="3" t="s">
        <v>25</v>
      </c>
      <c r="Q16" s="3" t="s">
        <v>65</v>
      </c>
      <c r="R16" s="30">
        <f t="shared" si="0"/>
        <v>0.19508033319885137</v>
      </c>
    </row>
    <row r="17" spans="1:18" x14ac:dyDescent="0.35">
      <c r="A17" s="7" t="s">
        <v>102</v>
      </c>
      <c r="B17" s="8">
        <v>45301</v>
      </c>
      <c r="C17" s="7" t="s">
        <v>103</v>
      </c>
      <c r="D17" s="7" t="s">
        <v>39</v>
      </c>
      <c r="E17" s="7" t="s">
        <v>60</v>
      </c>
      <c r="F17" s="7" t="s">
        <v>104</v>
      </c>
      <c r="G17" s="7" t="s">
        <v>22</v>
      </c>
      <c r="H17" s="7" t="s">
        <v>105</v>
      </c>
      <c r="I17" s="7" t="s">
        <v>106</v>
      </c>
      <c r="J17" s="7">
        <v>1</v>
      </c>
      <c r="K17" s="9">
        <v>48561.81</v>
      </c>
      <c r="L17" s="9">
        <v>46133.72</v>
      </c>
      <c r="M17" s="10">
        <v>5</v>
      </c>
      <c r="N17" s="9">
        <v>2773.95</v>
      </c>
      <c r="O17" s="9">
        <v>290.83999999999997</v>
      </c>
      <c r="P17" s="7" t="s">
        <v>25</v>
      </c>
      <c r="Q17" s="7" t="s">
        <v>65</v>
      </c>
      <c r="R17" s="30">
        <f t="shared" si="0"/>
        <v>6.0128470021494032E-2</v>
      </c>
    </row>
    <row r="18" spans="1:18" x14ac:dyDescent="0.35">
      <c r="A18" s="3" t="s">
        <v>107</v>
      </c>
      <c r="B18" s="4">
        <v>45303</v>
      </c>
      <c r="C18" s="3" t="s">
        <v>108</v>
      </c>
      <c r="D18" s="3" t="s">
        <v>19</v>
      </c>
      <c r="E18" s="3" t="s">
        <v>40</v>
      </c>
      <c r="F18" s="3" t="s">
        <v>109</v>
      </c>
      <c r="G18" s="3" t="s">
        <v>22</v>
      </c>
      <c r="H18" s="3" t="s">
        <v>110</v>
      </c>
      <c r="I18" s="3" t="s">
        <v>111</v>
      </c>
      <c r="J18" s="3">
        <v>2</v>
      </c>
      <c r="K18" s="5">
        <v>62365.21</v>
      </c>
      <c r="L18" s="5">
        <v>112257.38</v>
      </c>
      <c r="M18" s="6">
        <v>10</v>
      </c>
      <c r="N18" s="5">
        <v>5519.37</v>
      </c>
      <c r="O18" s="5">
        <v>63.52</v>
      </c>
      <c r="P18" s="3" t="s">
        <v>45</v>
      </c>
      <c r="Q18" s="3" t="s">
        <v>26</v>
      </c>
      <c r="R18" s="30">
        <f t="shared" si="0"/>
        <v>4.9167101530429441E-2</v>
      </c>
    </row>
    <row r="19" spans="1:18" x14ac:dyDescent="0.35">
      <c r="A19" s="7" t="s">
        <v>112</v>
      </c>
      <c r="B19" s="8">
        <v>45303</v>
      </c>
      <c r="C19" s="7" t="s">
        <v>113</v>
      </c>
      <c r="D19" s="7" t="s">
        <v>39</v>
      </c>
      <c r="E19" s="7" t="s">
        <v>30</v>
      </c>
      <c r="F19" s="7" t="s">
        <v>48</v>
      </c>
      <c r="G19" s="7" t="s">
        <v>32</v>
      </c>
      <c r="H19" s="7" t="s">
        <v>73</v>
      </c>
      <c r="I19" s="7" t="s">
        <v>114</v>
      </c>
      <c r="J19" s="7">
        <v>1</v>
      </c>
      <c r="K19" s="9">
        <v>5161.75</v>
      </c>
      <c r="L19" s="9">
        <v>4129.3999999999996</v>
      </c>
      <c r="M19" s="10">
        <v>20</v>
      </c>
      <c r="N19" s="9">
        <v>151.02000000000001</v>
      </c>
      <c r="O19" s="9">
        <v>131.62</v>
      </c>
      <c r="P19" s="7" t="s">
        <v>35</v>
      </c>
      <c r="Q19" s="7" t="s">
        <v>36</v>
      </c>
      <c r="R19" s="30">
        <f t="shared" si="0"/>
        <v>3.6571899065239506E-2</v>
      </c>
    </row>
    <row r="20" spans="1:18" x14ac:dyDescent="0.35">
      <c r="A20" s="3" t="s">
        <v>115</v>
      </c>
      <c r="B20" s="4">
        <v>45303</v>
      </c>
      <c r="C20" s="3" t="s">
        <v>116</v>
      </c>
      <c r="D20" s="3" t="s">
        <v>29</v>
      </c>
      <c r="E20" s="3" t="s">
        <v>60</v>
      </c>
      <c r="F20" s="3" t="s">
        <v>68</v>
      </c>
      <c r="G20" s="3" t="s">
        <v>117</v>
      </c>
      <c r="H20" s="3" t="s">
        <v>118</v>
      </c>
      <c r="I20" s="3" t="s">
        <v>119</v>
      </c>
      <c r="J20" s="3">
        <v>1</v>
      </c>
      <c r="K20" s="5">
        <v>861.56</v>
      </c>
      <c r="L20" s="5">
        <v>861.56</v>
      </c>
      <c r="M20" s="6">
        <v>0</v>
      </c>
      <c r="N20" s="5">
        <v>219.86</v>
      </c>
      <c r="O20" s="5">
        <v>128.16999999999999</v>
      </c>
      <c r="P20" s="3" t="s">
        <v>35</v>
      </c>
      <c r="Q20" s="3" t="s">
        <v>26</v>
      </c>
      <c r="R20" s="30">
        <f t="shared" si="0"/>
        <v>0.25518826315056414</v>
      </c>
    </row>
    <row r="21" spans="1:18" x14ac:dyDescent="0.35">
      <c r="A21" s="7" t="s">
        <v>120</v>
      </c>
      <c r="B21" s="8">
        <v>45303</v>
      </c>
      <c r="C21" s="7" t="s">
        <v>121</v>
      </c>
      <c r="D21" s="7" t="s">
        <v>39</v>
      </c>
      <c r="E21" s="7" t="s">
        <v>30</v>
      </c>
      <c r="F21" s="7" t="s">
        <v>48</v>
      </c>
      <c r="G21" s="7" t="s">
        <v>49</v>
      </c>
      <c r="H21" s="7" t="s">
        <v>62</v>
      </c>
      <c r="I21" s="7" t="s">
        <v>122</v>
      </c>
      <c r="J21" s="7">
        <v>1</v>
      </c>
      <c r="K21" s="9">
        <v>3970.06</v>
      </c>
      <c r="L21" s="9">
        <v>3374.55</v>
      </c>
      <c r="M21" s="10">
        <v>15</v>
      </c>
      <c r="N21" s="9">
        <v>197.15</v>
      </c>
      <c r="O21" s="9">
        <v>282.7</v>
      </c>
      <c r="P21" s="7" t="s">
        <v>35</v>
      </c>
      <c r="Q21" s="7" t="s">
        <v>26</v>
      </c>
      <c r="R21" s="30">
        <f t="shared" si="0"/>
        <v>5.8422604495414199E-2</v>
      </c>
    </row>
    <row r="22" spans="1:18" x14ac:dyDescent="0.35">
      <c r="A22" s="3" t="s">
        <v>123</v>
      </c>
      <c r="B22" s="4">
        <v>45303</v>
      </c>
      <c r="C22" s="3" t="s">
        <v>124</v>
      </c>
      <c r="D22" s="3" t="s">
        <v>19</v>
      </c>
      <c r="E22" s="3" t="s">
        <v>60</v>
      </c>
      <c r="F22" s="3" t="s">
        <v>104</v>
      </c>
      <c r="G22" s="3" t="s">
        <v>117</v>
      </c>
      <c r="H22" s="3" t="s">
        <v>125</v>
      </c>
      <c r="I22" s="3" t="s">
        <v>126</v>
      </c>
      <c r="J22" s="3">
        <v>2</v>
      </c>
      <c r="K22" s="5">
        <v>549.08000000000004</v>
      </c>
      <c r="L22" s="5">
        <v>1098.1600000000001</v>
      </c>
      <c r="M22" s="6">
        <v>0</v>
      </c>
      <c r="N22" s="5">
        <v>345.02</v>
      </c>
      <c r="O22" s="5">
        <v>148.62</v>
      </c>
      <c r="P22" s="3" t="s">
        <v>64</v>
      </c>
      <c r="Q22" s="3" t="s">
        <v>36</v>
      </c>
      <c r="R22" s="30">
        <f t="shared" si="0"/>
        <v>0.31418008304800754</v>
      </c>
    </row>
    <row r="23" spans="1:18" x14ac:dyDescent="0.35">
      <c r="A23" s="7" t="s">
        <v>127</v>
      </c>
      <c r="B23" s="8">
        <v>45303</v>
      </c>
      <c r="C23" s="7" t="s">
        <v>128</v>
      </c>
      <c r="D23" s="7" t="s">
        <v>29</v>
      </c>
      <c r="E23" s="7" t="s">
        <v>20</v>
      </c>
      <c r="F23" s="7" t="s">
        <v>129</v>
      </c>
      <c r="G23" s="7" t="s">
        <v>117</v>
      </c>
      <c r="H23" s="7" t="s">
        <v>130</v>
      </c>
      <c r="I23" s="7" t="s">
        <v>131</v>
      </c>
      <c r="J23" s="7">
        <v>2</v>
      </c>
      <c r="K23" s="9">
        <v>1915.19</v>
      </c>
      <c r="L23" s="9">
        <v>3447.34</v>
      </c>
      <c r="M23" s="10">
        <v>10</v>
      </c>
      <c r="N23" s="9">
        <v>772.74</v>
      </c>
      <c r="O23" s="9">
        <v>109.79</v>
      </c>
      <c r="P23" s="7" t="s">
        <v>64</v>
      </c>
      <c r="Q23" s="7" t="s">
        <v>57</v>
      </c>
      <c r="R23" s="30">
        <f t="shared" si="0"/>
        <v>0.22415543578527211</v>
      </c>
    </row>
    <row r="24" spans="1:18" x14ac:dyDescent="0.35">
      <c r="A24" s="3" t="s">
        <v>132</v>
      </c>
      <c r="B24" s="4">
        <v>45304</v>
      </c>
      <c r="C24" s="3" t="s">
        <v>133</v>
      </c>
      <c r="D24" s="3" t="s">
        <v>39</v>
      </c>
      <c r="E24" s="3" t="s">
        <v>40</v>
      </c>
      <c r="F24" s="3" t="s">
        <v>109</v>
      </c>
      <c r="G24" s="3" t="s">
        <v>134</v>
      </c>
      <c r="H24" s="3" t="s">
        <v>135</v>
      </c>
      <c r="I24" s="3" t="s">
        <v>136</v>
      </c>
      <c r="J24" s="3">
        <v>3</v>
      </c>
      <c r="K24" s="5">
        <v>350.91</v>
      </c>
      <c r="L24" s="5">
        <v>947.46</v>
      </c>
      <c r="M24" s="6">
        <v>10</v>
      </c>
      <c r="N24" s="5">
        <v>170.15</v>
      </c>
      <c r="O24" s="5">
        <v>137.18</v>
      </c>
      <c r="P24" s="3" t="s">
        <v>64</v>
      </c>
      <c r="Q24" s="3" t="s">
        <v>26</v>
      </c>
      <c r="R24" s="30">
        <f t="shared" si="0"/>
        <v>0.17958541785405188</v>
      </c>
    </row>
    <row r="25" spans="1:18" x14ac:dyDescent="0.35">
      <c r="A25" s="7" t="s">
        <v>137</v>
      </c>
      <c r="B25" s="8">
        <v>45304</v>
      </c>
      <c r="C25" s="7" t="s">
        <v>138</v>
      </c>
      <c r="D25" s="7" t="s">
        <v>19</v>
      </c>
      <c r="E25" s="7" t="s">
        <v>60</v>
      </c>
      <c r="F25" s="7" t="s">
        <v>61</v>
      </c>
      <c r="G25" s="7" t="s">
        <v>134</v>
      </c>
      <c r="H25" s="7" t="s">
        <v>139</v>
      </c>
      <c r="I25" s="7" t="s">
        <v>140</v>
      </c>
      <c r="J25" s="7">
        <v>2</v>
      </c>
      <c r="K25" s="9">
        <v>2562.52</v>
      </c>
      <c r="L25" s="9">
        <v>4868.79</v>
      </c>
      <c r="M25" s="10">
        <v>5</v>
      </c>
      <c r="N25" s="9">
        <v>1216.44</v>
      </c>
      <c r="O25" s="9">
        <v>313.79000000000002</v>
      </c>
      <c r="P25" s="7" t="s">
        <v>64</v>
      </c>
      <c r="Q25" s="7" t="s">
        <v>65</v>
      </c>
      <c r="R25" s="30">
        <f t="shared" si="0"/>
        <v>0.24984441719605899</v>
      </c>
    </row>
    <row r="26" spans="1:18" x14ac:dyDescent="0.35">
      <c r="A26" s="3" t="s">
        <v>141</v>
      </c>
      <c r="B26" s="4">
        <v>45304</v>
      </c>
      <c r="C26" s="3" t="s">
        <v>142</v>
      </c>
      <c r="D26" s="3" t="s">
        <v>19</v>
      </c>
      <c r="E26" s="3" t="s">
        <v>60</v>
      </c>
      <c r="F26" s="3" t="s">
        <v>72</v>
      </c>
      <c r="G26" s="3" t="s">
        <v>32</v>
      </c>
      <c r="H26" s="3" t="s">
        <v>143</v>
      </c>
      <c r="I26" s="3" t="s">
        <v>144</v>
      </c>
      <c r="J26" s="3">
        <v>2</v>
      </c>
      <c r="K26" s="5">
        <v>2182.8200000000002</v>
      </c>
      <c r="L26" s="5">
        <v>4365.6400000000003</v>
      </c>
      <c r="M26" s="6">
        <v>0</v>
      </c>
      <c r="N26" s="5">
        <v>424.62</v>
      </c>
      <c r="O26" s="5">
        <v>339.82</v>
      </c>
      <c r="P26" s="3" t="s">
        <v>45</v>
      </c>
      <c r="Q26" s="3" t="s">
        <v>57</v>
      </c>
      <c r="R26" s="30">
        <f t="shared" si="0"/>
        <v>9.7264089572204754E-2</v>
      </c>
    </row>
    <row r="27" spans="1:18" x14ac:dyDescent="0.35">
      <c r="A27" s="7" t="s">
        <v>145</v>
      </c>
      <c r="B27" s="8">
        <v>45306</v>
      </c>
      <c r="C27" s="7" t="s">
        <v>146</v>
      </c>
      <c r="D27" s="7" t="s">
        <v>39</v>
      </c>
      <c r="E27" s="7" t="s">
        <v>60</v>
      </c>
      <c r="F27" s="7" t="s">
        <v>68</v>
      </c>
      <c r="G27" s="7" t="s">
        <v>134</v>
      </c>
      <c r="H27" s="7" t="s">
        <v>139</v>
      </c>
      <c r="I27" s="7" t="s">
        <v>147</v>
      </c>
      <c r="J27" s="7">
        <v>2</v>
      </c>
      <c r="K27" s="9">
        <v>994.12</v>
      </c>
      <c r="L27" s="9">
        <v>1590.59</v>
      </c>
      <c r="M27" s="10">
        <v>20</v>
      </c>
      <c r="N27" s="9">
        <v>192.39</v>
      </c>
      <c r="O27" s="9">
        <v>50</v>
      </c>
      <c r="P27" s="7" t="s">
        <v>35</v>
      </c>
      <c r="Q27" s="7" t="s">
        <v>57</v>
      </c>
      <c r="R27" s="30">
        <f t="shared" si="0"/>
        <v>0.12095511728352372</v>
      </c>
    </row>
    <row r="28" spans="1:18" x14ac:dyDescent="0.35">
      <c r="A28" s="3" t="s">
        <v>148</v>
      </c>
      <c r="B28" s="4">
        <v>45306</v>
      </c>
      <c r="C28" s="3" t="s">
        <v>149</v>
      </c>
      <c r="D28" s="3" t="s">
        <v>39</v>
      </c>
      <c r="E28" s="3" t="s">
        <v>30</v>
      </c>
      <c r="F28" s="3" t="s">
        <v>48</v>
      </c>
      <c r="G28" s="3" t="s">
        <v>22</v>
      </c>
      <c r="H28" s="3" t="s">
        <v>55</v>
      </c>
      <c r="I28" s="3" t="s">
        <v>150</v>
      </c>
      <c r="J28" s="3">
        <v>2</v>
      </c>
      <c r="K28" s="5">
        <v>52067.44</v>
      </c>
      <c r="L28" s="5">
        <v>83307.899999999994</v>
      </c>
      <c r="M28" s="6">
        <v>20</v>
      </c>
      <c r="N28" s="5">
        <v>-3446.48</v>
      </c>
      <c r="O28" s="5">
        <v>276.12</v>
      </c>
      <c r="P28" s="3" t="s">
        <v>35</v>
      </c>
      <c r="Q28" s="3" t="s">
        <v>65</v>
      </c>
      <c r="R28" s="30">
        <f t="shared" si="0"/>
        <v>-4.1370386241881024E-2</v>
      </c>
    </row>
    <row r="29" spans="1:18" x14ac:dyDescent="0.35">
      <c r="A29" s="7" t="s">
        <v>151</v>
      </c>
      <c r="B29" s="8">
        <v>45307</v>
      </c>
      <c r="C29" s="7" t="s">
        <v>152</v>
      </c>
      <c r="D29" s="7" t="s">
        <v>19</v>
      </c>
      <c r="E29" s="7" t="s">
        <v>40</v>
      </c>
      <c r="F29" s="7" t="s">
        <v>77</v>
      </c>
      <c r="G29" s="7" t="s">
        <v>117</v>
      </c>
      <c r="H29" s="7" t="s">
        <v>153</v>
      </c>
      <c r="I29" s="7" t="s">
        <v>154</v>
      </c>
      <c r="J29" s="7">
        <v>4</v>
      </c>
      <c r="K29" s="9">
        <v>1501.84</v>
      </c>
      <c r="L29" s="9">
        <v>5106.26</v>
      </c>
      <c r="M29" s="10">
        <v>15</v>
      </c>
      <c r="N29" s="9">
        <v>972.61</v>
      </c>
      <c r="O29" s="9">
        <v>355.97</v>
      </c>
      <c r="P29" s="7" t="s">
        <v>45</v>
      </c>
      <c r="Q29" s="7" t="s">
        <v>26</v>
      </c>
      <c r="R29" s="30">
        <f t="shared" si="0"/>
        <v>0.19047404558326445</v>
      </c>
    </row>
    <row r="30" spans="1:18" x14ac:dyDescent="0.35">
      <c r="A30" s="3" t="s">
        <v>155</v>
      </c>
      <c r="B30" s="4">
        <v>45307</v>
      </c>
      <c r="C30" s="3" t="s">
        <v>156</v>
      </c>
      <c r="D30" s="3" t="s">
        <v>19</v>
      </c>
      <c r="E30" s="3" t="s">
        <v>20</v>
      </c>
      <c r="F30" s="3" t="s">
        <v>129</v>
      </c>
      <c r="G30" s="3" t="s">
        <v>22</v>
      </c>
      <c r="H30" s="3" t="s">
        <v>105</v>
      </c>
      <c r="I30" s="3" t="s">
        <v>157</v>
      </c>
      <c r="J30" s="3">
        <v>1</v>
      </c>
      <c r="K30" s="5">
        <v>14057.51</v>
      </c>
      <c r="L30" s="5">
        <v>14057.51</v>
      </c>
      <c r="M30" s="6">
        <v>0</v>
      </c>
      <c r="N30" s="5">
        <v>854.35</v>
      </c>
      <c r="O30" s="5">
        <v>329.02</v>
      </c>
      <c r="P30" s="3" t="s">
        <v>45</v>
      </c>
      <c r="Q30" s="3" t="s">
        <v>65</v>
      </c>
      <c r="R30" s="30">
        <f t="shared" si="0"/>
        <v>6.0775343570803081E-2</v>
      </c>
    </row>
    <row r="31" spans="1:18" x14ac:dyDescent="0.35">
      <c r="A31" s="7" t="s">
        <v>158</v>
      </c>
      <c r="B31" s="8">
        <v>45308</v>
      </c>
      <c r="C31" s="7" t="s">
        <v>159</v>
      </c>
      <c r="D31" s="7" t="s">
        <v>29</v>
      </c>
      <c r="E31" s="7" t="s">
        <v>20</v>
      </c>
      <c r="F31" s="7" t="s">
        <v>54</v>
      </c>
      <c r="G31" s="7" t="s">
        <v>134</v>
      </c>
      <c r="H31" s="7" t="s">
        <v>139</v>
      </c>
      <c r="I31" s="7" t="s">
        <v>147</v>
      </c>
      <c r="J31" s="7">
        <v>1</v>
      </c>
      <c r="K31" s="9">
        <v>4291</v>
      </c>
      <c r="L31" s="9">
        <v>4076.45</v>
      </c>
      <c r="M31" s="10">
        <v>5</v>
      </c>
      <c r="N31" s="9">
        <v>640.23</v>
      </c>
      <c r="O31" s="9">
        <v>172.72</v>
      </c>
      <c r="P31" s="7" t="s">
        <v>35</v>
      </c>
      <c r="Q31" s="7" t="s">
        <v>26</v>
      </c>
      <c r="R31" s="30">
        <f t="shared" si="0"/>
        <v>0.15705577156594588</v>
      </c>
    </row>
    <row r="32" spans="1:18" x14ac:dyDescent="0.35">
      <c r="A32" s="3" t="s">
        <v>160</v>
      </c>
      <c r="B32" s="4">
        <v>45308</v>
      </c>
      <c r="C32" s="3" t="s">
        <v>161</v>
      </c>
      <c r="D32" s="3" t="s">
        <v>39</v>
      </c>
      <c r="E32" s="3" t="s">
        <v>60</v>
      </c>
      <c r="F32" s="3" t="s">
        <v>104</v>
      </c>
      <c r="G32" s="3" t="s">
        <v>32</v>
      </c>
      <c r="H32" s="3" t="s">
        <v>73</v>
      </c>
      <c r="I32" s="3" t="s">
        <v>74</v>
      </c>
      <c r="J32" s="3">
        <v>2</v>
      </c>
      <c r="K32" s="5">
        <v>5100.88</v>
      </c>
      <c r="L32" s="5">
        <v>10201.76</v>
      </c>
      <c r="M32" s="6">
        <v>0</v>
      </c>
      <c r="N32" s="5">
        <v>2760.06</v>
      </c>
      <c r="O32" s="5">
        <v>79.11</v>
      </c>
      <c r="P32" s="3" t="s">
        <v>64</v>
      </c>
      <c r="Q32" s="3" t="s">
        <v>57</v>
      </c>
      <c r="R32" s="30">
        <f t="shared" si="0"/>
        <v>0.27054743495240036</v>
      </c>
    </row>
    <row r="33" spans="1:18" x14ac:dyDescent="0.35">
      <c r="A33" s="7" t="s">
        <v>162</v>
      </c>
      <c r="B33" s="8">
        <v>45310</v>
      </c>
      <c r="C33" s="7" t="s">
        <v>163</v>
      </c>
      <c r="D33" s="7" t="s">
        <v>39</v>
      </c>
      <c r="E33" s="7" t="s">
        <v>40</v>
      </c>
      <c r="F33" s="7" t="s">
        <v>90</v>
      </c>
      <c r="G33" s="7" t="s">
        <v>42</v>
      </c>
      <c r="H33" s="7" t="s">
        <v>164</v>
      </c>
      <c r="I33" s="7" t="s">
        <v>165</v>
      </c>
      <c r="J33" s="7">
        <v>1</v>
      </c>
      <c r="K33" s="9">
        <v>309.14999999999998</v>
      </c>
      <c r="L33" s="9">
        <v>278.24</v>
      </c>
      <c r="M33" s="10">
        <v>10</v>
      </c>
      <c r="N33" s="9">
        <v>61.24</v>
      </c>
      <c r="O33" s="9">
        <v>60</v>
      </c>
      <c r="P33" s="7" t="s">
        <v>83</v>
      </c>
      <c r="Q33" s="7" t="s">
        <v>65</v>
      </c>
      <c r="R33" s="30">
        <f t="shared" si="0"/>
        <v>0.2200977573317999</v>
      </c>
    </row>
    <row r="34" spans="1:18" x14ac:dyDescent="0.35">
      <c r="A34" s="3" t="s">
        <v>166</v>
      </c>
      <c r="B34" s="4">
        <v>45311</v>
      </c>
      <c r="C34" s="3" t="s">
        <v>167</v>
      </c>
      <c r="D34" s="3" t="s">
        <v>39</v>
      </c>
      <c r="E34" s="3" t="s">
        <v>60</v>
      </c>
      <c r="F34" s="3" t="s">
        <v>61</v>
      </c>
      <c r="G34" s="3" t="s">
        <v>134</v>
      </c>
      <c r="H34" s="3" t="s">
        <v>91</v>
      </c>
      <c r="I34" s="3" t="s">
        <v>168</v>
      </c>
      <c r="J34" s="3">
        <v>3</v>
      </c>
      <c r="K34" s="5">
        <v>3577.68</v>
      </c>
      <c r="L34" s="5">
        <v>8586.43</v>
      </c>
      <c r="M34" s="6">
        <v>20</v>
      </c>
      <c r="N34" s="5">
        <v>661.95</v>
      </c>
      <c r="O34" s="5">
        <v>272.17</v>
      </c>
      <c r="P34" s="3" t="s">
        <v>45</v>
      </c>
      <c r="Q34" s="3" t="s">
        <v>65</v>
      </c>
      <c r="R34" s="30">
        <f t="shared" si="0"/>
        <v>7.7092575144734193E-2</v>
      </c>
    </row>
    <row r="35" spans="1:18" x14ac:dyDescent="0.35">
      <c r="A35" s="7" t="s">
        <v>169</v>
      </c>
      <c r="B35" s="8">
        <v>45311</v>
      </c>
      <c r="C35" s="7" t="s">
        <v>128</v>
      </c>
      <c r="D35" s="7" t="s">
        <v>39</v>
      </c>
      <c r="E35" s="7" t="s">
        <v>20</v>
      </c>
      <c r="F35" s="7" t="s">
        <v>54</v>
      </c>
      <c r="G35" s="7" t="s">
        <v>22</v>
      </c>
      <c r="H35" s="7" t="s">
        <v>105</v>
      </c>
      <c r="I35" s="7" t="s">
        <v>106</v>
      </c>
      <c r="J35" s="7">
        <v>2</v>
      </c>
      <c r="K35" s="9">
        <v>26868.47</v>
      </c>
      <c r="L35" s="9">
        <v>45676.4</v>
      </c>
      <c r="M35" s="10">
        <v>15</v>
      </c>
      <c r="N35" s="9">
        <v>523.1</v>
      </c>
      <c r="O35" s="9">
        <v>276.49</v>
      </c>
      <c r="P35" s="7" t="s">
        <v>35</v>
      </c>
      <c r="Q35" s="7" t="s">
        <v>57</v>
      </c>
      <c r="R35" s="30">
        <f t="shared" si="0"/>
        <v>1.1452303596605687E-2</v>
      </c>
    </row>
    <row r="36" spans="1:18" x14ac:dyDescent="0.35">
      <c r="A36" s="3" t="s">
        <v>170</v>
      </c>
      <c r="B36" s="4">
        <v>45311</v>
      </c>
      <c r="C36" s="3" t="s">
        <v>171</v>
      </c>
      <c r="D36" s="3" t="s">
        <v>19</v>
      </c>
      <c r="E36" s="3" t="s">
        <v>40</v>
      </c>
      <c r="F36" s="3" t="s">
        <v>41</v>
      </c>
      <c r="G36" s="3" t="s">
        <v>42</v>
      </c>
      <c r="H36" s="3" t="s">
        <v>172</v>
      </c>
      <c r="I36" s="3" t="s">
        <v>173</v>
      </c>
      <c r="J36" s="3">
        <v>2</v>
      </c>
      <c r="K36" s="5">
        <v>832.46</v>
      </c>
      <c r="L36" s="5">
        <v>1581.67</v>
      </c>
      <c r="M36" s="6">
        <v>5</v>
      </c>
      <c r="N36" s="5">
        <v>265.25</v>
      </c>
      <c r="O36" s="5">
        <v>329.8</v>
      </c>
      <c r="P36" s="3" t="s">
        <v>35</v>
      </c>
      <c r="Q36" s="3" t="s">
        <v>65</v>
      </c>
      <c r="R36" s="30">
        <f t="shared" si="0"/>
        <v>0.16770249167019669</v>
      </c>
    </row>
    <row r="37" spans="1:18" x14ac:dyDescent="0.35">
      <c r="A37" s="7" t="s">
        <v>174</v>
      </c>
      <c r="B37" s="8">
        <v>45312</v>
      </c>
      <c r="C37" s="7" t="s">
        <v>175</v>
      </c>
      <c r="D37" s="7" t="s">
        <v>29</v>
      </c>
      <c r="E37" s="7" t="s">
        <v>20</v>
      </c>
      <c r="F37" s="7" t="s">
        <v>54</v>
      </c>
      <c r="G37" s="7" t="s">
        <v>22</v>
      </c>
      <c r="H37" s="7" t="s">
        <v>23</v>
      </c>
      <c r="I37" s="7" t="s">
        <v>176</v>
      </c>
      <c r="J37" s="7">
        <v>2</v>
      </c>
      <c r="K37" s="9">
        <v>52586.58</v>
      </c>
      <c r="L37" s="9">
        <v>99914.5</v>
      </c>
      <c r="M37" s="10">
        <v>5</v>
      </c>
      <c r="N37" s="9">
        <v>3964.09</v>
      </c>
      <c r="O37" s="9">
        <v>92.76</v>
      </c>
      <c r="P37" s="7" t="s">
        <v>25</v>
      </c>
      <c r="Q37" s="7" t="s">
        <v>26</v>
      </c>
      <c r="R37" s="30">
        <f t="shared" si="0"/>
        <v>3.9674821972786732E-2</v>
      </c>
    </row>
    <row r="38" spans="1:18" x14ac:dyDescent="0.35">
      <c r="A38" s="3" t="s">
        <v>177</v>
      </c>
      <c r="B38" s="4">
        <v>45312</v>
      </c>
      <c r="C38" s="3" t="s">
        <v>178</v>
      </c>
      <c r="D38" s="3" t="s">
        <v>39</v>
      </c>
      <c r="E38" s="3" t="s">
        <v>30</v>
      </c>
      <c r="F38" s="3" t="s">
        <v>31</v>
      </c>
      <c r="G38" s="3" t="s">
        <v>22</v>
      </c>
      <c r="H38" s="3" t="s">
        <v>105</v>
      </c>
      <c r="I38" s="3" t="s">
        <v>157</v>
      </c>
      <c r="J38" s="3">
        <v>1</v>
      </c>
      <c r="K38" s="5">
        <v>13690.64</v>
      </c>
      <c r="L38" s="5">
        <v>10952.51</v>
      </c>
      <c r="M38" s="6">
        <v>20</v>
      </c>
      <c r="N38" s="5">
        <v>-357.43</v>
      </c>
      <c r="O38" s="5">
        <v>326.64999999999998</v>
      </c>
      <c r="P38" s="3" t="s">
        <v>45</v>
      </c>
      <c r="Q38" s="3" t="s">
        <v>65</v>
      </c>
      <c r="R38" s="30">
        <f t="shared" si="0"/>
        <v>-3.2634528523598702E-2</v>
      </c>
    </row>
    <row r="39" spans="1:18" x14ac:dyDescent="0.35">
      <c r="A39" s="7" t="s">
        <v>179</v>
      </c>
      <c r="B39" s="8">
        <v>45312</v>
      </c>
      <c r="C39" s="7" t="s">
        <v>180</v>
      </c>
      <c r="D39" s="7" t="s">
        <v>39</v>
      </c>
      <c r="E39" s="7" t="s">
        <v>60</v>
      </c>
      <c r="F39" s="7" t="s">
        <v>68</v>
      </c>
      <c r="G39" s="7" t="s">
        <v>134</v>
      </c>
      <c r="H39" s="7" t="s">
        <v>91</v>
      </c>
      <c r="I39" s="7" t="s">
        <v>168</v>
      </c>
      <c r="J39" s="7">
        <v>2</v>
      </c>
      <c r="K39" s="9">
        <v>3436.46</v>
      </c>
      <c r="L39" s="9">
        <v>6872.92</v>
      </c>
      <c r="M39" s="10">
        <v>0</v>
      </c>
      <c r="N39" s="9">
        <v>1167.06</v>
      </c>
      <c r="O39" s="9">
        <v>275.58</v>
      </c>
      <c r="P39" s="7" t="s">
        <v>64</v>
      </c>
      <c r="Q39" s="7" t="s">
        <v>26</v>
      </c>
      <c r="R39" s="30">
        <f t="shared" si="0"/>
        <v>0.16980555571722061</v>
      </c>
    </row>
    <row r="40" spans="1:18" x14ac:dyDescent="0.35">
      <c r="A40" s="3" t="s">
        <v>181</v>
      </c>
      <c r="B40" s="4">
        <v>45313</v>
      </c>
      <c r="C40" s="3" t="s">
        <v>182</v>
      </c>
      <c r="D40" s="3" t="s">
        <v>39</v>
      </c>
      <c r="E40" s="3" t="s">
        <v>20</v>
      </c>
      <c r="F40" s="3" t="s">
        <v>129</v>
      </c>
      <c r="G40" s="3" t="s">
        <v>42</v>
      </c>
      <c r="H40" s="3" t="s">
        <v>43</v>
      </c>
      <c r="I40" s="3" t="s">
        <v>44</v>
      </c>
      <c r="J40" s="3">
        <v>1</v>
      </c>
      <c r="K40" s="5">
        <v>872.11</v>
      </c>
      <c r="L40" s="5">
        <v>784.9</v>
      </c>
      <c r="M40" s="6">
        <v>10</v>
      </c>
      <c r="N40" s="5">
        <v>108</v>
      </c>
      <c r="O40" s="5">
        <v>73.02</v>
      </c>
      <c r="P40" s="3" t="s">
        <v>45</v>
      </c>
      <c r="Q40" s="3" t="s">
        <v>57</v>
      </c>
      <c r="R40" s="30">
        <f t="shared" si="0"/>
        <v>0.13759714613326537</v>
      </c>
    </row>
    <row r="41" spans="1:18" x14ac:dyDescent="0.35">
      <c r="A41" s="7" t="s">
        <v>183</v>
      </c>
      <c r="B41" s="8">
        <v>45313</v>
      </c>
      <c r="C41" s="7" t="s">
        <v>184</v>
      </c>
      <c r="D41" s="7" t="s">
        <v>39</v>
      </c>
      <c r="E41" s="7" t="s">
        <v>20</v>
      </c>
      <c r="F41" s="7" t="s">
        <v>129</v>
      </c>
      <c r="G41" s="7" t="s">
        <v>134</v>
      </c>
      <c r="H41" s="7" t="s">
        <v>135</v>
      </c>
      <c r="I41" s="7" t="s">
        <v>185</v>
      </c>
      <c r="J41" s="7">
        <v>4</v>
      </c>
      <c r="K41" s="9">
        <v>2304.87</v>
      </c>
      <c r="L41" s="9">
        <v>8297.5300000000007</v>
      </c>
      <c r="M41" s="10">
        <v>10</v>
      </c>
      <c r="N41" s="9">
        <v>793.59</v>
      </c>
      <c r="O41" s="9">
        <v>332.83</v>
      </c>
      <c r="P41" s="7" t="s">
        <v>35</v>
      </c>
      <c r="Q41" s="7" t="s">
        <v>65</v>
      </c>
      <c r="R41" s="30">
        <f t="shared" si="0"/>
        <v>9.5641715064603561E-2</v>
      </c>
    </row>
    <row r="42" spans="1:18" x14ac:dyDescent="0.35">
      <c r="A42" s="3" t="s">
        <v>186</v>
      </c>
      <c r="B42" s="4">
        <v>45313</v>
      </c>
      <c r="C42" s="3" t="s">
        <v>187</v>
      </c>
      <c r="D42" s="3" t="s">
        <v>29</v>
      </c>
      <c r="E42" s="3" t="s">
        <v>40</v>
      </c>
      <c r="F42" s="3" t="s">
        <v>90</v>
      </c>
      <c r="G42" s="3" t="s">
        <v>49</v>
      </c>
      <c r="H42" s="3" t="s">
        <v>91</v>
      </c>
      <c r="I42" s="3" t="s">
        <v>188</v>
      </c>
      <c r="J42" s="3">
        <v>1</v>
      </c>
      <c r="K42" s="5">
        <v>9446.41</v>
      </c>
      <c r="L42" s="5">
        <v>6612.49</v>
      </c>
      <c r="M42" s="6">
        <v>30</v>
      </c>
      <c r="N42" s="5">
        <v>-207.14</v>
      </c>
      <c r="O42" s="5">
        <v>44.64</v>
      </c>
      <c r="P42" s="3" t="s">
        <v>25</v>
      </c>
      <c r="Q42" s="3" t="s">
        <v>36</v>
      </c>
      <c r="R42" s="30">
        <f t="shared" si="0"/>
        <v>-3.1325567222029824E-2</v>
      </c>
    </row>
    <row r="43" spans="1:18" x14ac:dyDescent="0.35">
      <c r="A43" s="7" t="s">
        <v>189</v>
      </c>
      <c r="B43" s="8">
        <v>45313</v>
      </c>
      <c r="C43" s="7" t="s">
        <v>190</v>
      </c>
      <c r="D43" s="7" t="s">
        <v>19</v>
      </c>
      <c r="E43" s="7" t="s">
        <v>30</v>
      </c>
      <c r="F43" s="7" t="s">
        <v>48</v>
      </c>
      <c r="G43" s="7" t="s">
        <v>22</v>
      </c>
      <c r="H43" s="7" t="s">
        <v>55</v>
      </c>
      <c r="I43" s="7" t="s">
        <v>150</v>
      </c>
      <c r="J43" s="7">
        <v>2</v>
      </c>
      <c r="K43" s="9">
        <v>55428.43</v>
      </c>
      <c r="L43" s="9">
        <v>110856.86</v>
      </c>
      <c r="M43" s="10">
        <v>0</v>
      </c>
      <c r="N43" s="9">
        <v>8600.3799999999992</v>
      </c>
      <c r="O43" s="9">
        <v>176.76</v>
      </c>
      <c r="P43" s="7" t="s">
        <v>45</v>
      </c>
      <c r="Q43" s="7" t="s">
        <v>57</v>
      </c>
      <c r="R43" s="30">
        <f t="shared" si="0"/>
        <v>7.7580945374061641E-2</v>
      </c>
    </row>
    <row r="44" spans="1:18" x14ac:dyDescent="0.35">
      <c r="A44" s="3" t="s">
        <v>191</v>
      </c>
      <c r="B44" s="4">
        <v>45314</v>
      </c>
      <c r="C44" s="3" t="s">
        <v>192</v>
      </c>
      <c r="D44" s="3" t="s">
        <v>39</v>
      </c>
      <c r="E44" s="3" t="s">
        <v>60</v>
      </c>
      <c r="F44" s="3" t="s">
        <v>61</v>
      </c>
      <c r="G44" s="3" t="s">
        <v>49</v>
      </c>
      <c r="H44" s="3" t="s">
        <v>50</v>
      </c>
      <c r="I44" s="3" t="s">
        <v>193</v>
      </c>
      <c r="J44" s="3">
        <v>2</v>
      </c>
      <c r="K44" s="5">
        <v>13050.58</v>
      </c>
      <c r="L44" s="5">
        <v>20880.93</v>
      </c>
      <c r="M44" s="6">
        <v>20</v>
      </c>
      <c r="N44" s="5">
        <v>226.7</v>
      </c>
      <c r="O44" s="5">
        <v>190.26</v>
      </c>
      <c r="P44" s="3" t="s">
        <v>25</v>
      </c>
      <c r="Q44" s="3" t="s">
        <v>57</v>
      </c>
      <c r="R44" s="30">
        <f t="shared" si="0"/>
        <v>1.0856796129291175E-2</v>
      </c>
    </row>
    <row r="45" spans="1:18" x14ac:dyDescent="0.35">
      <c r="A45" s="7" t="s">
        <v>194</v>
      </c>
      <c r="B45" s="8">
        <v>45314</v>
      </c>
      <c r="C45" s="7" t="s">
        <v>195</v>
      </c>
      <c r="D45" s="7" t="s">
        <v>39</v>
      </c>
      <c r="E45" s="7" t="s">
        <v>20</v>
      </c>
      <c r="F45" s="7" t="s">
        <v>21</v>
      </c>
      <c r="G45" s="7" t="s">
        <v>117</v>
      </c>
      <c r="H45" s="7" t="s">
        <v>125</v>
      </c>
      <c r="I45" s="7" t="s">
        <v>196</v>
      </c>
      <c r="J45" s="7">
        <v>4</v>
      </c>
      <c r="K45" s="9">
        <v>933.39</v>
      </c>
      <c r="L45" s="9">
        <v>3733.56</v>
      </c>
      <c r="M45" s="10">
        <v>0</v>
      </c>
      <c r="N45" s="9">
        <v>702.72</v>
      </c>
      <c r="O45" s="9">
        <v>267.33999999999997</v>
      </c>
      <c r="P45" s="7" t="s">
        <v>35</v>
      </c>
      <c r="Q45" s="7" t="s">
        <v>26</v>
      </c>
      <c r="R45" s="30">
        <f t="shared" si="0"/>
        <v>0.18821714395911679</v>
      </c>
    </row>
    <row r="46" spans="1:18" x14ac:dyDescent="0.35">
      <c r="A46" s="3" t="s">
        <v>197</v>
      </c>
      <c r="B46" s="4">
        <v>45315</v>
      </c>
      <c r="C46" s="3" t="s">
        <v>198</v>
      </c>
      <c r="D46" s="3" t="s">
        <v>39</v>
      </c>
      <c r="E46" s="3" t="s">
        <v>60</v>
      </c>
      <c r="F46" s="3" t="s">
        <v>72</v>
      </c>
      <c r="G46" s="3" t="s">
        <v>42</v>
      </c>
      <c r="H46" s="3" t="s">
        <v>164</v>
      </c>
      <c r="I46" s="3" t="s">
        <v>199</v>
      </c>
      <c r="J46" s="3">
        <v>3</v>
      </c>
      <c r="K46" s="5">
        <v>596.77</v>
      </c>
      <c r="L46" s="5">
        <v>1790.31</v>
      </c>
      <c r="M46" s="6">
        <v>0</v>
      </c>
      <c r="N46" s="5">
        <v>158.82</v>
      </c>
      <c r="O46" s="5">
        <v>376.05</v>
      </c>
      <c r="P46" s="3" t="s">
        <v>35</v>
      </c>
      <c r="Q46" s="3" t="s">
        <v>57</v>
      </c>
      <c r="R46" s="30">
        <f t="shared" si="0"/>
        <v>8.8710893644117494E-2</v>
      </c>
    </row>
    <row r="47" spans="1:18" x14ac:dyDescent="0.35">
      <c r="A47" s="7" t="s">
        <v>200</v>
      </c>
      <c r="B47" s="8">
        <v>45316</v>
      </c>
      <c r="C47" s="7" t="s">
        <v>201</v>
      </c>
      <c r="D47" s="7" t="s">
        <v>39</v>
      </c>
      <c r="E47" s="7" t="s">
        <v>40</v>
      </c>
      <c r="F47" s="7" t="s">
        <v>77</v>
      </c>
      <c r="G47" s="7" t="s">
        <v>134</v>
      </c>
      <c r="H47" s="7" t="s">
        <v>91</v>
      </c>
      <c r="I47" s="7" t="s">
        <v>168</v>
      </c>
      <c r="J47" s="7">
        <v>1</v>
      </c>
      <c r="K47" s="9">
        <v>3581.55</v>
      </c>
      <c r="L47" s="9">
        <v>3044.32</v>
      </c>
      <c r="M47" s="10">
        <v>15</v>
      </c>
      <c r="N47" s="9">
        <v>226.58</v>
      </c>
      <c r="O47" s="9">
        <v>289.56</v>
      </c>
      <c r="P47" s="7" t="s">
        <v>64</v>
      </c>
      <c r="Q47" s="7" t="s">
        <v>26</v>
      </c>
      <c r="R47" s="30">
        <f t="shared" si="0"/>
        <v>7.4427129868082198E-2</v>
      </c>
    </row>
    <row r="48" spans="1:18" x14ac:dyDescent="0.35">
      <c r="A48" s="3" t="s">
        <v>202</v>
      </c>
      <c r="B48" s="4">
        <v>45319</v>
      </c>
      <c r="C48" s="3" t="s">
        <v>203</v>
      </c>
      <c r="D48" s="3" t="s">
        <v>29</v>
      </c>
      <c r="E48" s="3" t="s">
        <v>20</v>
      </c>
      <c r="F48" s="3" t="s">
        <v>129</v>
      </c>
      <c r="G48" s="3" t="s">
        <v>42</v>
      </c>
      <c r="H48" s="3" t="s">
        <v>81</v>
      </c>
      <c r="I48" s="3" t="s">
        <v>82</v>
      </c>
      <c r="J48" s="3">
        <v>5</v>
      </c>
      <c r="K48" s="5">
        <v>908.96</v>
      </c>
      <c r="L48" s="5">
        <v>4090.32</v>
      </c>
      <c r="M48" s="6">
        <v>10</v>
      </c>
      <c r="N48" s="5">
        <v>404.21</v>
      </c>
      <c r="O48" s="5">
        <v>263.93</v>
      </c>
      <c r="P48" s="3" t="s">
        <v>45</v>
      </c>
      <c r="Q48" s="3" t="s">
        <v>36</v>
      </c>
      <c r="R48" s="30">
        <f t="shared" si="0"/>
        <v>9.88211191300436E-2</v>
      </c>
    </row>
    <row r="49" spans="1:18" x14ac:dyDescent="0.35">
      <c r="A49" s="7" t="s">
        <v>204</v>
      </c>
      <c r="B49" s="8">
        <v>45320</v>
      </c>
      <c r="C49" s="7" t="s">
        <v>205</v>
      </c>
      <c r="D49" s="7" t="s">
        <v>39</v>
      </c>
      <c r="E49" s="7" t="s">
        <v>60</v>
      </c>
      <c r="F49" s="7" t="s">
        <v>72</v>
      </c>
      <c r="G49" s="7" t="s">
        <v>49</v>
      </c>
      <c r="H49" s="7" t="s">
        <v>91</v>
      </c>
      <c r="I49" s="7" t="s">
        <v>206</v>
      </c>
      <c r="J49" s="7">
        <v>1</v>
      </c>
      <c r="K49" s="9">
        <v>6053.18</v>
      </c>
      <c r="L49" s="9">
        <v>5447.86</v>
      </c>
      <c r="M49" s="10">
        <v>10</v>
      </c>
      <c r="N49" s="9">
        <v>816.79</v>
      </c>
      <c r="O49" s="9">
        <v>122.38</v>
      </c>
      <c r="P49" s="7" t="s">
        <v>64</v>
      </c>
      <c r="Q49" s="7" t="s">
        <v>26</v>
      </c>
      <c r="R49" s="30">
        <f t="shared" si="0"/>
        <v>0.14992859581560466</v>
      </c>
    </row>
    <row r="50" spans="1:18" x14ac:dyDescent="0.35">
      <c r="A50" s="3" t="s">
        <v>207</v>
      </c>
      <c r="B50" s="4">
        <v>45320</v>
      </c>
      <c r="C50" s="3" t="s">
        <v>178</v>
      </c>
      <c r="D50" s="3" t="s">
        <v>29</v>
      </c>
      <c r="E50" s="3" t="s">
        <v>20</v>
      </c>
      <c r="F50" s="3" t="s">
        <v>21</v>
      </c>
      <c r="G50" s="3" t="s">
        <v>42</v>
      </c>
      <c r="H50" s="3" t="s">
        <v>43</v>
      </c>
      <c r="I50" s="3" t="s">
        <v>208</v>
      </c>
      <c r="J50" s="3">
        <v>1</v>
      </c>
      <c r="K50" s="5">
        <v>556.04</v>
      </c>
      <c r="L50" s="5">
        <v>500.44</v>
      </c>
      <c r="M50" s="6">
        <v>10</v>
      </c>
      <c r="N50" s="5">
        <v>41.85</v>
      </c>
      <c r="O50" s="5">
        <v>193.75</v>
      </c>
      <c r="P50" s="3" t="s">
        <v>64</v>
      </c>
      <c r="Q50" s="3" t="s">
        <v>57</v>
      </c>
      <c r="R50" s="30">
        <f t="shared" si="0"/>
        <v>8.3626408760290941E-2</v>
      </c>
    </row>
    <row r="51" spans="1:18" x14ac:dyDescent="0.35">
      <c r="A51" s="7" t="s">
        <v>209</v>
      </c>
      <c r="B51" s="8">
        <v>45323</v>
      </c>
      <c r="C51" s="7" t="s">
        <v>210</v>
      </c>
      <c r="D51" s="7" t="s">
        <v>39</v>
      </c>
      <c r="E51" s="7" t="s">
        <v>60</v>
      </c>
      <c r="F51" s="7" t="s">
        <v>61</v>
      </c>
      <c r="G51" s="7" t="s">
        <v>32</v>
      </c>
      <c r="H51" s="7" t="s">
        <v>86</v>
      </c>
      <c r="I51" s="7" t="s">
        <v>211</v>
      </c>
      <c r="J51" s="7">
        <v>1</v>
      </c>
      <c r="K51" s="9">
        <v>3400</v>
      </c>
      <c r="L51" s="9">
        <v>3230</v>
      </c>
      <c r="M51" s="10">
        <v>5</v>
      </c>
      <c r="N51" s="9">
        <v>474.99</v>
      </c>
      <c r="O51" s="9">
        <v>82.71</v>
      </c>
      <c r="P51" s="7" t="s">
        <v>45</v>
      </c>
      <c r="Q51" s="7" t="s">
        <v>65</v>
      </c>
      <c r="R51" s="30">
        <f t="shared" si="0"/>
        <v>0.14705572755417956</v>
      </c>
    </row>
    <row r="52" spans="1:18" x14ac:dyDescent="0.35">
      <c r="A52" s="3" t="s">
        <v>212</v>
      </c>
      <c r="B52" s="4">
        <v>45324</v>
      </c>
      <c r="C52" s="3" t="s">
        <v>213</v>
      </c>
      <c r="D52" s="3" t="s">
        <v>39</v>
      </c>
      <c r="E52" s="3" t="s">
        <v>60</v>
      </c>
      <c r="F52" s="3" t="s">
        <v>104</v>
      </c>
      <c r="G52" s="3" t="s">
        <v>32</v>
      </c>
      <c r="H52" s="3" t="s">
        <v>73</v>
      </c>
      <c r="I52" s="3" t="s">
        <v>214</v>
      </c>
      <c r="J52" s="3">
        <v>1</v>
      </c>
      <c r="K52" s="5">
        <v>2130.0300000000002</v>
      </c>
      <c r="L52" s="5">
        <v>1597.52</v>
      </c>
      <c r="M52" s="6">
        <v>25</v>
      </c>
      <c r="N52" s="5">
        <v>8.56</v>
      </c>
      <c r="O52" s="5">
        <v>281.5</v>
      </c>
      <c r="P52" s="3" t="s">
        <v>35</v>
      </c>
      <c r="Q52" s="3" t="s">
        <v>26</v>
      </c>
      <c r="R52" s="30">
        <f t="shared" si="0"/>
        <v>5.3583053733286595E-3</v>
      </c>
    </row>
    <row r="53" spans="1:18" x14ac:dyDescent="0.35">
      <c r="A53" s="7" t="s">
        <v>215</v>
      </c>
      <c r="B53" s="8">
        <v>45327</v>
      </c>
      <c r="C53" s="7" t="s">
        <v>216</v>
      </c>
      <c r="D53" s="7" t="s">
        <v>29</v>
      </c>
      <c r="E53" s="7" t="s">
        <v>30</v>
      </c>
      <c r="F53" s="7" t="s">
        <v>48</v>
      </c>
      <c r="G53" s="7" t="s">
        <v>117</v>
      </c>
      <c r="H53" s="7" t="s">
        <v>125</v>
      </c>
      <c r="I53" s="7" t="s">
        <v>217</v>
      </c>
      <c r="J53" s="7">
        <v>3</v>
      </c>
      <c r="K53" s="9">
        <v>397.01</v>
      </c>
      <c r="L53" s="9">
        <v>1191.03</v>
      </c>
      <c r="M53" s="10">
        <v>0</v>
      </c>
      <c r="N53" s="9">
        <v>317.2</v>
      </c>
      <c r="O53" s="9">
        <v>346.14</v>
      </c>
      <c r="P53" s="7" t="s">
        <v>83</v>
      </c>
      <c r="Q53" s="7" t="s">
        <v>26</v>
      </c>
      <c r="R53" s="30">
        <f t="shared" si="0"/>
        <v>0.26632410602587675</v>
      </c>
    </row>
    <row r="54" spans="1:18" x14ac:dyDescent="0.35">
      <c r="A54" s="3" t="s">
        <v>218</v>
      </c>
      <c r="B54" s="4">
        <v>45328</v>
      </c>
      <c r="C54" s="3" t="s">
        <v>219</v>
      </c>
      <c r="D54" s="3" t="s">
        <v>39</v>
      </c>
      <c r="E54" s="3" t="s">
        <v>60</v>
      </c>
      <c r="F54" s="3" t="s">
        <v>61</v>
      </c>
      <c r="G54" s="3" t="s">
        <v>134</v>
      </c>
      <c r="H54" s="3" t="s">
        <v>139</v>
      </c>
      <c r="I54" s="3" t="s">
        <v>220</v>
      </c>
      <c r="J54" s="3">
        <v>1</v>
      </c>
      <c r="K54" s="5">
        <v>4198.9399999999996</v>
      </c>
      <c r="L54" s="5">
        <v>4198.9399999999996</v>
      </c>
      <c r="M54" s="6">
        <v>0</v>
      </c>
      <c r="N54" s="5">
        <v>963.78</v>
      </c>
      <c r="O54" s="5">
        <v>167.02</v>
      </c>
      <c r="P54" s="3" t="s">
        <v>35</v>
      </c>
      <c r="Q54" s="3" t="s">
        <v>65</v>
      </c>
      <c r="R54" s="30">
        <f t="shared" si="0"/>
        <v>0.22952935740925093</v>
      </c>
    </row>
    <row r="55" spans="1:18" x14ac:dyDescent="0.35">
      <c r="A55" s="7" t="s">
        <v>221</v>
      </c>
      <c r="B55" s="8">
        <v>45329</v>
      </c>
      <c r="C55" s="7" t="s">
        <v>222</v>
      </c>
      <c r="D55" s="7" t="s">
        <v>39</v>
      </c>
      <c r="E55" s="7" t="s">
        <v>30</v>
      </c>
      <c r="F55" s="7" t="s">
        <v>31</v>
      </c>
      <c r="G55" s="7" t="s">
        <v>42</v>
      </c>
      <c r="H55" s="7" t="s">
        <v>172</v>
      </c>
      <c r="I55" s="7" t="s">
        <v>223</v>
      </c>
      <c r="J55" s="7">
        <v>1</v>
      </c>
      <c r="K55" s="9">
        <v>325.23</v>
      </c>
      <c r="L55" s="9">
        <v>292.70999999999998</v>
      </c>
      <c r="M55" s="10">
        <v>10</v>
      </c>
      <c r="N55" s="9">
        <v>21.11</v>
      </c>
      <c r="O55" s="9">
        <v>88.02</v>
      </c>
      <c r="P55" s="7" t="s">
        <v>64</v>
      </c>
      <c r="Q55" s="7" t="s">
        <v>57</v>
      </c>
      <c r="R55" s="30">
        <f t="shared" si="0"/>
        <v>7.2119162310819579E-2</v>
      </c>
    </row>
    <row r="56" spans="1:18" x14ac:dyDescent="0.35">
      <c r="A56" s="3" t="s">
        <v>224</v>
      </c>
      <c r="B56" s="4">
        <v>45330</v>
      </c>
      <c r="C56" s="3" t="s">
        <v>225</v>
      </c>
      <c r="D56" s="3" t="s">
        <v>19</v>
      </c>
      <c r="E56" s="3" t="s">
        <v>30</v>
      </c>
      <c r="F56" s="3" t="s">
        <v>226</v>
      </c>
      <c r="G56" s="3" t="s">
        <v>32</v>
      </c>
      <c r="H56" s="3" t="s">
        <v>86</v>
      </c>
      <c r="I56" s="3" t="s">
        <v>227</v>
      </c>
      <c r="J56" s="3">
        <v>4</v>
      </c>
      <c r="K56" s="5">
        <v>5439.64</v>
      </c>
      <c r="L56" s="5">
        <v>20670.63</v>
      </c>
      <c r="M56" s="6">
        <v>5</v>
      </c>
      <c r="N56" s="5">
        <v>2191.64</v>
      </c>
      <c r="O56" s="5">
        <v>156.18</v>
      </c>
      <c r="P56" s="3" t="s">
        <v>64</v>
      </c>
      <c r="Q56" s="3" t="s">
        <v>65</v>
      </c>
      <c r="R56" s="30">
        <f t="shared" si="0"/>
        <v>0.10602676357711399</v>
      </c>
    </row>
    <row r="57" spans="1:18" x14ac:dyDescent="0.35">
      <c r="A57" s="7" t="s">
        <v>228</v>
      </c>
      <c r="B57" s="8">
        <v>45331</v>
      </c>
      <c r="C57" s="7" t="s">
        <v>229</v>
      </c>
      <c r="D57" s="7" t="s">
        <v>39</v>
      </c>
      <c r="E57" s="7" t="s">
        <v>20</v>
      </c>
      <c r="F57" s="7" t="s">
        <v>129</v>
      </c>
      <c r="G57" s="7" t="s">
        <v>32</v>
      </c>
      <c r="H57" s="7" t="s">
        <v>73</v>
      </c>
      <c r="I57" s="7" t="s">
        <v>230</v>
      </c>
      <c r="J57" s="7">
        <v>5</v>
      </c>
      <c r="K57" s="9">
        <v>6962.49</v>
      </c>
      <c r="L57" s="9">
        <v>33071.83</v>
      </c>
      <c r="M57" s="10">
        <v>5</v>
      </c>
      <c r="N57" s="9">
        <v>5020.13</v>
      </c>
      <c r="O57" s="9">
        <v>175.45</v>
      </c>
      <c r="P57" s="7" t="s">
        <v>83</v>
      </c>
      <c r="Q57" s="7" t="s">
        <v>26</v>
      </c>
      <c r="R57" s="30">
        <f t="shared" si="0"/>
        <v>0.15179474495363576</v>
      </c>
    </row>
    <row r="58" spans="1:18" x14ac:dyDescent="0.35">
      <c r="A58" s="3" t="s">
        <v>231</v>
      </c>
      <c r="B58" s="4">
        <v>45331</v>
      </c>
      <c r="C58" s="3" t="s">
        <v>232</v>
      </c>
      <c r="D58" s="3" t="s">
        <v>29</v>
      </c>
      <c r="E58" s="3" t="s">
        <v>60</v>
      </c>
      <c r="F58" s="3" t="s">
        <v>104</v>
      </c>
      <c r="G58" s="3" t="s">
        <v>32</v>
      </c>
      <c r="H58" s="3" t="s">
        <v>86</v>
      </c>
      <c r="I58" s="3" t="s">
        <v>233</v>
      </c>
      <c r="J58" s="3">
        <v>4</v>
      </c>
      <c r="K58" s="5">
        <v>8484.75</v>
      </c>
      <c r="L58" s="5">
        <v>28848.15</v>
      </c>
      <c r="M58" s="6">
        <v>15</v>
      </c>
      <c r="N58" s="5">
        <v>3746.63</v>
      </c>
      <c r="O58" s="5">
        <v>76.7</v>
      </c>
      <c r="P58" s="3" t="s">
        <v>64</v>
      </c>
      <c r="Q58" s="3" t="s">
        <v>65</v>
      </c>
      <c r="R58" s="30">
        <f t="shared" si="0"/>
        <v>0.12987418603965939</v>
      </c>
    </row>
    <row r="59" spans="1:18" x14ac:dyDescent="0.35">
      <c r="A59" s="7" t="s">
        <v>234</v>
      </c>
      <c r="B59" s="8">
        <v>45332</v>
      </c>
      <c r="C59" s="7" t="s">
        <v>235</v>
      </c>
      <c r="D59" s="7" t="s">
        <v>29</v>
      </c>
      <c r="E59" s="7" t="s">
        <v>30</v>
      </c>
      <c r="F59" s="7" t="s">
        <v>31</v>
      </c>
      <c r="G59" s="7" t="s">
        <v>117</v>
      </c>
      <c r="H59" s="7" t="s">
        <v>118</v>
      </c>
      <c r="I59" s="7" t="s">
        <v>119</v>
      </c>
      <c r="J59" s="7">
        <v>1</v>
      </c>
      <c r="K59" s="9">
        <v>2304.41</v>
      </c>
      <c r="L59" s="9">
        <v>2304.41</v>
      </c>
      <c r="M59" s="10">
        <v>0</v>
      </c>
      <c r="N59" s="9">
        <v>625.85</v>
      </c>
      <c r="O59" s="9">
        <v>60.53</v>
      </c>
      <c r="P59" s="7" t="s">
        <v>45</v>
      </c>
      <c r="Q59" s="7" t="s">
        <v>65</v>
      </c>
      <c r="R59" s="30">
        <f t="shared" si="0"/>
        <v>0.27158795526837676</v>
      </c>
    </row>
    <row r="60" spans="1:18" x14ac:dyDescent="0.35">
      <c r="A60" s="3" t="s">
        <v>236</v>
      </c>
      <c r="B60" s="4">
        <v>45333</v>
      </c>
      <c r="C60" s="3" t="s">
        <v>237</v>
      </c>
      <c r="D60" s="3" t="s">
        <v>19</v>
      </c>
      <c r="E60" s="3" t="s">
        <v>60</v>
      </c>
      <c r="F60" s="3" t="s">
        <v>104</v>
      </c>
      <c r="G60" s="3" t="s">
        <v>22</v>
      </c>
      <c r="H60" s="3" t="s">
        <v>23</v>
      </c>
      <c r="I60" s="3" t="s">
        <v>238</v>
      </c>
      <c r="J60" s="3">
        <v>2</v>
      </c>
      <c r="K60" s="5">
        <v>63357.04</v>
      </c>
      <c r="L60" s="5">
        <v>107706.97</v>
      </c>
      <c r="M60" s="6">
        <v>15</v>
      </c>
      <c r="N60" s="5">
        <v>4460.93</v>
      </c>
      <c r="O60" s="5">
        <v>363.7</v>
      </c>
      <c r="P60" s="3" t="s">
        <v>25</v>
      </c>
      <c r="Q60" s="3" t="s">
        <v>26</v>
      </c>
      <c r="R60" s="30">
        <f t="shared" si="0"/>
        <v>4.1417282465563747E-2</v>
      </c>
    </row>
    <row r="61" spans="1:18" x14ac:dyDescent="0.35">
      <c r="A61" s="7" t="s">
        <v>239</v>
      </c>
      <c r="B61" s="8">
        <v>45333</v>
      </c>
      <c r="C61" s="7" t="s">
        <v>240</v>
      </c>
      <c r="D61" s="7" t="s">
        <v>29</v>
      </c>
      <c r="E61" s="7" t="s">
        <v>60</v>
      </c>
      <c r="F61" s="7" t="s">
        <v>68</v>
      </c>
      <c r="G61" s="7" t="s">
        <v>42</v>
      </c>
      <c r="H61" s="7" t="s">
        <v>43</v>
      </c>
      <c r="I61" s="7" t="s">
        <v>208</v>
      </c>
      <c r="J61" s="7">
        <v>2</v>
      </c>
      <c r="K61" s="9">
        <v>755.34</v>
      </c>
      <c r="L61" s="9">
        <v>1435.15</v>
      </c>
      <c r="M61" s="10">
        <v>5</v>
      </c>
      <c r="N61" s="9">
        <v>254.84</v>
      </c>
      <c r="O61" s="9">
        <v>132.69999999999999</v>
      </c>
      <c r="P61" s="7" t="s">
        <v>35</v>
      </c>
      <c r="Q61" s="7" t="s">
        <v>57</v>
      </c>
      <c r="R61" s="30">
        <f t="shared" si="0"/>
        <v>0.17757028881998396</v>
      </c>
    </row>
    <row r="62" spans="1:18" x14ac:dyDescent="0.35">
      <c r="A62" s="3" t="s">
        <v>241</v>
      </c>
      <c r="B62" s="4">
        <v>45333</v>
      </c>
      <c r="C62" s="3" t="s">
        <v>201</v>
      </c>
      <c r="D62" s="3" t="s">
        <v>19</v>
      </c>
      <c r="E62" s="3" t="s">
        <v>30</v>
      </c>
      <c r="F62" s="3" t="s">
        <v>48</v>
      </c>
      <c r="G62" s="3" t="s">
        <v>42</v>
      </c>
      <c r="H62" s="3" t="s">
        <v>43</v>
      </c>
      <c r="I62" s="3" t="s">
        <v>44</v>
      </c>
      <c r="J62" s="3">
        <v>1</v>
      </c>
      <c r="K62" s="5">
        <v>632.66999999999996</v>
      </c>
      <c r="L62" s="5">
        <v>632.66999999999996</v>
      </c>
      <c r="M62" s="6">
        <v>0</v>
      </c>
      <c r="N62" s="5">
        <v>38.58</v>
      </c>
      <c r="O62" s="5">
        <v>54.3</v>
      </c>
      <c r="P62" s="3" t="s">
        <v>64</v>
      </c>
      <c r="Q62" s="3" t="s">
        <v>26</v>
      </c>
      <c r="R62" s="30">
        <f t="shared" si="0"/>
        <v>6.0979657641424441E-2</v>
      </c>
    </row>
    <row r="63" spans="1:18" x14ac:dyDescent="0.35">
      <c r="A63" s="7" t="s">
        <v>242</v>
      </c>
      <c r="B63" s="8">
        <v>45334</v>
      </c>
      <c r="C63" s="7" t="s">
        <v>243</v>
      </c>
      <c r="D63" s="7" t="s">
        <v>39</v>
      </c>
      <c r="E63" s="7" t="s">
        <v>30</v>
      </c>
      <c r="F63" s="7" t="s">
        <v>48</v>
      </c>
      <c r="G63" s="7" t="s">
        <v>134</v>
      </c>
      <c r="H63" s="7" t="s">
        <v>244</v>
      </c>
      <c r="I63" s="7" t="s">
        <v>245</v>
      </c>
      <c r="J63" s="7">
        <v>2</v>
      </c>
      <c r="K63" s="9">
        <v>1308.6099999999999</v>
      </c>
      <c r="L63" s="9">
        <v>2355.5</v>
      </c>
      <c r="M63" s="10">
        <v>10</v>
      </c>
      <c r="N63" s="9">
        <v>420.06</v>
      </c>
      <c r="O63" s="9">
        <v>103.2</v>
      </c>
      <c r="P63" s="7" t="s">
        <v>25</v>
      </c>
      <c r="Q63" s="7" t="s">
        <v>26</v>
      </c>
      <c r="R63" s="30">
        <f t="shared" si="0"/>
        <v>0.17833156442368925</v>
      </c>
    </row>
    <row r="64" spans="1:18" x14ac:dyDescent="0.35">
      <c r="A64" s="3" t="s">
        <v>246</v>
      </c>
      <c r="B64" s="4">
        <v>45334</v>
      </c>
      <c r="C64" s="3" t="s">
        <v>247</v>
      </c>
      <c r="D64" s="3" t="s">
        <v>39</v>
      </c>
      <c r="E64" s="3" t="s">
        <v>20</v>
      </c>
      <c r="F64" s="3" t="s">
        <v>129</v>
      </c>
      <c r="G64" s="3" t="s">
        <v>42</v>
      </c>
      <c r="H64" s="3" t="s">
        <v>81</v>
      </c>
      <c r="I64" s="3" t="s">
        <v>248</v>
      </c>
      <c r="J64" s="3">
        <v>1</v>
      </c>
      <c r="K64" s="5">
        <v>819.57</v>
      </c>
      <c r="L64" s="5">
        <v>778.59</v>
      </c>
      <c r="M64" s="6">
        <v>5</v>
      </c>
      <c r="N64" s="5">
        <v>105</v>
      </c>
      <c r="O64" s="5">
        <v>107.45</v>
      </c>
      <c r="P64" s="3" t="s">
        <v>25</v>
      </c>
      <c r="Q64" s="3" t="s">
        <v>65</v>
      </c>
      <c r="R64" s="30">
        <f t="shared" si="0"/>
        <v>0.13485916849689825</v>
      </c>
    </row>
    <row r="65" spans="1:18" x14ac:dyDescent="0.35">
      <c r="A65" s="7" t="s">
        <v>249</v>
      </c>
      <c r="B65" s="8">
        <v>45334</v>
      </c>
      <c r="C65" s="7" t="s">
        <v>250</v>
      </c>
      <c r="D65" s="7" t="s">
        <v>29</v>
      </c>
      <c r="E65" s="7" t="s">
        <v>40</v>
      </c>
      <c r="F65" s="7" t="s">
        <v>109</v>
      </c>
      <c r="G65" s="7" t="s">
        <v>22</v>
      </c>
      <c r="H65" s="7" t="s">
        <v>105</v>
      </c>
      <c r="I65" s="7" t="s">
        <v>251</v>
      </c>
      <c r="J65" s="7">
        <v>1</v>
      </c>
      <c r="K65" s="9">
        <v>13691.47</v>
      </c>
      <c r="L65" s="9">
        <v>11637.75</v>
      </c>
      <c r="M65" s="10">
        <v>15</v>
      </c>
      <c r="N65" s="9">
        <v>376.42</v>
      </c>
      <c r="O65" s="9">
        <v>52.2</v>
      </c>
      <c r="P65" s="7" t="s">
        <v>83</v>
      </c>
      <c r="Q65" s="7" t="s">
        <v>65</v>
      </c>
      <c r="R65" s="30">
        <f t="shared" si="0"/>
        <v>3.2344740177439796E-2</v>
      </c>
    </row>
    <row r="66" spans="1:18" x14ac:dyDescent="0.35">
      <c r="A66" s="3" t="s">
        <v>252</v>
      </c>
      <c r="B66" s="4">
        <v>45335</v>
      </c>
      <c r="C66" s="3" t="s">
        <v>253</v>
      </c>
      <c r="D66" s="3" t="s">
        <v>29</v>
      </c>
      <c r="E66" s="3" t="s">
        <v>30</v>
      </c>
      <c r="F66" s="3" t="s">
        <v>48</v>
      </c>
      <c r="G66" s="3" t="s">
        <v>22</v>
      </c>
      <c r="H66" s="3" t="s">
        <v>105</v>
      </c>
      <c r="I66" s="3" t="s">
        <v>157</v>
      </c>
      <c r="J66" s="3">
        <v>1</v>
      </c>
      <c r="K66" s="5">
        <v>35569.17</v>
      </c>
      <c r="L66" s="5">
        <v>33790.71</v>
      </c>
      <c r="M66" s="6">
        <v>5</v>
      </c>
      <c r="N66" s="5">
        <v>720.68</v>
      </c>
      <c r="O66" s="5">
        <v>240.17</v>
      </c>
      <c r="P66" s="3" t="s">
        <v>64</v>
      </c>
      <c r="Q66" s="3" t="s">
        <v>26</v>
      </c>
      <c r="R66" s="30">
        <f t="shared" si="0"/>
        <v>2.1327755468884789E-2</v>
      </c>
    </row>
    <row r="67" spans="1:18" x14ac:dyDescent="0.35">
      <c r="A67" s="7" t="s">
        <v>254</v>
      </c>
      <c r="B67" s="8">
        <v>45336</v>
      </c>
      <c r="C67" s="7" t="s">
        <v>255</v>
      </c>
      <c r="D67" s="7" t="s">
        <v>39</v>
      </c>
      <c r="E67" s="7" t="s">
        <v>60</v>
      </c>
      <c r="F67" s="7" t="s">
        <v>68</v>
      </c>
      <c r="G67" s="7" t="s">
        <v>49</v>
      </c>
      <c r="H67" s="7" t="s">
        <v>50</v>
      </c>
      <c r="I67" s="7" t="s">
        <v>95</v>
      </c>
      <c r="J67" s="7">
        <v>2</v>
      </c>
      <c r="K67" s="9">
        <v>5294.85</v>
      </c>
      <c r="L67" s="9">
        <v>9530.73</v>
      </c>
      <c r="M67" s="10">
        <v>10</v>
      </c>
      <c r="N67" s="9">
        <v>1037.2</v>
      </c>
      <c r="O67" s="9">
        <v>357.33</v>
      </c>
      <c r="P67" s="7" t="s">
        <v>45</v>
      </c>
      <c r="Q67" s="7" t="s">
        <v>57</v>
      </c>
      <c r="R67" s="30">
        <f t="shared" ref="R67:R130" si="1">N67/L67</f>
        <v>0.108826920917915</v>
      </c>
    </row>
    <row r="68" spans="1:18" x14ac:dyDescent="0.35">
      <c r="A68" s="3" t="s">
        <v>256</v>
      </c>
      <c r="B68" s="4">
        <v>45337</v>
      </c>
      <c r="C68" s="3" t="s">
        <v>257</v>
      </c>
      <c r="D68" s="3" t="s">
        <v>29</v>
      </c>
      <c r="E68" s="3" t="s">
        <v>20</v>
      </c>
      <c r="F68" s="3" t="s">
        <v>129</v>
      </c>
      <c r="G68" s="3" t="s">
        <v>49</v>
      </c>
      <c r="H68" s="3" t="s">
        <v>98</v>
      </c>
      <c r="I68" s="3" t="s">
        <v>258</v>
      </c>
      <c r="J68" s="3">
        <v>2</v>
      </c>
      <c r="K68" s="5">
        <v>5132.25</v>
      </c>
      <c r="L68" s="5">
        <v>8211.6</v>
      </c>
      <c r="M68" s="6">
        <v>20</v>
      </c>
      <c r="N68" s="5">
        <v>249.97</v>
      </c>
      <c r="O68" s="5">
        <v>165.54</v>
      </c>
      <c r="P68" s="3" t="s">
        <v>35</v>
      </c>
      <c r="Q68" s="3" t="s">
        <v>57</v>
      </c>
      <c r="R68" s="30">
        <f t="shared" si="1"/>
        <v>3.0441083345511228E-2</v>
      </c>
    </row>
    <row r="69" spans="1:18" x14ac:dyDescent="0.35">
      <c r="A69" s="7" t="s">
        <v>259</v>
      </c>
      <c r="B69" s="8">
        <v>45338</v>
      </c>
      <c r="C69" s="7" t="s">
        <v>138</v>
      </c>
      <c r="D69" s="7" t="s">
        <v>39</v>
      </c>
      <c r="E69" s="7" t="s">
        <v>20</v>
      </c>
      <c r="F69" s="7" t="s">
        <v>54</v>
      </c>
      <c r="G69" s="7" t="s">
        <v>22</v>
      </c>
      <c r="H69" s="7" t="s">
        <v>55</v>
      </c>
      <c r="I69" s="7" t="s">
        <v>150</v>
      </c>
      <c r="J69" s="7">
        <v>3</v>
      </c>
      <c r="K69" s="9">
        <v>3082.36</v>
      </c>
      <c r="L69" s="9">
        <v>8784.73</v>
      </c>
      <c r="M69" s="10">
        <v>5</v>
      </c>
      <c r="N69" s="9">
        <v>840.03</v>
      </c>
      <c r="O69" s="9">
        <v>173.91</v>
      </c>
      <c r="P69" s="7" t="s">
        <v>83</v>
      </c>
      <c r="Q69" s="7" t="s">
        <v>65</v>
      </c>
      <c r="R69" s="30">
        <f t="shared" si="1"/>
        <v>9.5623883716403346E-2</v>
      </c>
    </row>
    <row r="70" spans="1:18" x14ac:dyDescent="0.35">
      <c r="A70" s="3" t="s">
        <v>260</v>
      </c>
      <c r="B70" s="4">
        <v>45339</v>
      </c>
      <c r="C70" s="3" t="s">
        <v>261</v>
      </c>
      <c r="D70" s="3" t="s">
        <v>19</v>
      </c>
      <c r="E70" s="3" t="s">
        <v>60</v>
      </c>
      <c r="F70" s="3" t="s">
        <v>104</v>
      </c>
      <c r="G70" s="3" t="s">
        <v>32</v>
      </c>
      <c r="H70" s="3" t="s">
        <v>86</v>
      </c>
      <c r="I70" s="3" t="s">
        <v>211</v>
      </c>
      <c r="J70" s="3">
        <v>2</v>
      </c>
      <c r="K70" s="5">
        <v>2456.9899999999998</v>
      </c>
      <c r="L70" s="5">
        <v>4913.9799999999996</v>
      </c>
      <c r="M70" s="6">
        <v>0</v>
      </c>
      <c r="N70" s="5">
        <v>1109.57</v>
      </c>
      <c r="O70" s="5">
        <v>273.77</v>
      </c>
      <c r="P70" s="3" t="s">
        <v>25</v>
      </c>
      <c r="Q70" s="3" t="s">
        <v>57</v>
      </c>
      <c r="R70" s="30">
        <f t="shared" si="1"/>
        <v>0.22579863979910378</v>
      </c>
    </row>
    <row r="71" spans="1:18" x14ac:dyDescent="0.35">
      <c r="A71" s="7" t="s">
        <v>262</v>
      </c>
      <c r="B71" s="8">
        <v>45341</v>
      </c>
      <c r="C71" s="7" t="s">
        <v>263</v>
      </c>
      <c r="D71" s="7" t="s">
        <v>39</v>
      </c>
      <c r="E71" s="7" t="s">
        <v>20</v>
      </c>
      <c r="F71" s="7" t="s">
        <v>129</v>
      </c>
      <c r="G71" s="7" t="s">
        <v>49</v>
      </c>
      <c r="H71" s="7" t="s">
        <v>62</v>
      </c>
      <c r="I71" s="7" t="s">
        <v>122</v>
      </c>
      <c r="J71" s="7">
        <v>1</v>
      </c>
      <c r="K71" s="9">
        <v>984.57</v>
      </c>
      <c r="L71" s="9">
        <v>787.66</v>
      </c>
      <c r="M71" s="10">
        <v>20</v>
      </c>
      <c r="N71" s="9">
        <v>21.96</v>
      </c>
      <c r="O71" s="9">
        <v>268.32</v>
      </c>
      <c r="P71" s="7" t="s">
        <v>25</v>
      </c>
      <c r="Q71" s="7" t="s">
        <v>57</v>
      </c>
      <c r="R71" s="30">
        <f t="shared" si="1"/>
        <v>2.7880049767666254E-2</v>
      </c>
    </row>
    <row r="72" spans="1:18" x14ac:dyDescent="0.35">
      <c r="A72" s="3" t="s">
        <v>264</v>
      </c>
      <c r="B72" s="4">
        <v>45342</v>
      </c>
      <c r="C72" s="3" t="s">
        <v>265</v>
      </c>
      <c r="D72" s="3" t="s">
        <v>39</v>
      </c>
      <c r="E72" s="3" t="s">
        <v>40</v>
      </c>
      <c r="F72" s="3" t="s">
        <v>90</v>
      </c>
      <c r="G72" s="3" t="s">
        <v>32</v>
      </c>
      <c r="H72" s="3" t="s">
        <v>73</v>
      </c>
      <c r="I72" s="3" t="s">
        <v>74</v>
      </c>
      <c r="J72" s="3">
        <v>1</v>
      </c>
      <c r="K72" s="5">
        <v>5800.94</v>
      </c>
      <c r="L72" s="5">
        <v>4930.8</v>
      </c>
      <c r="M72" s="6">
        <v>15</v>
      </c>
      <c r="N72" s="5">
        <v>2.84</v>
      </c>
      <c r="O72" s="5">
        <v>219.07</v>
      </c>
      <c r="P72" s="3" t="s">
        <v>83</v>
      </c>
      <c r="Q72" s="3" t="s">
        <v>65</v>
      </c>
      <c r="R72" s="30">
        <f t="shared" si="1"/>
        <v>5.759714447959763E-4</v>
      </c>
    </row>
    <row r="73" spans="1:18" x14ac:dyDescent="0.35">
      <c r="A73" s="7" t="s">
        <v>266</v>
      </c>
      <c r="B73" s="8">
        <v>45344</v>
      </c>
      <c r="C73" s="7" t="s">
        <v>267</v>
      </c>
      <c r="D73" s="7" t="s">
        <v>39</v>
      </c>
      <c r="E73" s="7" t="s">
        <v>60</v>
      </c>
      <c r="F73" s="7" t="s">
        <v>61</v>
      </c>
      <c r="G73" s="7" t="s">
        <v>49</v>
      </c>
      <c r="H73" s="7" t="s">
        <v>91</v>
      </c>
      <c r="I73" s="7" t="s">
        <v>188</v>
      </c>
      <c r="J73" s="7">
        <v>2</v>
      </c>
      <c r="K73" s="9">
        <v>8945.9</v>
      </c>
      <c r="L73" s="9">
        <v>15208.03</v>
      </c>
      <c r="M73" s="10">
        <v>15</v>
      </c>
      <c r="N73" s="9">
        <v>1746.2</v>
      </c>
      <c r="O73" s="9">
        <v>133.32</v>
      </c>
      <c r="P73" s="7" t="s">
        <v>45</v>
      </c>
      <c r="Q73" s="7" t="s">
        <v>26</v>
      </c>
      <c r="R73" s="30">
        <f t="shared" si="1"/>
        <v>0.11482092026383429</v>
      </c>
    </row>
    <row r="74" spans="1:18" x14ac:dyDescent="0.35">
      <c r="A74" s="3" t="s">
        <v>268</v>
      </c>
      <c r="B74" s="4">
        <v>45344</v>
      </c>
      <c r="C74" s="3" t="s">
        <v>269</v>
      </c>
      <c r="D74" s="3" t="s">
        <v>39</v>
      </c>
      <c r="E74" s="3" t="s">
        <v>20</v>
      </c>
      <c r="F74" s="3" t="s">
        <v>129</v>
      </c>
      <c r="G74" s="3" t="s">
        <v>134</v>
      </c>
      <c r="H74" s="3" t="s">
        <v>244</v>
      </c>
      <c r="I74" s="3" t="s">
        <v>270</v>
      </c>
      <c r="J74" s="3">
        <v>1</v>
      </c>
      <c r="K74" s="5">
        <v>1759.14</v>
      </c>
      <c r="L74" s="5">
        <v>1759.14</v>
      </c>
      <c r="M74" s="6">
        <v>0</v>
      </c>
      <c r="N74" s="5">
        <v>382.12</v>
      </c>
      <c r="O74" s="5">
        <v>96.92</v>
      </c>
      <c r="P74" s="3" t="s">
        <v>35</v>
      </c>
      <c r="Q74" s="3" t="s">
        <v>26</v>
      </c>
      <c r="R74" s="30">
        <f t="shared" si="1"/>
        <v>0.21721977784599292</v>
      </c>
    </row>
    <row r="75" spans="1:18" x14ac:dyDescent="0.35">
      <c r="A75" s="7" t="s">
        <v>271</v>
      </c>
      <c r="B75" s="8">
        <v>45344</v>
      </c>
      <c r="C75" s="7" t="s">
        <v>272</v>
      </c>
      <c r="D75" s="7" t="s">
        <v>39</v>
      </c>
      <c r="E75" s="7" t="s">
        <v>30</v>
      </c>
      <c r="F75" s="7" t="s">
        <v>31</v>
      </c>
      <c r="G75" s="7" t="s">
        <v>49</v>
      </c>
      <c r="H75" s="7" t="s">
        <v>91</v>
      </c>
      <c r="I75" s="7" t="s">
        <v>92</v>
      </c>
      <c r="J75" s="7">
        <v>2</v>
      </c>
      <c r="K75" s="9">
        <v>8017.83</v>
      </c>
      <c r="L75" s="9">
        <v>15233.88</v>
      </c>
      <c r="M75" s="10">
        <v>5</v>
      </c>
      <c r="N75" s="9">
        <v>3119.44</v>
      </c>
      <c r="O75" s="9">
        <v>70.63</v>
      </c>
      <c r="P75" s="7" t="s">
        <v>25</v>
      </c>
      <c r="Q75" s="7" t="s">
        <v>65</v>
      </c>
      <c r="R75" s="30">
        <f t="shared" si="1"/>
        <v>0.20476989447205834</v>
      </c>
    </row>
    <row r="76" spans="1:18" x14ac:dyDescent="0.35">
      <c r="A76" s="3" t="s">
        <v>273</v>
      </c>
      <c r="B76" s="4">
        <v>45345</v>
      </c>
      <c r="C76" s="3" t="s">
        <v>274</v>
      </c>
      <c r="D76" s="3" t="s">
        <v>39</v>
      </c>
      <c r="E76" s="3" t="s">
        <v>30</v>
      </c>
      <c r="F76" s="3" t="s">
        <v>48</v>
      </c>
      <c r="G76" s="3" t="s">
        <v>32</v>
      </c>
      <c r="H76" s="3" t="s">
        <v>73</v>
      </c>
      <c r="I76" s="3" t="s">
        <v>214</v>
      </c>
      <c r="J76" s="3">
        <v>1</v>
      </c>
      <c r="K76" s="5">
        <v>6630.16</v>
      </c>
      <c r="L76" s="5">
        <v>5967.14</v>
      </c>
      <c r="M76" s="6">
        <v>10</v>
      </c>
      <c r="N76" s="5">
        <v>1004.39</v>
      </c>
      <c r="O76" s="5">
        <v>116.89</v>
      </c>
      <c r="P76" s="3" t="s">
        <v>64</v>
      </c>
      <c r="Q76" s="3" t="s">
        <v>57</v>
      </c>
      <c r="R76" s="30">
        <f t="shared" si="1"/>
        <v>0.16832016678006548</v>
      </c>
    </row>
    <row r="77" spans="1:18" x14ac:dyDescent="0.35">
      <c r="A77" s="7" t="s">
        <v>275</v>
      </c>
      <c r="B77" s="8">
        <v>45345</v>
      </c>
      <c r="C77" s="7" t="s">
        <v>276</v>
      </c>
      <c r="D77" s="7" t="s">
        <v>39</v>
      </c>
      <c r="E77" s="7" t="s">
        <v>30</v>
      </c>
      <c r="F77" s="7" t="s">
        <v>48</v>
      </c>
      <c r="G77" s="7" t="s">
        <v>32</v>
      </c>
      <c r="H77" s="7" t="s">
        <v>73</v>
      </c>
      <c r="I77" s="7" t="s">
        <v>74</v>
      </c>
      <c r="J77" s="7">
        <v>1</v>
      </c>
      <c r="K77" s="9">
        <v>11641.59</v>
      </c>
      <c r="L77" s="9">
        <v>11059.51</v>
      </c>
      <c r="M77" s="10">
        <v>5</v>
      </c>
      <c r="N77" s="9">
        <v>2444.4299999999998</v>
      </c>
      <c r="O77" s="9">
        <v>252.73</v>
      </c>
      <c r="P77" s="7" t="s">
        <v>83</v>
      </c>
      <c r="Q77" s="7" t="s">
        <v>65</v>
      </c>
      <c r="R77" s="30">
        <f t="shared" si="1"/>
        <v>0.22102516295929928</v>
      </c>
    </row>
    <row r="78" spans="1:18" x14ac:dyDescent="0.35">
      <c r="A78" s="3" t="s">
        <v>277</v>
      </c>
      <c r="B78" s="4">
        <v>45349</v>
      </c>
      <c r="C78" s="3" t="s">
        <v>278</v>
      </c>
      <c r="D78" s="3" t="s">
        <v>29</v>
      </c>
      <c r="E78" s="3" t="s">
        <v>30</v>
      </c>
      <c r="F78" s="3" t="s">
        <v>226</v>
      </c>
      <c r="G78" s="3" t="s">
        <v>117</v>
      </c>
      <c r="H78" s="3" t="s">
        <v>118</v>
      </c>
      <c r="I78" s="3" t="s">
        <v>279</v>
      </c>
      <c r="J78" s="3">
        <v>3</v>
      </c>
      <c r="K78" s="5">
        <v>1247.92</v>
      </c>
      <c r="L78" s="5">
        <v>3743.76</v>
      </c>
      <c r="M78" s="6">
        <v>0</v>
      </c>
      <c r="N78" s="5">
        <v>1227.07</v>
      </c>
      <c r="O78" s="5">
        <v>277</v>
      </c>
      <c r="P78" s="3" t="s">
        <v>35</v>
      </c>
      <c r="Q78" s="3" t="s">
        <v>26</v>
      </c>
      <c r="R78" s="30">
        <f t="shared" si="1"/>
        <v>0.32776406607261144</v>
      </c>
    </row>
    <row r="79" spans="1:18" x14ac:dyDescent="0.35">
      <c r="A79" s="7" t="s">
        <v>280</v>
      </c>
      <c r="B79" s="8">
        <v>45349</v>
      </c>
      <c r="C79" s="7" t="s">
        <v>281</v>
      </c>
      <c r="D79" s="7" t="s">
        <v>39</v>
      </c>
      <c r="E79" s="7" t="s">
        <v>30</v>
      </c>
      <c r="F79" s="7" t="s">
        <v>48</v>
      </c>
      <c r="G79" s="7" t="s">
        <v>42</v>
      </c>
      <c r="H79" s="7" t="s">
        <v>43</v>
      </c>
      <c r="I79" s="7" t="s">
        <v>208</v>
      </c>
      <c r="J79" s="7">
        <v>3</v>
      </c>
      <c r="K79" s="9">
        <v>162.76</v>
      </c>
      <c r="L79" s="9">
        <v>463.87</v>
      </c>
      <c r="M79" s="10">
        <v>5</v>
      </c>
      <c r="N79" s="9">
        <v>46.36</v>
      </c>
      <c r="O79" s="9">
        <v>370.36</v>
      </c>
      <c r="P79" s="7" t="s">
        <v>64</v>
      </c>
      <c r="Q79" s="7" t="s">
        <v>26</v>
      </c>
      <c r="R79" s="30">
        <f t="shared" si="1"/>
        <v>9.9941794037122472E-2</v>
      </c>
    </row>
    <row r="80" spans="1:18" x14ac:dyDescent="0.35">
      <c r="A80" s="3" t="s">
        <v>282</v>
      </c>
      <c r="B80" s="4">
        <v>45349</v>
      </c>
      <c r="C80" s="3" t="s">
        <v>283</v>
      </c>
      <c r="D80" s="3" t="s">
        <v>29</v>
      </c>
      <c r="E80" s="3" t="s">
        <v>40</v>
      </c>
      <c r="F80" s="3" t="s">
        <v>109</v>
      </c>
      <c r="G80" s="3" t="s">
        <v>117</v>
      </c>
      <c r="H80" s="3" t="s">
        <v>153</v>
      </c>
      <c r="I80" s="3" t="s">
        <v>284</v>
      </c>
      <c r="J80" s="3">
        <v>3</v>
      </c>
      <c r="K80" s="5">
        <v>1926.68</v>
      </c>
      <c r="L80" s="5">
        <v>5202.04</v>
      </c>
      <c r="M80" s="6">
        <v>10</v>
      </c>
      <c r="N80" s="5">
        <v>1277.47</v>
      </c>
      <c r="O80" s="5">
        <v>238.55</v>
      </c>
      <c r="P80" s="3" t="s">
        <v>25</v>
      </c>
      <c r="Q80" s="3" t="s">
        <v>65</v>
      </c>
      <c r="R80" s="30">
        <f t="shared" si="1"/>
        <v>0.24557096831243128</v>
      </c>
    </row>
    <row r="81" spans="1:18" x14ac:dyDescent="0.35">
      <c r="A81" s="7" t="s">
        <v>285</v>
      </c>
      <c r="B81" s="8">
        <v>45349</v>
      </c>
      <c r="C81" s="7" t="s">
        <v>286</v>
      </c>
      <c r="D81" s="7" t="s">
        <v>29</v>
      </c>
      <c r="E81" s="7" t="s">
        <v>40</v>
      </c>
      <c r="F81" s="7" t="s">
        <v>109</v>
      </c>
      <c r="G81" s="7" t="s">
        <v>134</v>
      </c>
      <c r="H81" s="7" t="s">
        <v>135</v>
      </c>
      <c r="I81" s="7" t="s">
        <v>287</v>
      </c>
      <c r="J81" s="7">
        <v>4</v>
      </c>
      <c r="K81" s="9">
        <v>3984.89</v>
      </c>
      <c r="L81" s="9">
        <v>15939.56</v>
      </c>
      <c r="M81" s="10">
        <v>0</v>
      </c>
      <c r="N81" s="9">
        <v>4789.97</v>
      </c>
      <c r="O81" s="9">
        <v>386.8</v>
      </c>
      <c r="P81" s="7" t="s">
        <v>35</v>
      </c>
      <c r="Q81" s="7" t="s">
        <v>57</v>
      </c>
      <c r="R81" s="30">
        <f t="shared" si="1"/>
        <v>0.30050829508468241</v>
      </c>
    </row>
    <row r="82" spans="1:18" x14ac:dyDescent="0.35">
      <c r="A82" s="3" t="s">
        <v>288</v>
      </c>
      <c r="B82" s="4">
        <v>45349</v>
      </c>
      <c r="C82" s="3" t="s">
        <v>289</v>
      </c>
      <c r="D82" s="3" t="s">
        <v>39</v>
      </c>
      <c r="E82" s="3" t="s">
        <v>60</v>
      </c>
      <c r="F82" s="3" t="s">
        <v>104</v>
      </c>
      <c r="G82" s="3" t="s">
        <v>134</v>
      </c>
      <c r="H82" s="3" t="s">
        <v>139</v>
      </c>
      <c r="I82" s="3" t="s">
        <v>140</v>
      </c>
      <c r="J82" s="3">
        <v>1</v>
      </c>
      <c r="K82" s="5">
        <v>327.14999999999998</v>
      </c>
      <c r="L82" s="5">
        <v>261.72000000000003</v>
      </c>
      <c r="M82" s="6">
        <v>20</v>
      </c>
      <c r="N82" s="5">
        <v>5.65</v>
      </c>
      <c r="O82" s="5">
        <v>188.8</v>
      </c>
      <c r="P82" s="3" t="s">
        <v>35</v>
      </c>
      <c r="Q82" s="3" t="s">
        <v>57</v>
      </c>
      <c r="R82" s="30">
        <f t="shared" si="1"/>
        <v>2.1587956594834173E-2</v>
      </c>
    </row>
    <row r="83" spans="1:18" x14ac:dyDescent="0.35">
      <c r="A83" s="7" t="s">
        <v>290</v>
      </c>
      <c r="B83" s="8">
        <v>45350</v>
      </c>
      <c r="C83" s="7" t="s">
        <v>291</v>
      </c>
      <c r="D83" s="7" t="s">
        <v>29</v>
      </c>
      <c r="E83" s="7" t="s">
        <v>40</v>
      </c>
      <c r="F83" s="7" t="s">
        <v>77</v>
      </c>
      <c r="G83" s="7" t="s">
        <v>42</v>
      </c>
      <c r="H83" s="7" t="s">
        <v>81</v>
      </c>
      <c r="I83" s="7" t="s">
        <v>248</v>
      </c>
      <c r="J83" s="7">
        <v>1</v>
      </c>
      <c r="K83" s="9">
        <v>1089.28</v>
      </c>
      <c r="L83" s="9">
        <v>871.42</v>
      </c>
      <c r="M83" s="10">
        <v>20</v>
      </c>
      <c r="N83" s="9">
        <v>37.36</v>
      </c>
      <c r="O83" s="9">
        <v>285.95</v>
      </c>
      <c r="P83" s="7" t="s">
        <v>45</v>
      </c>
      <c r="Q83" s="7" t="s">
        <v>26</v>
      </c>
      <c r="R83" s="30">
        <f t="shared" si="1"/>
        <v>4.2872552844782079E-2</v>
      </c>
    </row>
    <row r="84" spans="1:18" x14ac:dyDescent="0.35">
      <c r="A84" s="3" t="s">
        <v>292</v>
      </c>
      <c r="B84" s="4">
        <v>45350</v>
      </c>
      <c r="C84" s="3" t="s">
        <v>293</v>
      </c>
      <c r="D84" s="3" t="s">
        <v>19</v>
      </c>
      <c r="E84" s="3" t="s">
        <v>30</v>
      </c>
      <c r="F84" s="3" t="s">
        <v>48</v>
      </c>
      <c r="G84" s="3" t="s">
        <v>117</v>
      </c>
      <c r="H84" s="3" t="s">
        <v>125</v>
      </c>
      <c r="I84" s="3" t="s">
        <v>196</v>
      </c>
      <c r="J84" s="3">
        <v>2</v>
      </c>
      <c r="K84" s="5">
        <v>1018.47</v>
      </c>
      <c r="L84" s="5">
        <v>1731.4</v>
      </c>
      <c r="M84" s="6">
        <v>15</v>
      </c>
      <c r="N84" s="5">
        <v>389.82</v>
      </c>
      <c r="O84" s="5">
        <v>71.849999999999994</v>
      </c>
      <c r="P84" s="3" t="s">
        <v>64</v>
      </c>
      <c r="Q84" s="3" t="s">
        <v>26</v>
      </c>
      <c r="R84" s="30">
        <f t="shared" si="1"/>
        <v>0.22514727965808015</v>
      </c>
    </row>
    <row r="85" spans="1:18" x14ac:dyDescent="0.35">
      <c r="A85" s="7" t="s">
        <v>294</v>
      </c>
      <c r="B85" s="8">
        <v>45350</v>
      </c>
      <c r="C85" s="7" t="s">
        <v>295</v>
      </c>
      <c r="D85" s="7" t="s">
        <v>39</v>
      </c>
      <c r="E85" s="7" t="s">
        <v>30</v>
      </c>
      <c r="F85" s="7" t="s">
        <v>226</v>
      </c>
      <c r="G85" s="7" t="s">
        <v>117</v>
      </c>
      <c r="H85" s="7" t="s">
        <v>153</v>
      </c>
      <c r="I85" s="7" t="s">
        <v>296</v>
      </c>
      <c r="J85" s="7">
        <v>1</v>
      </c>
      <c r="K85" s="9">
        <v>927.16</v>
      </c>
      <c r="L85" s="9">
        <v>741.73</v>
      </c>
      <c r="M85" s="10">
        <v>20</v>
      </c>
      <c r="N85" s="9">
        <v>96.84</v>
      </c>
      <c r="O85" s="9">
        <v>77.47</v>
      </c>
      <c r="P85" s="7" t="s">
        <v>64</v>
      </c>
      <c r="Q85" s="7" t="s">
        <v>65</v>
      </c>
      <c r="R85" s="30">
        <f t="shared" si="1"/>
        <v>0.1305596376039799</v>
      </c>
    </row>
    <row r="86" spans="1:18" x14ac:dyDescent="0.35">
      <c r="A86" s="3" t="s">
        <v>297</v>
      </c>
      <c r="B86" s="4">
        <v>45351</v>
      </c>
      <c r="C86" s="3" t="s">
        <v>298</v>
      </c>
      <c r="D86" s="3" t="s">
        <v>39</v>
      </c>
      <c r="E86" s="3" t="s">
        <v>20</v>
      </c>
      <c r="F86" s="3" t="s">
        <v>129</v>
      </c>
      <c r="G86" s="3" t="s">
        <v>49</v>
      </c>
      <c r="H86" s="3" t="s">
        <v>98</v>
      </c>
      <c r="I86" s="3" t="s">
        <v>299</v>
      </c>
      <c r="J86" s="3">
        <v>1</v>
      </c>
      <c r="K86" s="5">
        <v>3067.95</v>
      </c>
      <c r="L86" s="5">
        <v>2761.15</v>
      </c>
      <c r="M86" s="6">
        <v>10</v>
      </c>
      <c r="N86" s="5">
        <v>433.88</v>
      </c>
      <c r="O86" s="5">
        <v>276.69</v>
      </c>
      <c r="P86" s="3" t="s">
        <v>25</v>
      </c>
      <c r="Q86" s="3" t="s">
        <v>57</v>
      </c>
      <c r="R86" s="30">
        <f t="shared" si="1"/>
        <v>0.15713742462379804</v>
      </c>
    </row>
    <row r="87" spans="1:18" x14ac:dyDescent="0.35">
      <c r="A87" s="7" t="s">
        <v>300</v>
      </c>
      <c r="B87" s="8">
        <v>45352</v>
      </c>
      <c r="C87" s="7" t="s">
        <v>301</v>
      </c>
      <c r="D87" s="7" t="s">
        <v>39</v>
      </c>
      <c r="E87" s="7" t="s">
        <v>30</v>
      </c>
      <c r="F87" s="7" t="s">
        <v>48</v>
      </c>
      <c r="G87" s="7" t="s">
        <v>42</v>
      </c>
      <c r="H87" s="7" t="s">
        <v>172</v>
      </c>
      <c r="I87" s="7" t="s">
        <v>302</v>
      </c>
      <c r="J87" s="7">
        <v>3</v>
      </c>
      <c r="K87" s="9">
        <v>421.93</v>
      </c>
      <c r="L87" s="9">
        <v>1075.92</v>
      </c>
      <c r="M87" s="10">
        <v>15</v>
      </c>
      <c r="N87" s="9">
        <v>49.75</v>
      </c>
      <c r="O87" s="9">
        <v>248.34</v>
      </c>
      <c r="P87" s="7" t="s">
        <v>64</v>
      </c>
      <c r="Q87" s="7" t="s">
        <v>57</v>
      </c>
      <c r="R87" s="30">
        <f t="shared" si="1"/>
        <v>4.6239497360398542E-2</v>
      </c>
    </row>
    <row r="88" spans="1:18" x14ac:dyDescent="0.35">
      <c r="A88" s="3" t="s">
        <v>303</v>
      </c>
      <c r="B88" s="4">
        <v>45353</v>
      </c>
      <c r="C88" s="3" t="s">
        <v>304</v>
      </c>
      <c r="D88" s="3" t="s">
        <v>39</v>
      </c>
      <c r="E88" s="3" t="s">
        <v>20</v>
      </c>
      <c r="F88" s="3" t="s">
        <v>54</v>
      </c>
      <c r="G88" s="3" t="s">
        <v>134</v>
      </c>
      <c r="H88" s="3" t="s">
        <v>244</v>
      </c>
      <c r="I88" s="3" t="s">
        <v>245</v>
      </c>
      <c r="J88" s="3">
        <v>1</v>
      </c>
      <c r="K88" s="5">
        <v>2385.56</v>
      </c>
      <c r="L88" s="5">
        <v>2385.56</v>
      </c>
      <c r="M88" s="6">
        <v>0</v>
      </c>
      <c r="N88" s="5">
        <v>340.54</v>
      </c>
      <c r="O88" s="5">
        <v>62</v>
      </c>
      <c r="P88" s="3" t="s">
        <v>64</v>
      </c>
      <c r="Q88" s="3" t="s">
        <v>26</v>
      </c>
      <c r="R88" s="30">
        <f t="shared" si="1"/>
        <v>0.1427505491373095</v>
      </c>
    </row>
    <row r="89" spans="1:18" x14ac:dyDescent="0.35">
      <c r="A89" s="7" t="s">
        <v>305</v>
      </c>
      <c r="B89" s="8">
        <v>45353</v>
      </c>
      <c r="C89" s="7" t="s">
        <v>306</v>
      </c>
      <c r="D89" s="7" t="s">
        <v>39</v>
      </c>
      <c r="E89" s="7" t="s">
        <v>60</v>
      </c>
      <c r="F89" s="7" t="s">
        <v>104</v>
      </c>
      <c r="G89" s="7" t="s">
        <v>22</v>
      </c>
      <c r="H89" s="7" t="s">
        <v>23</v>
      </c>
      <c r="I89" s="7" t="s">
        <v>238</v>
      </c>
      <c r="J89" s="7">
        <v>1</v>
      </c>
      <c r="K89" s="9">
        <v>45372.5</v>
      </c>
      <c r="L89" s="9">
        <v>36298</v>
      </c>
      <c r="M89" s="10">
        <v>20</v>
      </c>
      <c r="N89" s="9">
        <v>-4489.6000000000004</v>
      </c>
      <c r="O89" s="9">
        <v>114.5</v>
      </c>
      <c r="P89" s="7" t="s">
        <v>64</v>
      </c>
      <c r="Q89" s="7" t="s">
        <v>65</v>
      </c>
      <c r="R89" s="30">
        <f t="shared" si="1"/>
        <v>-0.1236872554961706</v>
      </c>
    </row>
    <row r="90" spans="1:18" x14ac:dyDescent="0.35">
      <c r="A90" s="3" t="s">
        <v>307</v>
      </c>
      <c r="B90" s="4">
        <v>45354</v>
      </c>
      <c r="C90" s="3" t="s">
        <v>192</v>
      </c>
      <c r="D90" s="3" t="s">
        <v>29</v>
      </c>
      <c r="E90" s="3" t="s">
        <v>60</v>
      </c>
      <c r="F90" s="3" t="s">
        <v>104</v>
      </c>
      <c r="G90" s="3" t="s">
        <v>49</v>
      </c>
      <c r="H90" s="3" t="s">
        <v>91</v>
      </c>
      <c r="I90" s="3" t="s">
        <v>188</v>
      </c>
      <c r="J90" s="3">
        <v>1</v>
      </c>
      <c r="K90" s="5">
        <v>957.96</v>
      </c>
      <c r="L90" s="5">
        <v>957.96</v>
      </c>
      <c r="M90" s="6">
        <v>0</v>
      </c>
      <c r="N90" s="5">
        <v>249.47</v>
      </c>
      <c r="O90" s="5">
        <v>239.08</v>
      </c>
      <c r="P90" s="3" t="s">
        <v>35</v>
      </c>
      <c r="Q90" s="3" t="s">
        <v>57</v>
      </c>
      <c r="R90" s="30">
        <f t="shared" si="1"/>
        <v>0.26041797152281931</v>
      </c>
    </row>
    <row r="91" spans="1:18" x14ac:dyDescent="0.35">
      <c r="A91" s="7" t="s">
        <v>308</v>
      </c>
      <c r="B91" s="8">
        <v>45355</v>
      </c>
      <c r="C91" s="7" t="s">
        <v>309</v>
      </c>
      <c r="D91" s="7" t="s">
        <v>39</v>
      </c>
      <c r="E91" s="7" t="s">
        <v>20</v>
      </c>
      <c r="F91" s="7" t="s">
        <v>21</v>
      </c>
      <c r="G91" s="7" t="s">
        <v>117</v>
      </c>
      <c r="H91" s="7" t="s">
        <v>130</v>
      </c>
      <c r="I91" s="7" t="s">
        <v>310</v>
      </c>
      <c r="J91" s="7">
        <v>2</v>
      </c>
      <c r="K91" s="9">
        <v>2063.59</v>
      </c>
      <c r="L91" s="9">
        <v>3714.46</v>
      </c>
      <c r="M91" s="10">
        <v>10</v>
      </c>
      <c r="N91" s="9">
        <v>569.04999999999995</v>
      </c>
      <c r="O91" s="9">
        <v>58.55</v>
      </c>
      <c r="P91" s="7" t="s">
        <v>25</v>
      </c>
      <c r="Q91" s="7" t="s">
        <v>57</v>
      </c>
      <c r="R91" s="30">
        <f t="shared" si="1"/>
        <v>0.15319858068198336</v>
      </c>
    </row>
    <row r="92" spans="1:18" x14ac:dyDescent="0.35">
      <c r="A92" s="3" t="s">
        <v>311</v>
      </c>
      <c r="B92" s="4">
        <v>45356</v>
      </c>
      <c r="C92" s="3" t="s">
        <v>312</v>
      </c>
      <c r="D92" s="3" t="s">
        <v>39</v>
      </c>
      <c r="E92" s="3" t="s">
        <v>20</v>
      </c>
      <c r="F92" s="3" t="s">
        <v>54</v>
      </c>
      <c r="G92" s="3" t="s">
        <v>22</v>
      </c>
      <c r="H92" s="3" t="s">
        <v>23</v>
      </c>
      <c r="I92" s="3" t="s">
        <v>176</v>
      </c>
      <c r="J92" s="3">
        <v>4</v>
      </c>
      <c r="K92" s="5">
        <v>8668.81</v>
      </c>
      <c r="L92" s="5">
        <v>32941.480000000003</v>
      </c>
      <c r="M92" s="6">
        <v>5</v>
      </c>
      <c r="N92" s="5">
        <v>-224.86</v>
      </c>
      <c r="O92" s="5">
        <v>218.71</v>
      </c>
      <c r="P92" s="3" t="s">
        <v>45</v>
      </c>
      <c r="Q92" s="3" t="s">
        <v>26</v>
      </c>
      <c r="R92" s="30">
        <f t="shared" si="1"/>
        <v>-6.8260442457351638E-3</v>
      </c>
    </row>
    <row r="93" spans="1:18" x14ac:dyDescent="0.35">
      <c r="A93" s="7" t="s">
        <v>313</v>
      </c>
      <c r="B93" s="8">
        <v>45358</v>
      </c>
      <c r="C93" s="7" t="s">
        <v>314</v>
      </c>
      <c r="D93" s="7" t="s">
        <v>39</v>
      </c>
      <c r="E93" s="7" t="s">
        <v>30</v>
      </c>
      <c r="F93" s="7" t="s">
        <v>31</v>
      </c>
      <c r="G93" s="7" t="s">
        <v>134</v>
      </c>
      <c r="H93" s="7" t="s">
        <v>135</v>
      </c>
      <c r="I93" s="7" t="s">
        <v>136</v>
      </c>
      <c r="J93" s="7">
        <v>3</v>
      </c>
      <c r="K93" s="9">
        <v>3618.13</v>
      </c>
      <c r="L93" s="9">
        <v>9226.23</v>
      </c>
      <c r="M93" s="10">
        <v>15</v>
      </c>
      <c r="N93" s="9">
        <v>1065.5</v>
      </c>
      <c r="O93" s="9">
        <v>157.5</v>
      </c>
      <c r="P93" s="7" t="s">
        <v>64</v>
      </c>
      <c r="Q93" s="7" t="s">
        <v>57</v>
      </c>
      <c r="R93" s="30">
        <f t="shared" si="1"/>
        <v>0.11548595688596534</v>
      </c>
    </row>
    <row r="94" spans="1:18" x14ac:dyDescent="0.35">
      <c r="A94" s="3" t="s">
        <v>315</v>
      </c>
      <c r="B94" s="4">
        <v>45359</v>
      </c>
      <c r="C94" s="3" t="s">
        <v>316</v>
      </c>
      <c r="D94" s="3" t="s">
        <v>19</v>
      </c>
      <c r="E94" s="3" t="s">
        <v>60</v>
      </c>
      <c r="F94" s="3" t="s">
        <v>68</v>
      </c>
      <c r="G94" s="3" t="s">
        <v>22</v>
      </c>
      <c r="H94" s="3" t="s">
        <v>110</v>
      </c>
      <c r="I94" s="3" t="s">
        <v>317</v>
      </c>
      <c r="J94" s="3">
        <v>5</v>
      </c>
      <c r="K94" s="5">
        <v>57167.88</v>
      </c>
      <c r="L94" s="5">
        <v>285839.40000000002</v>
      </c>
      <c r="M94" s="6">
        <v>0</v>
      </c>
      <c r="N94" s="5">
        <v>23480.240000000002</v>
      </c>
      <c r="O94" s="5">
        <v>198.93</v>
      </c>
      <c r="P94" s="3" t="s">
        <v>83</v>
      </c>
      <c r="Q94" s="3" t="s">
        <v>57</v>
      </c>
      <c r="R94" s="30">
        <f t="shared" si="1"/>
        <v>8.2144868761969136E-2</v>
      </c>
    </row>
    <row r="95" spans="1:18" x14ac:dyDescent="0.35">
      <c r="A95" s="7" t="s">
        <v>318</v>
      </c>
      <c r="B95" s="8">
        <v>45362</v>
      </c>
      <c r="C95" s="7" t="s">
        <v>289</v>
      </c>
      <c r="D95" s="7" t="s">
        <v>19</v>
      </c>
      <c r="E95" s="7" t="s">
        <v>20</v>
      </c>
      <c r="F95" s="7" t="s">
        <v>21</v>
      </c>
      <c r="G95" s="7" t="s">
        <v>117</v>
      </c>
      <c r="H95" s="7" t="s">
        <v>130</v>
      </c>
      <c r="I95" s="7" t="s">
        <v>310</v>
      </c>
      <c r="J95" s="7">
        <v>3</v>
      </c>
      <c r="K95" s="9">
        <v>1569.03</v>
      </c>
      <c r="L95" s="9">
        <v>4707.09</v>
      </c>
      <c r="M95" s="10">
        <v>0</v>
      </c>
      <c r="N95" s="9">
        <v>1368.02</v>
      </c>
      <c r="O95" s="9">
        <v>170.55</v>
      </c>
      <c r="P95" s="7" t="s">
        <v>35</v>
      </c>
      <c r="Q95" s="7" t="s">
        <v>26</v>
      </c>
      <c r="R95" s="30">
        <f t="shared" si="1"/>
        <v>0.29062966716166461</v>
      </c>
    </row>
    <row r="96" spans="1:18" x14ac:dyDescent="0.35">
      <c r="A96" s="3" t="s">
        <v>319</v>
      </c>
      <c r="B96" s="4">
        <v>45363</v>
      </c>
      <c r="C96" s="3" t="s">
        <v>320</v>
      </c>
      <c r="D96" s="3" t="s">
        <v>39</v>
      </c>
      <c r="E96" s="3" t="s">
        <v>30</v>
      </c>
      <c r="F96" s="3" t="s">
        <v>31</v>
      </c>
      <c r="G96" s="3" t="s">
        <v>32</v>
      </c>
      <c r="H96" s="3" t="s">
        <v>143</v>
      </c>
      <c r="I96" s="3" t="s">
        <v>321</v>
      </c>
      <c r="J96" s="3">
        <v>1</v>
      </c>
      <c r="K96" s="5">
        <v>1501.6</v>
      </c>
      <c r="L96" s="5">
        <v>1351.44</v>
      </c>
      <c r="M96" s="6">
        <v>10</v>
      </c>
      <c r="N96" s="5">
        <v>54.81</v>
      </c>
      <c r="O96" s="5">
        <v>130.77000000000001</v>
      </c>
      <c r="P96" s="3" t="s">
        <v>25</v>
      </c>
      <c r="Q96" s="3" t="s">
        <v>65</v>
      </c>
      <c r="R96" s="30">
        <f t="shared" si="1"/>
        <v>4.055673947789025E-2</v>
      </c>
    </row>
    <row r="97" spans="1:18" x14ac:dyDescent="0.35">
      <c r="A97" s="7" t="s">
        <v>322</v>
      </c>
      <c r="B97" s="8">
        <v>45363</v>
      </c>
      <c r="C97" s="7" t="s">
        <v>232</v>
      </c>
      <c r="D97" s="7" t="s">
        <v>29</v>
      </c>
      <c r="E97" s="7" t="s">
        <v>60</v>
      </c>
      <c r="F97" s="7" t="s">
        <v>68</v>
      </c>
      <c r="G97" s="7" t="s">
        <v>22</v>
      </c>
      <c r="H97" s="7" t="s">
        <v>55</v>
      </c>
      <c r="I97" s="7" t="s">
        <v>323</v>
      </c>
      <c r="J97" s="7">
        <v>2</v>
      </c>
      <c r="K97" s="9">
        <v>60047.05</v>
      </c>
      <c r="L97" s="9">
        <v>120094.1</v>
      </c>
      <c r="M97" s="10">
        <v>0</v>
      </c>
      <c r="N97" s="9">
        <v>10854.71</v>
      </c>
      <c r="O97" s="9">
        <v>267.60000000000002</v>
      </c>
      <c r="P97" s="7" t="s">
        <v>64</v>
      </c>
      <c r="Q97" s="7" t="s">
        <v>26</v>
      </c>
      <c r="R97" s="30">
        <f t="shared" si="1"/>
        <v>9.0385039731344E-2</v>
      </c>
    </row>
    <row r="98" spans="1:18" x14ac:dyDescent="0.35">
      <c r="A98" s="3" t="s">
        <v>324</v>
      </c>
      <c r="B98" s="4">
        <v>45364</v>
      </c>
      <c r="C98" s="3" t="s">
        <v>325</v>
      </c>
      <c r="D98" s="3" t="s">
        <v>39</v>
      </c>
      <c r="E98" s="3" t="s">
        <v>20</v>
      </c>
      <c r="F98" s="3" t="s">
        <v>21</v>
      </c>
      <c r="G98" s="3" t="s">
        <v>117</v>
      </c>
      <c r="H98" s="3" t="s">
        <v>130</v>
      </c>
      <c r="I98" s="3" t="s">
        <v>326</v>
      </c>
      <c r="J98" s="3">
        <v>1</v>
      </c>
      <c r="K98" s="5">
        <v>1432.01</v>
      </c>
      <c r="L98" s="5">
        <v>1145.6099999999999</v>
      </c>
      <c r="M98" s="6">
        <v>20</v>
      </c>
      <c r="N98" s="5">
        <v>203.77</v>
      </c>
      <c r="O98" s="5">
        <v>297.56</v>
      </c>
      <c r="P98" s="3" t="s">
        <v>64</v>
      </c>
      <c r="Q98" s="3" t="s">
        <v>65</v>
      </c>
      <c r="R98" s="30">
        <f t="shared" si="1"/>
        <v>0.17787030490306477</v>
      </c>
    </row>
    <row r="99" spans="1:18" x14ac:dyDescent="0.35">
      <c r="A99" s="7" t="s">
        <v>327</v>
      </c>
      <c r="B99" s="8">
        <v>45365</v>
      </c>
      <c r="C99" s="7" t="s">
        <v>328</v>
      </c>
      <c r="D99" s="7" t="s">
        <v>19</v>
      </c>
      <c r="E99" s="7" t="s">
        <v>20</v>
      </c>
      <c r="F99" s="7" t="s">
        <v>54</v>
      </c>
      <c r="G99" s="7" t="s">
        <v>42</v>
      </c>
      <c r="H99" s="7" t="s">
        <v>164</v>
      </c>
      <c r="I99" s="7" t="s">
        <v>329</v>
      </c>
      <c r="J99" s="7">
        <v>1</v>
      </c>
      <c r="K99" s="9">
        <v>973.64</v>
      </c>
      <c r="L99" s="9">
        <v>876.28</v>
      </c>
      <c r="M99" s="10">
        <v>10</v>
      </c>
      <c r="N99" s="9">
        <v>147.31</v>
      </c>
      <c r="O99" s="9">
        <v>150.63999999999999</v>
      </c>
      <c r="P99" s="7" t="s">
        <v>35</v>
      </c>
      <c r="Q99" s="7" t="s">
        <v>57</v>
      </c>
      <c r="R99" s="30">
        <f t="shared" si="1"/>
        <v>0.16810836718856986</v>
      </c>
    </row>
    <row r="100" spans="1:18" x14ac:dyDescent="0.35">
      <c r="A100" s="3" t="s">
        <v>330</v>
      </c>
      <c r="B100" s="4">
        <v>45365</v>
      </c>
      <c r="C100" s="3" t="s">
        <v>331</v>
      </c>
      <c r="D100" s="3" t="s">
        <v>39</v>
      </c>
      <c r="E100" s="3" t="s">
        <v>30</v>
      </c>
      <c r="F100" s="3" t="s">
        <v>226</v>
      </c>
      <c r="G100" s="3" t="s">
        <v>42</v>
      </c>
      <c r="H100" s="3" t="s">
        <v>43</v>
      </c>
      <c r="I100" s="3" t="s">
        <v>44</v>
      </c>
      <c r="J100" s="3">
        <v>1</v>
      </c>
      <c r="K100" s="5">
        <v>1134.22</v>
      </c>
      <c r="L100" s="5">
        <v>1077.51</v>
      </c>
      <c r="M100" s="6">
        <v>5</v>
      </c>
      <c r="N100" s="5">
        <v>178.29</v>
      </c>
      <c r="O100" s="5">
        <v>45.95</v>
      </c>
      <c r="P100" s="3" t="s">
        <v>45</v>
      </c>
      <c r="Q100" s="3" t="s">
        <v>26</v>
      </c>
      <c r="R100" s="30">
        <f t="shared" si="1"/>
        <v>0.16546482167218865</v>
      </c>
    </row>
    <row r="101" spans="1:18" x14ac:dyDescent="0.35">
      <c r="A101" s="7" t="s">
        <v>332</v>
      </c>
      <c r="B101" s="8">
        <v>45366</v>
      </c>
      <c r="C101" s="7" t="s">
        <v>333</v>
      </c>
      <c r="D101" s="7" t="s">
        <v>39</v>
      </c>
      <c r="E101" s="7" t="s">
        <v>30</v>
      </c>
      <c r="F101" s="7" t="s">
        <v>31</v>
      </c>
      <c r="G101" s="7" t="s">
        <v>134</v>
      </c>
      <c r="H101" s="7" t="s">
        <v>244</v>
      </c>
      <c r="I101" s="7" t="s">
        <v>334</v>
      </c>
      <c r="J101" s="7">
        <v>4</v>
      </c>
      <c r="K101" s="9">
        <v>4176.43</v>
      </c>
      <c r="L101" s="9">
        <v>16705.72</v>
      </c>
      <c r="M101" s="10">
        <v>0</v>
      </c>
      <c r="N101" s="9">
        <v>2375.7600000000002</v>
      </c>
      <c r="O101" s="9">
        <v>368.91</v>
      </c>
      <c r="P101" s="7" t="s">
        <v>45</v>
      </c>
      <c r="Q101" s="7" t="s">
        <v>26</v>
      </c>
      <c r="R101" s="30">
        <f t="shared" si="1"/>
        <v>0.1422123679793508</v>
      </c>
    </row>
    <row r="102" spans="1:18" x14ac:dyDescent="0.35">
      <c r="A102" s="3" t="s">
        <v>335</v>
      </c>
      <c r="B102" s="4">
        <v>45367</v>
      </c>
      <c r="C102" s="3" t="s">
        <v>336</v>
      </c>
      <c r="D102" s="3" t="s">
        <v>19</v>
      </c>
      <c r="E102" s="3" t="s">
        <v>60</v>
      </c>
      <c r="F102" s="3" t="s">
        <v>72</v>
      </c>
      <c r="G102" s="3" t="s">
        <v>49</v>
      </c>
      <c r="H102" s="3" t="s">
        <v>91</v>
      </c>
      <c r="I102" s="3" t="s">
        <v>206</v>
      </c>
      <c r="J102" s="3">
        <v>1</v>
      </c>
      <c r="K102" s="5">
        <v>10180.959999999999</v>
      </c>
      <c r="L102" s="5">
        <v>7126.67</v>
      </c>
      <c r="M102" s="6">
        <v>30</v>
      </c>
      <c r="N102" s="5">
        <v>724.83</v>
      </c>
      <c r="O102" s="5">
        <v>129.83000000000001</v>
      </c>
      <c r="P102" s="3" t="s">
        <v>25</v>
      </c>
      <c r="Q102" s="3" t="s">
        <v>57</v>
      </c>
      <c r="R102" s="30">
        <f t="shared" si="1"/>
        <v>0.1017066876956559</v>
      </c>
    </row>
    <row r="103" spans="1:18" x14ac:dyDescent="0.35">
      <c r="A103" s="7" t="s">
        <v>337</v>
      </c>
      <c r="B103" s="8">
        <v>45367</v>
      </c>
      <c r="C103" s="7" t="s">
        <v>338</v>
      </c>
      <c r="D103" s="7" t="s">
        <v>39</v>
      </c>
      <c r="E103" s="7" t="s">
        <v>30</v>
      </c>
      <c r="F103" s="7" t="s">
        <v>31</v>
      </c>
      <c r="G103" s="7" t="s">
        <v>22</v>
      </c>
      <c r="H103" s="7" t="s">
        <v>110</v>
      </c>
      <c r="I103" s="7" t="s">
        <v>111</v>
      </c>
      <c r="J103" s="7">
        <v>1</v>
      </c>
      <c r="K103" s="9">
        <v>32313.16</v>
      </c>
      <c r="L103" s="9">
        <v>29081.84</v>
      </c>
      <c r="M103" s="10">
        <v>10</v>
      </c>
      <c r="N103" s="9">
        <v>1728.51</v>
      </c>
      <c r="O103" s="9">
        <v>238.71</v>
      </c>
      <c r="P103" s="7" t="s">
        <v>64</v>
      </c>
      <c r="Q103" s="7" t="s">
        <v>26</v>
      </c>
      <c r="R103" s="30">
        <f t="shared" si="1"/>
        <v>5.9436060441842742E-2</v>
      </c>
    </row>
    <row r="104" spans="1:18" x14ac:dyDescent="0.35">
      <c r="A104" s="3" t="s">
        <v>339</v>
      </c>
      <c r="B104" s="4">
        <v>45369</v>
      </c>
      <c r="C104" s="3" t="s">
        <v>340</v>
      </c>
      <c r="D104" s="3" t="s">
        <v>39</v>
      </c>
      <c r="E104" s="3" t="s">
        <v>30</v>
      </c>
      <c r="F104" s="3" t="s">
        <v>31</v>
      </c>
      <c r="G104" s="3" t="s">
        <v>49</v>
      </c>
      <c r="H104" s="3" t="s">
        <v>62</v>
      </c>
      <c r="I104" s="3" t="s">
        <v>341</v>
      </c>
      <c r="J104" s="3">
        <v>2</v>
      </c>
      <c r="K104" s="5">
        <v>5185.96</v>
      </c>
      <c r="L104" s="5">
        <v>9853.32</v>
      </c>
      <c r="M104" s="6">
        <v>5</v>
      </c>
      <c r="N104" s="5">
        <v>1927.77</v>
      </c>
      <c r="O104" s="5">
        <v>147.91</v>
      </c>
      <c r="P104" s="3" t="s">
        <v>83</v>
      </c>
      <c r="Q104" s="3" t="s">
        <v>65</v>
      </c>
      <c r="R104" s="30">
        <f t="shared" si="1"/>
        <v>0.19564674647732946</v>
      </c>
    </row>
    <row r="105" spans="1:18" x14ac:dyDescent="0.35">
      <c r="A105" s="7" t="s">
        <v>342</v>
      </c>
      <c r="B105" s="8">
        <v>45369</v>
      </c>
      <c r="C105" s="7" t="s">
        <v>343</v>
      </c>
      <c r="D105" s="7" t="s">
        <v>29</v>
      </c>
      <c r="E105" s="7" t="s">
        <v>30</v>
      </c>
      <c r="F105" s="7" t="s">
        <v>226</v>
      </c>
      <c r="G105" s="7" t="s">
        <v>32</v>
      </c>
      <c r="H105" s="7" t="s">
        <v>86</v>
      </c>
      <c r="I105" s="7" t="s">
        <v>233</v>
      </c>
      <c r="J105" s="7">
        <v>1</v>
      </c>
      <c r="K105" s="9">
        <v>9067.75</v>
      </c>
      <c r="L105" s="9">
        <v>7707.59</v>
      </c>
      <c r="M105" s="10">
        <v>15</v>
      </c>
      <c r="N105" s="9">
        <v>1408.21</v>
      </c>
      <c r="O105" s="9">
        <v>266.8</v>
      </c>
      <c r="P105" s="7" t="s">
        <v>45</v>
      </c>
      <c r="Q105" s="7" t="s">
        <v>65</v>
      </c>
      <c r="R105" s="30">
        <f t="shared" si="1"/>
        <v>0.18270432132482398</v>
      </c>
    </row>
    <row r="106" spans="1:18" x14ac:dyDescent="0.35">
      <c r="A106" s="3" t="s">
        <v>344</v>
      </c>
      <c r="B106" s="4">
        <v>45372</v>
      </c>
      <c r="C106" s="3" t="s">
        <v>345</v>
      </c>
      <c r="D106" s="3" t="s">
        <v>29</v>
      </c>
      <c r="E106" s="3" t="s">
        <v>20</v>
      </c>
      <c r="F106" s="3" t="s">
        <v>129</v>
      </c>
      <c r="G106" s="3" t="s">
        <v>134</v>
      </c>
      <c r="H106" s="3" t="s">
        <v>135</v>
      </c>
      <c r="I106" s="3" t="s">
        <v>287</v>
      </c>
      <c r="J106" s="3">
        <v>1</v>
      </c>
      <c r="K106" s="5">
        <v>1386.88</v>
      </c>
      <c r="L106" s="5">
        <v>1248.19</v>
      </c>
      <c r="M106" s="6">
        <v>10</v>
      </c>
      <c r="N106" s="5">
        <v>120.75</v>
      </c>
      <c r="O106" s="5">
        <v>196.42</v>
      </c>
      <c r="P106" s="3" t="s">
        <v>35</v>
      </c>
      <c r="Q106" s="3" t="s">
        <v>57</v>
      </c>
      <c r="R106" s="30">
        <f t="shared" si="1"/>
        <v>9.6740079635311921E-2</v>
      </c>
    </row>
    <row r="107" spans="1:18" x14ac:dyDescent="0.35">
      <c r="A107" s="7" t="s">
        <v>346</v>
      </c>
      <c r="B107" s="8">
        <v>45374</v>
      </c>
      <c r="C107" s="7" t="s">
        <v>250</v>
      </c>
      <c r="D107" s="7" t="s">
        <v>39</v>
      </c>
      <c r="E107" s="7" t="s">
        <v>60</v>
      </c>
      <c r="F107" s="7" t="s">
        <v>61</v>
      </c>
      <c r="G107" s="7" t="s">
        <v>22</v>
      </c>
      <c r="H107" s="7" t="s">
        <v>105</v>
      </c>
      <c r="I107" s="7" t="s">
        <v>251</v>
      </c>
      <c r="J107" s="7">
        <v>1</v>
      </c>
      <c r="K107" s="9">
        <v>63263.13</v>
      </c>
      <c r="L107" s="9">
        <v>63263.13</v>
      </c>
      <c r="M107" s="10">
        <v>0</v>
      </c>
      <c r="N107" s="9">
        <v>8037.17</v>
      </c>
      <c r="O107" s="9">
        <v>298.63</v>
      </c>
      <c r="P107" s="7" t="s">
        <v>83</v>
      </c>
      <c r="Q107" s="7" t="s">
        <v>36</v>
      </c>
      <c r="R107" s="30">
        <f t="shared" si="1"/>
        <v>0.12704350859655539</v>
      </c>
    </row>
    <row r="108" spans="1:18" x14ac:dyDescent="0.35">
      <c r="A108" s="3" t="s">
        <v>347</v>
      </c>
      <c r="B108" s="4">
        <v>45375</v>
      </c>
      <c r="C108" s="3" t="s">
        <v>348</v>
      </c>
      <c r="D108" s="3" t="s">
        <v>19</v>
      </c>
      <c r="E108" s="3" t="s">
        <v>60</v>
      </c>
      <c r="F108" s="3" t="s">
        <v>61</v>
      </c>
      <c r="G108" s="3" t="s">
        <v>32</v>
      </c>
      <c r="H108" s="3" t="s">
        <v>33</v>
      </c>
      <c r="I108" s="3" t="s">
        <v>69</v>
      </c>
      <c r="J108" s="3">
        <v>3</v>
      </c>
      <c r="K108" s="5">
        <v>5012.1000000000004</v>
      </c>
      <c r="L108" s="5">
        <v>12029.04</v>
      </c>
      <c r="M108" s="6">
        <v>20</v>
      </c>
      <c r="N108" s="5">
        <v>662.09</v>
      </c>
      <c r="O108" s="5">
        <v>147.75</v>
      </c>
      <c r="P108" s="3" t="s">
        <v>45</v>
      </c>
      <c r="Q108" s="3" t="s">
        <v>65</v>
      </c>
      <c r="R108" s="30">
        <f t="shared" si="1"/>
        <v>5.5040967525255544E-2</v>
      </c>
    </row>
    <row r="109" spans="1:18" x14ac:dyDescent="0.35">
      <c r="A109" s="7" t="s">
        <v>349</v>
      </c>
      <c r="B109" s="8">
        <v>45376</v>
      </c>
      <c r="C109" s="7" t="s">
        <v>312</v>
      </c>
      <c r="D109" s="7" t="s">
        <v>39</v>
      </c>
      <c r="E109" s="7" t="s">
        <v>30</v>
      </c>
      <c r="F109" s="7" t="s">
        <v>226</v>
      </c>
      <c r="G109" s="7" t="s">
        <v>49</v>
      </c>
      <c r="H109" s="7" t="s">
        <v>98</v>
      </c>
      <c r="I109" s="7" t="s">
        <v>299</v>
      </c>
      <c r="J109" s="7">
        <v>2</v>
      </c>
      <c r="K109" s="9">
        <v>14875.96</v>
      </c>
      <c r="L109" s="9">
        <v>22313.94</v>
      </c>
      <c r="M109" s="10">
        <v>25</v>
      </c>
      <c r="N109" s="9">
        <v>466.6</v>
      </c>
      <c r="O109" s="9">
        <v>259.14999999999998</v>
      </c>
      <c r="P109" s="7" t="s">
        <v>64</v>
      </c>
      <c r="Q109" s="7" t="s">
        <v>65</v>
      </c>
      <c r="R109" s="30">
        <f t="shared" si="1"/>
        <v>2.0910695287340561E-2</v>
      </c>
    </row>
    <row r="110" spans="1:18" x14ac:dyDescent="0.35">
      <c r="A110" s="3" t="s">
        <v>350</v>
      </c>
      <c r="B110" s="4">
        <v>45376</v>
      </c>
      <c r="C110" s="3" t="s">
        <v>351</v>
      </c>
      <c r="D110" s="3" t="s">
        <v>39</v>
      </c>
      <c r="E110" s="3" t="s">
        <v>60</v>
      </c>
      <c r="F110" s="3" t="s">
        <v>72</v>
      </c>
      <c r="G110" s="3" t="s">
        <v>22</v>
      </c>
      <c r="H110" s="3" t="s">
        <v>105</v>
      </c>
      <c r="I110" s="3" t="s">
        <v>157</v>
      </c>
      <c r="J110" s="3">
        <v>1</v>
      </c>
      <c r="K110" s="5">
        <v>20591.53</v>
      </c>
      <c r="L110" s="5">
        <v>18532.38</v>
      </c>
      <c r="M110" s="6">
        <v>10</v>
      </c>
      <c r="N110" s="5">
        <v>1370.82</v>
      </c>
      <c r="O110" s="5">
        <v>267.41000000000003</v>
      </c>
      <c r="P110" s="3" t="s">
        <v>45</v>
      </c>
      <c r="Q110" s="3" t="s">
        <v>57</v>
      </c>
      <c r="R110" s="30">
        <f t="shared" si="1"/>
        <v>7.3968912789398877E-2</v>
      </c>
    </row>
    <row r="111" spans="1:18" x14ac:dyDescent="0.35">
      <c r="A111" s="7" t="s">
        <v>352</v>
      </c>
      <c r="B111" s="8">
        <v>45378</v>
      </c>
      <c r="C111" s="7" t="s">
        <v>353</v>
      </c>
      <c r="D111" s="7" t="s">
        <v>39</v>
      </c>
      <c r="E111" s="7" t="s">
        <v>30</v>
      </c>
      <c r="F111" s="7" t="s">
        <v>48</v>
      </c>
      <c r="G111" s="7" t="s">
        <v>22</v>
      </c>
      <c r="H111" s="7" t="s">
        <v>105</v>
      </c>
      <c r="I111" s="7" t="s">
        <v>251</v>
      </c>
      <c r="J111" s="7">
        <v>1</v>
      </c>
      <c r="K111" s="9">
        <v>27674.48</v>
      </c>
      <c r="L111" s="9">
        <v>27674.48</v>
      </c>
      <c r="M111" s="10">
        <v>0</v>
      </c>
      <c r="N111" s="9">
        <v>1868.69</v>
      </c>
      <c r="O111" s="9">
        <v>93.24</v>
      </c>
      <c r="P111" s="7" t="s">
        <v>35</v>
      </c>
      <c r="Q111" s="7" t="s">
        <v>36</v>
      </c>
      <c r="R111" s="30">
        <f t="shared" si="1"/>
        <v>6.7523942635959192E-2</v>
      </c>
    </row>
    <row r="112" spans="1:18" x14ac:dyDescent="0.35">
      <c r="A112" s="3" t="s">
        <v>354</v>
      </c>
      <c r="B112" s="4">
        <v>45381</v>
      </c>
      <c r="C112" s="3" t="s">
        <v>355</v>
      </c>
      <c r="D112" s="3" t="s">
        <v>19</v>
      </c>
      <c r="E112" s="3" t="s">
        <v>40</v>
      </c>
      <c r="F112" s="3" t="s">
        <v>77</v>
      </c>
      <c r="G112" s="3" t="s">
        <v>117</v>
      </c>
      <c r="H112" s="3" t="s">
        <v>153</v>
      </c>
      <c r="I112" s="3" t="s">
        <v>356</v>
      </c>
      <c r="J112" s="3">
        <v>2</v>
      </c>
      <c r="K112" s="5">
        <v>933.64</v>
      </c>
      <c r="L112" s="5">
        <v>1867.28</v>
      </c>
      <c r="M112" s="6">
        <v>0</v>
      </c>
      <c r="N112" s="5">
        <v>482.69</v>
      </c>
      <c r="O112" s="5">
        <v>315.36</v>
      </c>
      <c r="P112" s="3" t="s">
        <v>64</v>
      </c>
      <c r="Q112" s="3" t="s">
        <v>36</v>
      </c>
      <c r="R112" s="30">
        <f t="shared" si="1"/>
        <v>0.25849899318795255</v>
      </c>
    </row>
    <row r="113" spans="1:18" x14ac:dyDescent="0.35">
      <c r="A113" s="7" t="s">
        <v>357</v>
      </c>
      <c r="B113" s="8">
        <v>45381</v>
      </c>
      <c r="C113" s="7" t="s">
        <v>358</v>
      </c>
      <c r="D113" s="7" t="s">
        <v>29</v>
      </c>
      <c r="E113" s="7" t="s">
        <v>60</v>
      </c>
      <c r="F113" s="7" t="s">
        <v>104</v>
      </c>
      <c r="G113" s="7" t="s">
        <v>22</v>
      </c>
      <c r="H113" s="7" t="s">
        <v>110</v>
      </c>
      <c r="I113" s="7" t="s">
        <v>359</v>
      </c>
      <c r="J113" s="7">
        <v>1</v>
      </c>
      <c r="K113" s="9">
        <v>7284.03</v>
      </c>
      <c r="L113" s="9">
        <v>6919.83</v>
      </c>
      <c r="M113" s="10">
        <v>5</v>
      </c>
      <c r="N113" s="9">
        <v>288.22000000000003</v>
      </c>
      <c r="O113" s="9">
        <v>174.02</v>
      </c>
      <c r="P113" s="7" t="s">
        <v>64</v>
      </c>
      <c r="Q113" s="7" t="s">
        <v>65</v>
      </c>
      <c r="R113" s="30">
        <f t="shared" si="1"/>
        <v>4.165131224321985E-2</v>
      </c>
    </row>
    <row r="114" spans="1:18" x14ac:dyDescent="0.35">
      <c r="A114" s="3" t="s">
        <v>360</v>
      </c>
      <c r="B114" s="4">
        <v>45381</v>
      </c>
      <c r="C114" s="3" t="s">
        <v>361</v>
      </c>
      <c r="D114" s="3" t="s">
        <v>19</v>
      </c>
      <c r="E114" s="3" t="s">
        <v>20</v>
      </c>
      <c r="F114" s="3" t="s">
        <v>129</v>
      </c>
      <c r="G114" s="3" t="s">
        <v>32</v>
      </c>
      <c r="H114" s="3" t="s">
        <v>73</v>
      </c>
      <c r="I114" s="3" t="s">
        <v>214</v>
      </c>
      <c r="J114" s="3">
        <v>1</v>
      </c>
      <c r="K114" s="5">
        <v>2671.66</v>
      </c>
      <c r="L114" s="5">
        <v>2270.91</v>
      </c>
      <c r="M114" s="6">
        <v>15</v>
      </c>
      <c r="N114" s="5">
        <v>241.33</v>
      </c>
      <c r="O114" s="5">
        <v>75.06</v>
      </c>
      <c r="P114" s="3" t="s">
        <v>45</v>
      </c>
      <c r="Q114" s="3" t="s">
        <v>36</v>
      </c>
      <c r="R114" s="30">
        <f t="shared" si="1"/>
        <v>0.10627017363083523</v>
      </c>
    </row>
    <row r="115" spans="1:18" x14ac:dyDescent="0.35">
      <c r="A115" s="7" t="s">
        <v>362</v>
      </c>
      <c r="B115" s="8">
        <v>45382</v>
      </c>
      <c r="C115" s="7" t="s">
        <v>269</v>
      </c>
      <c r="D115" s="7" t="s">
        <v>19</v>
      </c>
      <c r="E115" s="7" t="s">
        <v>40</v>
      </c>
      <c r="F115" s="7" t="s">
        <v>90</v>
      </c>
      <c r="G115" s="7" t="s">
        <v>32</v>
      </c>
      <c r="H115" s="7" t="s">
        <v>73</v>
      </c>
      <c r="I115" s="7" t="s">
        <v>214</v>
      </c>
      <c r="J115" s="7">
        <v>1</v>
      </c>
      <c r="K115" s="9">
        <v>11206.04</v>
      </c>
      <c r="L115" s="9">
        <v>10085.44</v>
      </c>
      <c r="M115" s="10">
        <v>10</v>
      </c>
      <c r="N115" s="9">
        <v>1343.39</v>
      </c>
      <c r="O115" s="9">
        <v>240.25</v>
      </c>
      <c r="P115" s="7" t="s">
        <v>25</v>
      </c>
      <c r="Q115" s="7" t="s">
        <v>26</v>
      </c>
      <c r="R115" s="30">
        <f t="shared" si="1"/>
        <v>0.13320093124345592</v>
      </c>
    </row>
    <row r="116" spans="1:18" x14ac:dyDescent="0.35">
      <c r="A116" s="3" t="s">
        <v>363</v>
      </c>
      <c r="B116" s="4">
        <v>45382</v>
      </c>
      <c r="C116" s="3" t="s">
        <v>364</v>
      </c>
      <c r="D116" s="3" t="s">
        <v>29</v>
      </c>
      <c r="E116" s="3" t="s">
        <v>60</v>
      </c>
      <c r="F116" s="3" t="s">
        <v>104</v>
      </c>
      <c r="G116" s="3" t="s">
        <v>117</v>
      </c>
      <c r="H116" s="3" t="s">
        <v>130</v>
      </c>
      <c r="I116" s="3" t="s">
        <v>310</v>
      </c>
      <c r="J116" s="3">
        <v>1</v>
      </c>
      <c r="K116" s="5">
        <v>2291.75</v>
      </c>
      <c r="L116" s="5">
        <v>2062.58</v>
      </c>
      <c r="M116" s="6">
        <v>10</v>
      </c>
      <c r="N116" s="5">
        <v>481.76</v>
      </c>
      <c r="O116" s="5">
        <v>261.08999999999997</v>
      </c>
      <c r="P116" s="3" t="s">
        <v>64</v>
      </c>
      <c r="Q116" s="3" t="s">
        <v>65</v>
      </c>
      <c r="R116" s="30">
        <f t="shared" si="1"/>
        <v>0.23357154631577928</v>
      </c>
    </row>
    <row r="117" spans="1:18" x14ac:dyDescent="0.35">
      <c r="A117" s="7" t="s">
        <v>365</v>
      </c>
      <c r="B117" s="8">
        <v>45383</v>
      </c>
      <c r="C117" s="7" t="s">
        <v>263</v>
      </c>
      <c r="D117" s="7" t="s">
        <v>39</v>
      </c>
      <c r="E117" s="7" t="s">
        <v>20</v>
      </c>
      <c r="F117" s="7" t="s">
        <v>54</v>
      </c>
      <c r="G117" s="7" t="s">
        <v>117</v>
      </c>
      <c r="H117" s="7" t="s">
        <v>130</v>
      </c>
      <c r="I117" s="7" t="s">
        <v>326</v>
      </c>
      <c r="J117" s="7">
        <v>4</v>
      </c>
      <c r="K117" s="9">
        <v>648.44000000000005</v>
      </c>
      <c r="L117" s="9">
        <v>1945.32</v>
      </c>
      <c r="M117" s="10">
        <v>25</v>
      </c>
      <c r="N117" s="9">
        <v>169.14</v>
      </c>
      <c r="O117" s="9">
        <v>359.93</v>
      </c>
      <c r="P117" s="7" t="s">
        <v>64</v>
      </c>
      <c r="Q117" s="7" t="s">
        <v>26</v>
      </c>
      <c r="R117" s="30">
        <f t="shared" si="1"/>
        <v>8.6947134661649494E-2</v>
      </c>
    </row>
    <row r="118" spans="1:18" x14ac:dyDescent="0.35">
      <c r="A118" s="3" t="s">
        <v>366</v>
      </c>
      <c r="B118" s="4">
        <v>45386</v>
      </c>
      <c r="C118" s="3" t="s">
        <v>167</v>
      </c>
      <c r="D118" s="3" t="s">
        <v>39</v>
      </c>
      <c r="E118" s="3" t="s">
        <v>20</v>
      </c>
      <c r="F118" s="3" t="s">
        <v>21</v>
      </c>
      <c r="G118" s="3" t="s">
        <v>42</v>
      </c>
      <c r="H118" s="3" t="s">
        <v>164</v>
      </c>
      <c r="I118" s="3" t="s">
        <v>165</v>
      </c>
      <c r="J118" s="3">
        <v>4</v>
      </c>
      <c r="K118" s="5">
        <v>269.24</v>
      </c>
      <c r="L118" s="5">
        <v>1023.11</v>
      </c>
      <c r="M118" s="6">
        <v>5</v>
      </c>
      <c r="N118" s="5">
        <v>150.16999999999999</v>
      </c>
      <c r="O118" s="5">
        <v>289.89999999999998</v>
      </c>
      <c r="P118" s="3" t="s">
        <v>35</v>
      </c>
      <c r="Q118" s="3" t="s">
        <v>65</v>
      </c>
      <c r="R118" s="30">
        <f t="shared" si="1"/>
        <v>0.1467779613140327</v>
      </c>
    </row>
    <row r="119" spans="1:18" x14ac:dyDescent="0.35">
      <c r="A119" s="7" t="s">
        <v>367</v>
      </c>
      <c r="B119" s="8">
        <v>45387</v>
      </c>
      <c r="C119" s="7" t="s">
        <v>368</v>
      </c>
      <c r="D119" s="7" t="s">
        <v>39</v>
      </c>
      <c r="E119" s="7" t="s">
        <v>30</v>
      </c>
      <c r="F119" s="7" t="s">
        <v>226</v>
      </c>
      <c r="G119" s="7" t="s">
        <v>117</v>
      </c>
      <c r="H119" s="7" t="s">
        <v>130</v>
      </c>
      <c r="I119" s="7" t="s">
        <v>131</v>
      </c>
      <c r="J119" s="7">
        <v>1</v>
      </c>
      <c r="K119" s="9">
        <v>1463.22</v>
      </c>
      <c r="L119" s="9">
        <v>1024.25</v>
      </c>
      <c r="M119" s="10">
        <v>30</v>
      </c>
      <c r="N119" s="9">
        <v>146.76</v>
      </c>
      <c r="O119" s="9">
        <v>258.67</v>
      </c>
      <c r="P119" s="7" t="s">
        <v>45</v>
      </c>
      <c r="Q119" s="7" t="s">
        <v>26</v>
      </c>
      <c r="R119" s="30">
        <f t="shared" si="1"/>
        <v>0.14328533072980229</v>
      </c>
    </row>
    <row r="120" spans="1:18" x14ac:dyDescent="0.35">
      <c r="A120" s="3" t="s">
        <v>369</v>
      </c>
      <c r="B120" s="4">
        <v>45388</v>
      </c>
      <c r="C120" s="3" t="s">
        <v>370</v>
      </c>
      <c r="D120" s="3" t="s">
        <v>39</v>
      </c>
      <c r="E120" s="3" t="s">
        <v>40</v>
      </c>
      <c r="F120" s="3" t="s">
        <v>109</v>
      </c>
      <c r="G120" s="3" t="s">
        <v>42</v>
      </c>
      <c r="H120" s="3" t="s">
        <v>43</v>
      </c>
      <c r="I120" s="3" t="s">
        <v>44</v>
      </c>
      <c r="J120" s="3">
        <v>5</v>
      </c>
      <c r="K120" s="5">
        <v>484.54</v>
      </c>
      <c r="L120" s="5">
        <v>2180.4299999999998</v>
      </c>
      <c r="M120" s="6">
        <v>10</v>
      </c>
      <c r="N120" s="5">
        <v>-45.71</v>
      </c>
      <c r="O120" s="5">
        <v>379.14</v>
      </c>
      <c r="P120" s="3" t="s">
        <v>64</v>
      </c>
      <c r="Q120" s="3" t="s">
        <v>26</v>
      </c>
      <c r="R120" s="30">
        <f t="shared" si="1"/>
        <v>-2.0963754855693604E-2</v>
      </c>
    </row>
    <row r="121" spans="1:18" x14ac:dyDescent="0.35">
      <c r="A121" s="7" t="s">
        <v>371</v>
      </c>
      <c r="B121" s="8">
        <v>45390</v>
      </c>
      <c r="C121" s="7" t="s">
        <v>372</v>
      </c>
      <c r="D121" s="7" t="s">
        <v>39</v>
      </c>
      <c r="E121" s="7" t="s">
        <v>30</v>
      </c>
      <c r="F121" s="7" t="s">
        <v>226</v>
      </c>
      <c r="G121" s="7" t="s">
        <v>134</v>
      </c>
      <c r="H121" s="7" t="s">
        <v>139</v>
      </c>
      <c r="I121" s="7" t="s">
        <v>147</v>
      </c>
      <c r="J121" s="7">
        <v>5</v>
      </c>
      <c r="K121" s="9">
        <v>2195.83</v>
      </c>
      <c r="L121" s="9">
        <v>10979.15</v>
      </c>
      <c r="M121" s="10">
        <v>0</v>
      </c>
      <c r="N121" s="9">
        <v>2656.96</v>
      </c>
      <c r="O121" s="9">
        <v>311.98</v>
      </c>
      <c r="P121" s="7" t="s">
        <v>35</v>
      </c>
      <c r="Q121" s="7" t="s">
        <v>65</v>
      </c>
      <c r="R121" s="30">
        <f t="shared" si="1"/>
        <v>0.24200051916587351</v>
      </c>
    </row>
    <row r="122" spans="1:18" x14ac:dyDescent="0.35">
      <c r="A122" s="3" t="s">
        <v>373</v>
      </c>
      <c r="B122" s="4">
        <v>45391</v>
      </c>
      <c r="C122" s="3" t="s">
        <v>283</v>
      </c>
      <c r="D122" s="3" t="s">
        <v>39</v>
      </c>
      <c r="E122" s="3" t="s">
        <v>60</v>
      </c>
      <c r="F122" s="3" t="s">
        <v>104</v>
      </c>
      <c r="G122" s="3" t="s">
        <v>117</v>
      </c>
      <c r="H122" s="3" t="s">
        <v>153</v>
      </c>
      <c r="I122" s="3" t="s">
        <v>356</v>
      </c>
      <c r="J122" s="3">
        <v>4</v>
      </c>
      <c r="K122" s="5">
        <v>1758.97</v>
      </c>
      <c r="L122" s="5">
        <v>5980.5</v>
      </c>
      <c r="M122" s="6">
        <v>15</v>
      </c>
      <c r="N122" s="5">
        <v>671.68</v>
      </c>
      <c r="O122" s="5">
        <v>118.71</v>
      </c>
      <c r="P122" s="3" t="s">
        <v>83</v>
      </c>
      <c r="Q122" s="3" t="s">
        <v>26</v>
      </c>
      <c r="R122" s="30">
        <f t="shared" si="1"/>
        <v>0.11231167962544937</v>
      </c>
    </row>
    <row r="123" spans="1:18" x14ac:dyDescent="0.35">
      <c r="A123" s="7" t="s">
        <v>374</v>
      </c>
      <c r="B123" s="8">
        <v>45391</v>
      </c>
      <c r="C123" s="7" t="s">
        <v>375</v>
      </c>
      <c r="D123" s="7" t="s">
        <v>19</v>
      </c>
      <c r="E123" s="7" t="s">
        <v>30</v>
      </c>
      <c r="F123" s="7" t="s">
        <v>48</v>
      </c>
      <c r="G123" s="7" t="s">
        <v>32</v>
      </c>
      <c r="H123" s="7" t="s">
        <v>143</v>
      </c>
      <c r="I123" s="7" t="s">
        <v>321</v>
      </c>
      <c r="J123" s="7">
        <v>2</v>
      </c>
      <c r="K123" s="9">
        <v>2057.2600000000002</v>
      </c>
      <c r="L123" s="9">
        <v>2880.16</v>
      </c>
      <c r="M123" s="10">
        <v>30</v>
      </c>
      <c r="N123" s="9">
        <v>-69.5</v>
      </c>
      <c r="O123" s="9">
        <v>276.04000000000002</v>
      </c>
      <c r="P123" s="7" t="s">
        <v>25</v>
      </c>
      <c r="Q123" s="7" t="s">
        <v>65</v>
      </c>
      <c r="R123" s="30">
        <f t="shared" si="1"/>
        <v>-2.4130603855341371E-2</v>
      </c>
    </row>
    <row r="124" spans="1:18" x14ac:dyDescent="0.35">
      <c r="A124" s="3" t="s">
        <v>376</v>
      </c>
      <c r="B124" s="4">
        <v>45393</v>
      </c>
      <c r="C124" s="3" t="s">
        <v>377</v>
      </c>
      <c r="D124" s="3" t="s">
        <v>39</v>
      </c>
      <c r="E124" s="3" t="s">
        <v>40</v>
      </c>
      <c r="F124" s="3" t="s">
        <v>109</v>
      </c>
      <c r="G124" s="3" t="s">
        <v>49</v>
      </c>
      <c r="H124" s="3" t="s">
        <v>62</v>
      </c>
      <c r="I124" s="3" t="s">
        <v>122</v>
      </c>
      <c r="J124" s="3">
        <v>1</v>
      </c>
      <c r="K124" s="5">
        <v>14703.81</v>
      </c>
      <c r="L124" s="5">
        <v>10292.67</v>
      </c>
      <c r="M124" s="6">
        <v>30</v>
      </c>
      <c r="N124" s="5">
        <v>-237.72</v>
      </c>
      <c r="O124" s="5">
        <v>249.8</v>
      </c>
      <c r="P124" s="3" t="s">
        <v>64</v>
      </c>
      <c r="Q124" s="3" t="s">
        <v>65</v>
      </c>
      <c r="R124" s="30">
        <f t="shared" si="1"/>
        <v>-2.3096047964230856E-2</v>
      </c>
    </row>
    <row r="125" spans="1:18" x14ac:dyDescent="0.35">
      <c r="A125" s="7" t="s">
        <v>378</v>
      </c>
      <c r="B125" s="8">
        <v>45393</v>
      </c>
      <c r="C125" s="7" t="s">
        <v>379</v>
      </c>
      <c r="D125" s="7" t="s">
        <v>39</v>
      </c>
      <c r="E125" s="7" t="s">
        <v>60</v>
      </c>
      <c r="F125" s="7" t="s">
        <v>72</v>
      </c>
      <c r="G125" s="7" t="s">
        <v>117</v>
      </c>
      <c r="H125" s="7" t="s">
        <v>130</v>
      </c>
      <c r="I125" s="7" t="s">
        <v>131</v>
      </c>
      <c r="J125" s="7">
        <v>1</v>
      </c>
      <c r="K125" s="9">
        <v>368.35</v>
      </c>
      <c r="L125" s="9">
        <v>349.93</v>
      </c>
      <c r="M125" s="10">
        <v>5</v>
      </c>
      <c r="N125" s="9">
        <v>116.21</v>
      </c>
      <c r="O125" s="9">
        <v>228.24</v>
      </c>
      <c r="P125" s="7" t="s">
        <v>83</v>
      </c>
      <c r="Q125" s="7" t="s">
        <v>65</v>
      </c>
      <c r="R125" s="30">
        <f t="shared" si="1"/>
        <v>0.33209499042665674</v>
      </c>
    </row>
    <row r="126" spans="1:18" x14ac:dyDescent="0.35">
      <c r="A126" s="3" t="s">
        <v>380</v>
      </c>
      <c r="B126" s="4">
        <v>45393</v>
      </c>
      <c r="C126" s="3" t="s">
        <v>381</v>
      </c>
      <c r="D126" s="3" t="s">
        <v>29</v>
      </c>
      <c r="E126" s="3" t="s">
        <v>40</v>
      </c>
      <c r="F126" s="3" t="s">
        <v>90</v>
      </c>
      <c r="G126" s="3" t="s">
        <v>134</v>
      </c>
      <c r="H126" s="3" t="s">
        <v>135</v>
      </c>
      <c r="I126" s="3" t="s">
        <v>382</v>
      </c>
      <c r="J126" s="3">
        <v>2</v>
      </c>
      <c r="K126" s="5">
        <v>1716.85</v>
      </c>
      <c r="L126" s="5">
        <v>3433.7</v>
      </c>
      <c r="M126" s="6">
        <v>0</v>
      </c>
      <c r="N126" s="5">
        <v>646.41</v>
      </c>
      <c r="O126" s="5">
        <v>51.18</v>
      </c>
      <c r="P126" s="3" t="s">
        <v>35</v>
      </c>
      <c r="Q126" s="3" t="s">
        <v>26</v>
      </c>
      <c r="R126" s="30">
        <f t="shared" si="1"/>
        <v>0.18825465241576142</v>
      </c>
    </row>
    <row r="127" spans="1:18" x14ac:dyDescent="0.35">
      <c r="A127" s="7" t="s">
        <v>383</v>
      </c>
      <c r="B127" s="8">
        <v>45397</v>
      </c>
      <c r="C127" s="7" t="s">
        <v>384</v>
      </c>
      <c r="D127" s="7" t="s">
        <v>19</v>
      </c>
      <c r="E127" s="7" t="s">
        <v>60</v>
      </c>
      <c r="F127" s="7" t="s">
        <v>72</v>
      </c>
      <c r="G127" s="7" t="s">
        <v>32</v>
      </c>
      <c r="H127" s="7" t="s">
        <v>143</v>
      </c>
      <c r="I127" s="7" t="s">
        <v>385</v>
      </c>
      <c r="J127" s="7">
        <v>2</v>
      </c>
      <c r="K127" s="9">
        <v>474</v>
      </c>
      <c r="L127" s="9">
        <v>853.2</v>
      </c>
      <c r="M127" s="10">
        <v>10</v>
      </c>
      <c r="N127" s="9">
        <v>166.7</v>
      </c>
      <c r="O127" s="9">
        <v>155.66</v>
      </c>
      <c r="P127" s="7" t="s">
        <v>64</v>
      </c>
      <c r="Q127" s="7" t="s">
        <v>26</v>
      </c>
      <c r="R127" s="30">
        <f t="shared" si="1"/>
        <v>0.19538209095171119</v>
      </c>
    </row>
    <row r="128" spans="1:18" x14ac:dyDescent="0.35">
      <c r="A128" s="3" t="s">
        <v>386</v>
      </c>
      <c r="B128" s="4">
        <v>45398</v>
      </c>
      <c r="C128" s="3" t="s">
        <v>387</v>
      </c>
      <c r="D128" s="3" t="s">
        <v>19</v>
      </c>
      <c r="E128" s="3" t="s">
        <v>20</v>
      </c>
      <c r="F128" s="3" t="s">
        <v>129</v>
      </c>
      <c r="G128" s="3" t="s">
        <v>49</v>
      </c>
      <c r="H128" s="3" t="s">
        <v>91</v>
      </c>
      <c r="I128" s="3" t="s">
        <v>92</v>
      </c>
      <c r="J128" s="3">
        <v>2</v>
      </c>
      <c r="K128" s="5">
        <v>4436.4399999999996</v>
      </c>
      <c r="L128" s="5">
        <v>7985.59</v>
      </c>
      <c r="M128" s="6">
        <v>10</v>
      </c>
      <c r="N128" s="5">
        <v>1339.82</v>
      </c>
      <c r="O128" s="5">
        <v>126.15</v>
      </c>
      <c r="P128" s="3" t="s">
        <v>25</v>
      </c>
      <c r="Q128" s="3" t="s">
        <v>57</v>
      </c>
      <c r="R128" s="30">
        <f t="shared" si="1"/>
        <v>0.16777971320841664</v>
      </c>
    </row>
    <row r="129" spans="1:18" x14ac:dyDescent="0.35">
      <c r="A129" s="7" t="s">
        <v>388</v>
      </c>
      <c r="B129" s="8">
        <v>45400</v>
      </c>
      <c r="C129" s="7" t="s">
        <v>89</v>
      </c>
      <c r="D129" s="7" t="s">
        <v>29</v>
      </c>
      <c r="E129" s="7" t="s">
        <v>40</v>
      </c>
      <c r="F129" s="7" t="s">
        <v>77</v>
      </c>
      <c r="G129" s="7" t="s">
        <v>134</v>
      </c>
      <c r="H129" s="7" t="s">
        <v>139</v>
      </c>
      <c r="I129" s="7" t="s">
        <v>140</v>
      </c>
      <c r="J129" s="7">
        <v>1</v>
      </c>
      <c r="K129" s="9">
        <v>2853.2</v>
      </c>
      <c r="L129" s="9">
        <v>2710.54</v>
      </c>
      <c r="M129" s="10">
        <v>5</v>
      </c>
      <c r="N129" s="9">
        <v>418.87</v>
      </c>
      <c r="O129" s="9">
        <v>129</v>
      </c>
      <c r="P129" s="7" t="s">
        <v>64</v>
      </c>
      <c r="Q129" s="7" t="s">
        <v>65</v>
      </c>
      <c r="R129" s="30">
        <f t="shared" si="1"/>
        <v>0.15453378293624148</v>
      </c>
    </row>
    <row r="130" spans="1:18" x14ac:dyDescent="0.35">
      <c r="A130" s="3" t="s">
        <v>389</v>
      </c>
      <c r="B130" s="4">
        <v>45400</v>
      </c>
      <c r="C130" s="3" t="s">
        <v>390</v>
      </c>
      <c r="D130" s="3" t="s">
        <v>39</v>
      </c>
      <c r="E130" s="3" t="s">
        <v>20</v>
      </c>
      <c r="F130" s="3" t="s">
        <v>129</v>
      </c>
      <c r="G130" s="3" t="s">
        <v>117</v>
      </c>
      <c r="H130" s="3" t="s">
        <v>130</v>
      </c>
      <c r="I130" s="3" t="s">
        <v>391</v>
      </c>
      <c r="J130" s="3">
        <v>2</v>
      </c>
      <c r="K130" s="5">
        <v>2372.73</v>
      </c>
      <c r="L130" s="5">
        <v>4745.46</v>
      </c>
      <c r="M130" s="6">
        <v>0</v>
      </c>
      <c r="N130" s="5">
        <v>1495.12</v>
      </c>
      <c r="O130" s="5">
        <v>296.45999999999998</v>
      </c>
      <c r="P130" s="3" t="s">
        <v>25</v>
      </c>
      <c r="Q130" s="3" t="s">
        <v>65</v>
      </c>
      <c r="R130" s="30">
        <f t="shared" si="1"/>
        <v>0.31506323939091258</v>
      </c>
    </row>
    <row r="131" spans="1:18" x14ac:dyDescent="0.35">
      <c r="A131" s="7" t="s">
        <v>392</v>
      </c>
      <c r="B131" s="8">
        <v>45402</v>
      </c>
      <c r="C131" s="7" t="s">
        <v>393</v>
      </c>
      <c r="D131" s="7" t="s">
        <v>19</v>
      </c>
      <c r="E131" s="7" t="s">
        <v>60</v>
      </c>
      <c r="F131" s="7" t="s">
        <v>68</v>
      </c>
      <c r="G131" s="7" t="s">
        <v>32</v>
      </c>
      <c r="H131" s="7" t="s">
        <v>73</v>
      </c>
      <c r="I131" s="7" t="s">
        <v>74</v>
      </c>
      <c r="J131" s="7">
        <v>4</v>
      </c>
      <c r="K131" s="9">
        <v>8687.32</v>
      </c>
      <c r="L131" s="9">
        <v>29536.89</v>
      </c>
      <c r="M131" s="10">
        <v>15</v>
      </c>
      <c r="N131" s="9">
        <v>2224.4299999999998</v>
      </c>
      <c r="O131" s="9">
        <v>317.88</v>
      </c>
      <c r="P131" s="7" t="s">
        <v>64</v>
      </c>
      <c r="Q131" s="7" t="s">
        <v>36</v>
      </c>
      <c r="R131" s="30">
        <f t="shared" ref="R131:R194" si="2">N131/L131</f>
        <v>7.5310230697950925E-2</v>
      </c>
    </row>
    <row r="132" spans="1:18" x14ac:dyDescent="0.35">
      <c r="A132" s="3" t="s">
        <v>394</v>
      </c>
      <c r="B132" s="4">
        <v>45402</v>
      </c>
      <c r="C132" s="3" t="s">
        <v>395</v>
      </c>
      <c r="D132" s="3" t="s">
        <v>39</v>
      </c>
      <c r="E132" s="3" t="s">
        <v>60</v>
      </c>
      <c r="F132" s="3" t="s">
        <v>68</v>
      </c>
      <c r="G132" s="3" t="s">
        <v>134</v>
      </c>
      <c r="H132" s="3" t="s">
        <v>244</v>
      </c>
      <c r="I132" s="3" t="s">
        <v>245</v>
      </c>
      <c r="J132" s="3">
        <v>2</v>
      </c>
      <c r="K132" s="5">
        <v>1636.88</v>
      </c>
      <c r="L132" s="5">
        <v>2455.3200000000002</v>
      </c>
      <c r="M132" s="6">
        <v>25</v>
      </c>
      <c r="N132" s="5">
        <v>291.85000000000002</v>
      </c>
      <c r="O132" s="5">
        <v>201.49</v>
      </c>
      <c r="P132" s="3" t="s">
        <v>35</v>
      </c>
      <c r="Q132" s="3" t="s">
        <v>65</v>
      </c>
      <c r="R132" s="30">
        <f t="shared" si="2"/>
        <v>0.11886434354788786</v>
      </c>
    </row>
    <row r="133" spans="1:18" x14ac:dyDescent="0.35">
      <c r="A133" s="7" t="s">
        <v>396</v>
      </c>
      <c r="B133" s="8">
        <v>45402</v>
      </c>
      <c r="C133" s="7" t="s">
        <v>274</v>
      </c>
      <c r="D133" s="7" t="s">
        <v>39</v>
      </c>
      <c r="E133" s="7" t="s">
        <v>30</v>
      </c>
      <c r="F133" s="7" t="s">
        <v>48</v>
      </c>
      <c r="G133" s="7" t="s">
        <v>117</v>
      </c>
      <c r="H133" s="7" t="s">
        <v>153</v>
      </c>
      <c r="I133" s="7" t="s">
        <v>356</v>
      </c>
      <c r="J133" s="7">
        <v>1</v>
      </c>
      <c r="K133" s="9">
        <v>2074.1</v>
      </c>
      <c r="L133" s="9">
        <v>1970.39</v>
      </c>
      <c r="M133" s="10">
        <v>5</v>
      </c>
      <c r="N133" s="9">
        <v>544.04</v>
      </c>
      <c r="O133" s="9">
        <v>55.64</v>
      </c>
      <c r="P133" s="7" t="s">
        <v>83</v>
      </c>
      <c r="Q133" s="7" t="s">
        <v>36</v>
      </c>
      <c r="R133" s="30">
        <f t="shared" si="2"/>
        <v>0.27610777561802485</v>
      </c>
    </row>
    <row r="134" spans="1:18" x14ac:dyDescent="0.35">
      <c r="A134" s="3" t="s">
        <v>397</v>
      </c>
      <c r="B134" s="4">
        <v>45403</v>
      </c>
      <c r="C134" s="3" t="s">
        <v>398</v>
      </c>
      <c r="D134" s="3" t="s">
        <v>19</v>
      </c>
      <c r="E134" s="3" t="s">
        <v>20</v>
      </c>
      <c r="F134" s="3" t="s">
        <v>129</v>
      </c>
      <c r="G134" s="3" t="s">
        <v>22</v>
      </c>
      <c r="H134" s="3" t="s">
        <v>55</v>
      </c>
      <c r="I134" s="3" t="s">
        <v>399</v>
      </c>
      <c r="J134" s="3">
        <v>4</v>
      </c>
      <c r="K134" s="5">
        <v>53310.53</v>
      </c>
      <c r="L134" s="5">
        <v>213242.12</v>
      </c>
      <c r="M134" s="6">
        <v>0</v>
      </c>
      <c r="N134" s="5">
        <v>16416.830000000002</v>
      </c>
      <c r="O134" s="5">
        <v>363.62</v>
      </c>
      <c r="P134" s="3" t="s">
        <v>64</v>
      </c>
      <c r="Q134" s="3" t="s">
        <v>57</v>
      </c>
      <c r="R134" s="30">
        <f t="shared" si="2"/>
        <v>7.6986807296794843E-2</v>
      </c>
    </row>
    <row r="135" spans="1:18" x14ac:dyDescent="0.35">
      <c r="A135" s="7" t="s">
        <v>400</v>
      </c>
      <c r="B135" s="8">
        <v>45403</v>
      </c>
      <c r="C135" s="7" t="s">
        <v>401</v>
      </c>
      <c r="D135" s="7" t="s">
        <v>39</v>
      </c>
      <c r="E135" s="7" t="s">
        <v>20</v>
      </c>
      <c r="F135" s="7" t="s">
        <v>54</v>
      </c>
      <c r="G135" s="7" t="s">
        <v>42</v>
      </c>
      <c r="H135" s="7" t="s">
        <v>172</v>
      </c>
      <c r="I135" s="7" t="s">
        <v>223</v>
      </c>
      <c r="J135" s="7">
        <v>3</v>
      </c>
      <c r="K135" s="9">
        <v>332.96</v>
      </c>
      <c r="L135" s="9">
        <v>898.99</v>
      </c>
      <c r="M135" s="10">
        <v>10</v>
      </c>
      <c r="N135" s="9">
        <v>73.680000000000007</v>
      </c>
      <c r="O135" s="9">
        <v>374.96</v>
      </c>
      <c r="P135" s="7" t="s">
        <v>25</v>
      </c>
      <c r="Q135" s="7" t="s">
        <v>57</v>
      </c>
      <c r="R135" s="30">
        <f t="shared" si="2"/>
        <v>8.1958642476557028E-2</v>
      </c>
    </row>
    <row r="136" spans="1:18" x14ac:dyDescent="0.35">
      <c r="A136" s="3" t="s">
        <v>402</v>
      </c>
      <c r="B136" s="4">
        <v>45404</v>
      </c>
      <c r="C136" s="3" t="s">
        <v>403</v>
      </c>
      <c r="D136" s="3" t="s">
        <v>39</v>
      </c>
      <c r="E136" s="3" t="s">
        <v>60</v>
      </c>
      <c r="F136" s="3" t="s">
        <v>104</v>
      </c>
      <c r="G136" s="3" t="s">
        <v>134</v>
      </c>
      <c r="H136" s="3" t="s">
        <v>244</v>
      </c>
      <c r="I136" s="3" t="s">
        <v>270</v>
      </c>
      <c r="J136" s="3">
        <v>1</v>
      </c>
      <c r="K136" s="5">
        <v>2236.9</v>
      </c>
      <c r="L136" s="5">
        <v>1677.68</v>
      </c>
      <c r="M136" s="6">
        <v>25</v>
      </c>
      <c r="N136" s="5">
        <v>117.98</v>
      </c>
      <c r="O136" s="5">
        <v>333.74</v>
      </c>
      <c r="P136" s="3" t="s">
        <v>35</v>
      </c>
      <c r="Q136" s="3" t="s">
        <v>65</v>
      </c>
      <c r="R136" s="30">
        <f t="shared" si="2"/>
        <v>7.0323303609746798E-2</v>
      </c>
    </row>
    <row r="137" spans="1:18" x14ac:dyDescent="0.35">
      <c r="A137" s="7" t="s">
        <v>404</v>
      </c>
      <c r="B137" s="8">
        <v>45405</v>
      </c>
      <c r="C137" s="7" t="s">
        <v>97</v>
      </c>
      <c r="D137" s="7" t="s">
        <v>19</v>
      </c>
      <c r="E137" s="7" t="s">
        <v>30</v>
      </c>
      <c r="F137" s="7" t="s">
        <v>31</v>
      </c>
      <c r="G137" s="7" t="s">
        <v>22</v>
      </c>
      <c r="H137" s="7" t="s">
        <v>110</v>
      </c>
      <c r="I137" s="7" t="s">
        <v>359</v>
      </c>
      <c r="J137" s="7">
        <v>4</v>
      </c>
      <c r="K137" s="9">
        <v>41250.160000000003</v>
      </c>
      <c r="L137" s="9">
        <v>156750.60999999999</v>
      </c>
      <c r="M137" s="10">
        <v>5</v>
      </c>
      <c r="N137" s="9">
        <v>12629.85</v>
      </c>
      <c r="O137" s="9">
        <v>282.19</v>
      </c>
      <c r="P137" s="7" t="s">
        <v>25</v>
      </c>
      <c r="Q137" s="7" t="s">
        <v>65</v>
      </c>
      <c r="R137" s="30">
        <f t="shared" si="2"/>
        <v>8.0572892188425949E-2</v>
      </c>
    </row>
    <row r="138" spans="1:18" x14ac:dyDescent="0.35">
      <c r="A138" s="3" t="s">
        <v>405</v>
      </c>
      <c r="B138" s="4">
        <v>45407</v>
      </c>
      <c r="C138" s="3" t="s">
        <v>406</v>
      </c>
      <c r="D138" s="3" t="s">
        <v>29</v>
      </c>
      <c r="E138" s="3" t="s">
        <v>40</v>
      </c>
      <c r="F138" s="3" t="s">
        <v>77</v>
      </c>
      <c r="G138" s="3" t="s">
        <v>22</v>
      </c>
      <c r="H138" s="3" t="s">
        <v>105</v>
      </c>
      <c r="I138" s="3" t="s">
        <v>157</v>
      </c>
      <c r="J138" s="3">
        <v>2</v>
      </c>
      <c r="K138" s="5">
        <v>24027.73</v>
      </c>
      <c r="L138" s="5">
        <v>43249.91</v>
      </c>
      <c r="M138" s="6">
        <v>10</v>
      </c>
      <c r="N138" s="5">
        <v>1811.44</v>
      </c>
      <c r="O138" s="5">
        <v>148.07</v>
      </c>
      <c r="P138" s="3" t="s">
        <v>45</v>
      </c>
      <c r="Q138" s="3" t="s">
        <v>26</v>
      </c>
      <c r="R138" s="30">
        <f t="shared" si="2"/>
        <v>4.1883092935915932E-2</v>
      </c>
    </row>
    <row r="139" spans="1:18" x14ac:dyDescent="0.35">
      <c r="A139" s="7" t="s">
        <v>407</v>
      </c>
      <c r="B139" s="8">
        <v>45408</v>
      </c>
      <c r="C139" s="7" t="s">
        <v>408</v>
      </c>
      <c r="D139" s="7" t="s">
        <v>39</v>
      </c>
      <c r="E139" s="7" t="s">
        <v>20</v>
      </c>
      <c r="F139" s="7" t="s">
        <v>21</v>
      </c>
      <c r="G139" s="7" t="s">
        <v>117</v>
      </c>
      <c r="H139" s="7" t="s">
        <v>153</v>
      </c>
      <c r="I139" s="7" t="s">
        <v>284</v>
      </c>
      <c r="J139" s="7">
        <v>2</v>
      </c>
      <c r="K139" s="9">
        <v>1557.61</v>
      </c>
      <c r="L139" s="9">
        <v>2803.7</v>
      </c>
      <c r="M139" s="10">
        <v>10</v>
      </c>
      <c r="N139" s="9">
        <v>658.37</v>
      </c>
      <c r="O139" s="9">
        <v>92.87</v>
      </c>
      <c r="P139" s="7" t="s">
        <v>35</v>
      </c>
      <c r="Q139" s="7" t="s">
        <v>57</v>
      </c>
      <c r="R139" s="30">
        <f t="shared" si="2"/>
        <v>0.23482184256518174</v>
      </c>
    </row>
    <row r="140" spans="1:18" x14ac:dyDescent="0.35">
      <c r="A140" s="3" t="s">
        <v>409</v>
      </c>
      <c r="B140" s="4">
        <v>45409</v>
      </c>
      <c r="C140" s="3" t="s">
        <v>410</v>
      </c>
      <c r="D140" s="3" t="s">
        <v>39</v>
      </c>
      <c r="E140" s="3" t="s">
        <v>20</v>
      </c>
      <c r="F140" s="3" t="s">
        <v>129</v>
      </c>
      <c r="G140" s="3" t="s">
        <v>134</v>
      </c>
      <c r="H140" s="3" t="s">
        <v>244</v>
      </c>
      <c r="I140" s="3" t="s">
        <v>411</v>
      </c>
      <c r="J140" s="3">
        <v>2</v>
      </c>
      <c r="K140" s="5">
        <v>1572.67</v>
      </c>
      <c r="L140" s="5">
        <v>3145.34</v>
      </c>
      <c r="M140" s="6">
        <v>0</v>
      </c>
      <c r="N140" s="5">
        <v>667.51</v>
      </c>
      <c r="O140" s="5">
        <v>354.3</v>
      </c>
      <c r="P140" s="3" t="s">
        <v>83</v>
      </c>
      <c r="Q140" s="3" t="s">
        <v>36</v>
      </c>
      <c r="R140" s="30">
        <f t="shared" si="2"/>
        <v>0.21222189016131801</v>
      </c>
    </row>
    <row r="141" spans="1:18" x14ac:dyDescent="0.35">
      <c r="A141" s="7" t="s">
        <v>412</v>
      </c>
      <c r="B141" s="8">
        <v>45409</v>
      </c>
      <c r="C141" s="7" t="s">
        <v>413</v>
      </c>
      <c r="D141" s="7" t="s">
        <v>19</v>
      </c>
      <c r="E141" s="7" t="s">
        <v>20</v>
      </c>
      <c r="F141" s="7" t="s">
        <v>129</v>
      </c>
      <c r="G141" s="7" t="s">
        <v>49</v>
      </c>
      <c r="H141" s="7" t="s">
        <v>98</v>
      </c>
      <c r="I141" s="7" t="s">
        <v>299</v>
      </c>
      <c r="J141" s="7">
        <v>3</v>
      </c>
      <c r="K141" s="9">
        <v>2045.56</v>
      </c>
      <c r="L141" s="9">
        <v>6136.68</v>
      </c>
      <c r="M141" s="10">
        <v>0</v>
      </c>
      <c r="N141" s="9">
        <v>1134.9000000000001</v>
      </c>
      <c r="O141" s="9">
        <v>264.12</v>
      </c>
      <c r="P141" s="7" t="s">
        <v>25</v>
      </c>
      <c r="Q141" s="7" t="s">
        <v>65</v>
      </c>
      <c r="R141" s="30">
        <f t="shared" si="2"/>
        <v>0.18493713213007684</v>
      </c>
    </row>
    <row r="142" spans="1:18" x14ac:dyDescent="0.35">
      <c r="A142" s="3" t="s">
        <v>414</v>
      </c>
      <c r="B142" s="4">
        <v>45410</v>
      </c>
      <c r="C142" s="3" t="s">
        <v>415</v>
      </c>
      <c r="D142" s="3" t="s">
        <v>19</v>
      </c>
      <c r="E142" s="3" t="s">
        <v>20</v>
      </c>
      <c r="F142" s="3" t="s">
        <v>54</v>
      </c>
      <c r="G142" s="3" t="s">
        <v>22</v>
      </c>
      <c r="H142" s="3" t="s">
        <v>55</v>
      </c>
      <c r="I142" s="3" t="s">
        <v>416</v>
      </c>
      <c r="J142" s="3">
        <v>1</v>
      </c>
      <c r="K142" s="5">
        <v>3876.49</v>
      </c>
      <c r="L142" s="5">
        <v>3488.84</v>
      </c>
      <c r="M142" s="6">
        <v>10</v>
      </c>
      <c r="N142" s="5">
        <v>95.8</v>
      </c>
      <c r="O142" s="5">
        <v>339.92</v>
      </c>
      <c r="P142" s="3" t="s">
        <v>25</v>
      </c>
      <c r="Q142" s="3" t="s">
        <v>26</v>
      </c>
      <c r="R142" s="30">
        <f t="shared" si="2"/>
        <v>2.7458983501679638E-2</v>
      </c>
    </row>
    <row r="143" spans="1:18" x14ac:dyDescent="0.35">
      <c r="A143" s="7" t="s">
        <v>417</v>
      </c>
      <c r="B143" s="8">
        <v>45411</v>
      </c>
      <c r="C143" s="7" t="s">
        <v>415</v>
      </c>
      <c r="D143" s="7" t="s">
        <v>19</v>
      </c>
      <c r="E143" s="7" t="s">
        <v>60</v>
      </c>
      <c r="F143" s="7" t="s">
        <v>104</v>
      </c>
      <c r="G143" s="7" t="s">
        <v>32</v>
      </c>
      <c r="H143" s="7" t="s">
        <v>143</v>
      </c>
      <c r="I143" s="7" t="s">
        <v>385</v>
      </c>
      <c r="J143" s="7">
        <v>1</v>
      </c>
      <c r="K143" s="9">
        <v>9759.4599999999991</v>
      </c>
      <c r="L143" s="9">
        <v>7807.57</v>
      </c>
      <c r="M143" s="10">
        <v>20</v>
      </c>
      <c r="N143" s="9">
        <v>322.13</v>
      </c>
      <c r="O143" s="9">
        <v>338.05</v>
      </c>
      <c r="P143" s="7" t="s">
        <v>64</v>
      </c>
      <c r="Q143" s="7" t="s">
        <v>65</v>
      </c>
      <c r="R143" s="30">
        <f t="shared" si="2"/>
        <v>4.1258675874824048E-2</v>
      </c>
    </row>
    <row r="144" spans="1:18" x14ac:dyDescent="0.35">
      <c r="A144" s="3" t="s">
        <v>418</v>
      </c>
      <c r="B144" s="4">
        <v>45413</v>
      </c>
      <c r="C144" s="3" t="s">
        <v>419</v>
      </c>
      <c r="D144" s="3" t="s">
        <v>39</v>
      </c>
      <c r="E144" s="3" t="s">
        <v>30</v>
      </c>
      <c r="F144" s="3" t="s">
        <v>226</v>
      </c>
      <c r="G144" s="3" t="s">
        <v>134</v>
      </c>
      <c r="H144" s="3" t="s">
        <v>139</v>
      </c>
      <c r="I144" s="3" t="s">
        <v>220</v>
      </c>
      <c r="J144" s="3">
        <v>1</v>
      </c>
      <c r="K144" s="5">
        <v>910.37</v>
      </c>
      <c r="L144" s="5">
        <v>819.33</v>
      </c>
      <c r="M144" s="6">
        <v>10</v>
      </c>
      <c r="N144" s="5">
        <v>101.28</v>
      </c>
      <c r="O144" s="5">
        <v>52.77</v>
      </c>
      <c r="P144" s="3" t="s">
        <v>64</v>
      </c>
      <c r="Q144" s="3" t="s">
        <v>26</v>
      </c>
      <c r="R144" s="30">
        <f t="shared" si="2"/>
        <v>0.1236131961480722</v>
      </c>
    </row>
    <row r="145" spans="1:18" x14ac:dyDescent="0.35">
      <c r="A145" s="7" t="s">
        <v>420</v>
      </c>
      <c r="B145" s="8">
        <v>45413</v>
      </c>
      <c r="C145" s="7" t="s">
        <v>272</v>
      </c>
      <c r="D145" s="7" t="s">
        <v>29</v>
      </c>
      <c r="E145" s="7" t="s">
        <v>40</v>
      </c>
      <c r="F145" s="7" t="s">
        <v>77</v>
      </c>
      <c r="G145" s="7" t="s">
        <v>134</v>
      </c>
      <c r="H145" s="7" t="s">
        <v>244</v>
      </c>
      <c r="I145" s="7" t="s">
        <v>411</v>
      </c>
      <c r="J145" s="7">
        <v>1</v>
      </c>
      <c r="K145" s="9">
        <v>1769.77</v>
      </c>
      <c r="L145" s="9">
        <v>1681.28</v>
      </c>
      <c r="M145" s="10">
        <v>5</v>
      </c>
      <c r="N145" s="9">
        <v>304.04000000000002</v>
      </c>
      <c r="O145" s="9">
        <v>296.04000000000002</v>
      </c>
      <c r="P145" s="7" t="s">
        <v>25</v>
      </c>
      <c r="Q145" s="7" t="s">
        <v>26</v>
      </c>
      <c r="R145" s="30">
        <f t="shared" si="2"/>
        <v>0.18083840883136659</v>
      </c>
    </row>
    <row r="146" spans="1:18" x14ac:dyDescent="0.35">
      <c r="A146" s="3" t="s">
        <v>421</v>
      </c>
      <c r="B146" s="4">
        <v>45414</v>
      </c>
      <c r="C146" s="3" t="s">
        <v>393</v>
      </c>
      <c r="D146" s="3" t="s">
        <v>39</v>
      </c>
      <c r="E146" s="3" t="s">
        <v>30</v>
      </c>
      <c r="F146" s="3" t="s">
        <v>226</v>
      </c>
      <c r="G146" s="3" t="s">
        <v>32</v>
      </c>
      <c r="H146" s="3" t="s">
        <v>143</v>
      </c>
      <c r="I146" s="3" t="s">
        <v>321</v>
      </c>
      <c r="J146" s="3">
        <v>1</v>
      </c>
      <c r="K146" s="5">
        <v>2295.0500000000002</v>
      </c>
      <c r="L146" s="5">
        <v>2065.5500000000002</v>
      </c>
      <c r="M146" s="6">
        <v>10</v>
      </c>
      <c r="N146" s="5">
        <v>130.03</v>
      </c>
      <c r="O146" s="5">
        <v>89.03</v>
      </c>
      <c r="P146" s="3" t="s">
        <v>45</v>
      </c>
      <c r="Q146" s="3" t="s">
        <v>26</v>
      </c>
      <c r="R146" s="30">
        <f t="shared" si="2"/>
        <v>6.2951756190845046E-2</v>
      </c>
    </row>
    <row r="147" spans="1:18" x14ac:dyDescent="0.35">
      <c r="A147" s="7" t="s">
        <v>422</v>
      </c>
      <c r="B147" s="8">
        <v>45417</v>
      </c>
      <c r="C147" s="7" t="s">
        <v>348</v>
      </c>
      <c r="D147" s="7" t="s">
        <v>19</v>
      </c>
      <c r="E147" s="7" t="s">
        <v>20</v>
      </c>
      <c r="F147" s="7" t="s">
        <v>21</v>
      </c>
      <c r="G147" s="7" t="s">
        <v>22</v>
      </c>
      <c r="H147" s="7" t="s">
        <v>23</v>
      </c>
      <c r="I147" s="7" t="s">
        <v>176</v>
      </c>
      <c r="J147" s="7">
        <v>2</v>
      </c>
      <c r="K147" s="9">
        <v>61925.59</v>
      </c>
      <c r="L147" s="9">
        <v>117658.62</v>
      </c>
      <c r="M147" s="10">
        <v>5</v>
      </c>
      <c r="N147" s="9">
        <v>13626.8</v>
      </c>
      <c r="O147" s="9">
        <v>190.52</v>
      </c>
      <c r="P147" s="7" t="s">
        <v>35</v>
      </c>
      <c r="Q147" s="7" t="s">
        <v>26</v>
      </c>
      <c r="R147" s="30">
        <f t="shared" si="2"/>
        <v>0.11581641872053233</v>
      </c>
    </row>
    <row r="148" spans="1:18" x14ac:dyDescent="0.35">
      <c r="A148" s="3" t="s">
        <v>423</v>
      </c>
      <c r="B148" s="4">
        <v>45417</v>
      </c>
      <c r="C148" s="3" t="s">
        <v>121</v>
      </c>
      <c r="D148" s="3" t="s">
        <v>29</v>
      </c>
      <c r="E148" s="3" t="s">
        <v>40</v>
      </c>
      <c r="F148" s="3" t="s">
        <v>77</v>
      </c>
      <c r="G148" s="3" t="s">
        <v>49</v>
      </c>
      <c r="H148" s="3" t="s">
        <v>62</v>
      </c>
      <c r="I148" s="3" t="s">
        <v>424</v>
      </c>
      <c r="J148" s="3">
        <v>1</v>
      </c>
      <c r="K148" s="5">
        <v>9791.49</v>
      </c>
      <c r="L148" s="5">
        <v>8812.34</v>
      </c>
      <c r="M148" s="6">
        <v>10</v>
      </c>
      <c r="N148" s="5">
        <v>1718.92</v>
      </c>
      <c r="O148" s="5">
        <v>292.33999999999997</v>
      </c>
      <c r="P148" s="3" t="s">
        <v>25</v>
      </c>
      <c r="Q148" s="3" t="s">
        <v>57</v>
      </c>
      <c r="R148" s="30">
        <f t="shared" si="2"/>
        <v>0.19505829325695559</v>
      </c>
    </row>
    <row r="149" spans="1:18" x14ac:dyDescent="0.35">
      <c r="A149" s="7" t="s">
        <v>425</v>
      </c>
      <c r="B149" s="8">
        <v>45418</v>
      </c>
      <c r="C149" s="7" t="s">
        <v>426</v>
      </c>
      <c r="D149" s="7" t="s">
        <v>19</v>
      </c>
      <c r="E149" s="7" t="s">
        <v>30</v>
      </c>
      <c r="F149" s="7" t="s">
        <v>48</v>
      </c>
      <c r="G149" s="7" t="s">
        <v>32</v>
      </c>
      <c r="H149" s="7" t="s">
        <v>86</v>
      </c>
      <c r="I149" s="7" t="s">
        <v>87</v>
      </c>
      <c r="J149" s="7">
        <v>1</v>
      </c>
      <c r="K149" s="9">
        <v>9763.4</v>
      </c>
      <c r="L149" s="9">
        <v>9763.4</v>
      </c>
      <c r="M149" s="10">
        <v>0</v>
      </c>
      <c r="N149" s="9">
        <v>1884.77</v>
      </c>
      <c r="O149" s="9">
        <v>194.07</v>
      </c>
      <c r="P149" s="7" t="s">
        <v>25</v>
      </c>
      <c r="Q149" s="7" t="s">
        <v>26</v>
      </c>
      <c r="R149" s="30">
        <f t="shared" si="2"/>
        <v>0.19304443124321446</v>
      </c>
    </row>
    <row r="150" spans="1:18" x14ac:dyDescent="0.35">
      <c r="A150" s="3" t="s">
        <v>427</v>
      </c>
      <c r="B150" s="4">
        <v>45419</v>
      </c>
      <c r="C150" s="3" t="s">
        <v>428</v>
      </c>
      <c r="D150" s="3" t="s">
        <v>39</v>
      </c>
      <c r="E150" s="3" t="s">
        <v>60</v>
      </c>
      <c r="F150" s="3" t="s">
        <v>72</v>
      </c>
      <c r="G150" s="3" t="s">
        <v>22</v>
      </c>
      <c r="H150" s="3" t="s">
        <v>55</v>
      </c>
      <c r="I150" s="3" t="s">
        <v>323</v>
      </c>
      <c r="J150" s="3">
        <v>2</v>
      </c>
      <c r="K150" s="5">
        <v>43190.6</v>
      </c>
      <c r="L150" s="5">
        <v>82062.14</v>
      </c>
      <c r="M150" s="6">
        <v>5</v>
      </c>
      <c r="N150" s="5">
        <v>4280.6099999999997</v>
      </c>
      <c r="O150" s="5">
        <v>67.430000000000007</v>
      </c>
      <c r="P150" s="3" t="s">
        <v>83</v>
      </c>
      <c r="Q150" s="3" t="s">
        <v>26</v>
      </c>
      <c r="R150" s="30">
        <f t="shared" si="2"/>
        <v>5.216303157582778E-2</v>
      </c>
    </row>
    <row r="151" spans="1:18" x14ac:dyDescent="0.35">
      <c r="A151" s="7" t="s">
        <v>429</v>
      </c>
      <c r="B151" s="8">
        <v>45420</v>
      </c>
      <c r="C151" s="7" t="s">
        <v>430</v>
      </c>
      <c r="D151" s="7" t="s">
        <v>39</v>
      </c>
      <c r="E151" s="7" t="s">
        <v>20</v>
      </c>
      <c r="F151" s="7" t="s">
        <v>129</v>
      </c>
      <c r="G151" s="7" t="s">
        <v>42</v>
      </c>
      <c r="H151" s="7" t="s">
        <v>81</v>
      </c>
      <c r="I151" s="7" t="s">
        <v>431</v>
      </c>
      <c r="J151" s="7">
        <v>4</v>
      </c>
      <c r="K151" s="9">
        <v>612.05999999999995</v>
      </c>
      <c r="L151" s="9">
        <v>2081</v>
      </c>
      <c r="M151" s="10">
        <v>15</v>
      </c>
      <c r="N151" s="9">
        <v>140.21</v>
      </c>
      <c r="O151" s="9">
        <v>268.22000000000003</v>
      </c>
      <c r="P151" s="7" t="s">
        <v>25</v>
      </c>
      <c r="Q151" s="7" t="s">
        <v>57</v>
      </c>
      <c r="R151" s="30">
        <f t="shared" si="2"/>
        <v>6.7376261412782315E-2</v>
      </c>
    </row>
    <row r="152" spans="1:18" x14ac:dyDescent="0.35">
      <c r="A152" s="3" t="s">
        <v>432</v>
      </c>
      <c r="B152" s="4">
        <v>45420</v>
      </c>
      <c r="C152" s="3" t="s">
        <v>433</v>
      </c>
      <c r="D152" s="3" t="s">
        <v>39</v>
      </c>
      <c r="E152" s="3" t="s">
        <v>20</v>
      </c>
      <c r="F152" s="3" t="s">
        <v>21</v>
      </c>
      <c r="G152" s="3" t="s">
        <v>49</v>
      </c>
      <c r="H152" s="3" t="s">
        <v>98</v>
      </c>
      <c r="I152" s="3" t="s">
        <v>99</v>
      </c>
      <c r="J152" s="3">
        <v>1</v>
      </c>
      <c r="K152" s="5">
        <v>839.07</v>
      </c>
      <c r="L152" s="5">
        <v>839.07</v>
      </c>
      <c r="M152" s="6">
        <v>0</v>
      </c>
      <c r="N152" s="5">
        <v>224.71</v>
      </c>
      <c r="O152" s="5">
        <v>292.52</v>
      </c>
      <c r="P152" s="3" t="s">
        <v>45</v>
      </c>
      <c r="Q152" s="3" t="s">
        <v>26</v>
      </c>
      <c r="R152" s="30">
        <f t="shared" si="2"/>
        <v>0.26780840692671648</v>
      </c>
    </row>
    <row r="153" spans="1:18" x14ac:dyDescent="0.35">
      <c r="A153" s="7" t="s">
        <v>434</v>
      </c>
      <c r="B153" s="8">
        <v>45421</v>
      </c>
      <c r="C153" s="7" t="s">
        <v>435</v>
      </c>
      <c r="D153" s="7" t="s">
        <v>39</v>
      </c>
      <c r="E153" s="7" t="s">
        <v>20</v>
      </c>
      <c r="F153" s="7" t="s">
        <v>129</v>
      </c>
      <c r="G153" s="7" t="s">
        <v>42</v>
      </c>
      <c r="H153" s="7" t="s">
        <v>43</v>
      </c>
      <c r="I153" s="7" t="s">
        <v>44</v>
      </c>
      <c r="J153" s="7">
        <v>2</v>
      </c>
      <c r="K153" s="9">
        <v>609.48</v>
      </c>
      <c r="L153" s="9">
        <v>1218.96</v>
      </c>
      <c r="M153" s="10">
        <v>0</v>
      </c>
      <c r="N153" s="9">
        <v>138.31</v>
      </c>
      <c r="O153" s="9">
        <v>126.49</v>
      </c>
      <c r="P153" s="7" t="s">
        <v>64</v>
      </c>
      <c r="Q153" s="7" t="s">
        <v>26</v>
      </c>
      <c r="R153" s="30">
        <f t="shared" si="2"/>
        <v>0.11346557721336221</v>
      </c>
    </row>
    <row r="154" spans="1:18" x14ac:dyDescent="0.35">
      <c r="A154" s="3" t="s">
        <v>436</v>
      </c>
      <c r="B154" s="4">
        <v>45421</v>
      </c>
      <c r="C154" s="3" t="s">
        <v>437</v>
      </c>
      <c r="D154" s="3" t="s">
        <v>19</v>
      </c>
      <c r="E154" s="3" t="s">
        <v>30</v>
      </c>
      <c r="F154" s="3" t="s">
        <v>226</v>
      </c>
      <c r="G154" s="3" t="s">
        <v>117</v>
      </c>
      <c r="H154" s="3" t="s">
        <v>118</v>
      </c>
      <c r="I154" s="3" t="s">
        <v>438</v>
      </c>
      <c r="J154" s="3">
        <v>3</v>
      </c>
      <c r="K154" s="5">
        <v>228.07</v>
      </c>
      <c r="L154" s="5">
        <v>581.58000000000004</v>
      </c>
      <c r="M154" s="6">
        <v>15</v>
      </c>
      <c r="N154" s="5">
        <v>94.43</v>
      </c>
      <c r="O154" s="5">
        <v>251.5</v>
      </c>
      <c r="P154" s="3" t="s">
        <v>35</v>
      </c>
      <c r="Q154" s="3" t="s">
        <v>65</v>
      </c>
      <c r="R154" s="30">
        <f t="shared" si="2"/>
        <v>0.1623680319130644</v>
      </c>
    </row>
    <row r="155" spans="1:18" x14ac:dyDescent="0.35">
      <c r="A155" s="7" t="s">
        <v>439</v>
      </c>
      <c r="B155" s="8">
        <v>45421</v>
      </c>
      <c r="C155" s="7" t="s">
        <v>440</v>
      </c>
      <c r="D155" s="7" t="s">
        <v>19</v>
      </c>
      <c r="E155" s="7" t="s">
        <v>60</v>
      </c>
      <c r="F155" s="7" t="s">
        <v>104</v>
      </c>
      <c r="G155" s="7" t="s">
        <v>49</v>
      </c>
      <c r="H155" s="7" t="s">
        <v>62</v>
      </c>
      <c r="I155" s="7" t="s">
        <v>63</v>
      </c>
      <c r="J155" s="7">
        <v>2</v>
      </c>
      <c r="K155" s="9">
        <v>11671.85</v>
      </c>
      <c r="L155" s="9">
        <v>23343.7</v>
      </c>
      <c r="M155" s="10">
        <v>0</v>
      </c>
      <c r="N155" s="9">
        <v>4082.75</v>
      </c>
      <c r="O155" s="9">
        <v>118.62</v>
      </c>
      <c r="P155" s="7" t="s">
        <v>64</v>
      </c>
      <c r="Q155" s="7" t="s">
        <v>65</v>
      </c>
      <c r="R155" s="30">
        <f t="shared" si="2"/>
        <v>0.17489729563008435</v>
      </c>
    </row>
    <row r="156" spans="1:18" x14ac:dyDescent="0.35">
      <c r="A156" s="3" t="s">
        <v>441</v>
      </c>
      <c r="B156" s="4">
        <v>45422</v>
      </c>
      <c r="C156" s="3" t="s">
        <v>442</v>
      </c>
      <c r="D156" s="3" t="s">
        <v>39</v>
      </c>
      <c r="E156" s="3" t="s">
        <v>40</v>
      </c>
      <c r="F156" s="3" t="s">
        <v>90</v>
      </c>
      <c r="G156" s="3" t="s">
        <v>49</v>
      </c>
      <c r="H156" s="3" t="s">
        <v>62</v>
      </c>
      <c r="I156" s="3" t="s">
        <v>341</v>
      </c>
      <c r="J156" s="3">
        <v>5</v>
      </c>
      <c r="K156" s="5">
        <v>8076.4</v>
      </c>
      <c r="L156" s="5">
        <v>36343.800000000003</v>
      </c>
      <c r="M156" s="6">
        <v>10</v>
      </c>
      <c r="N156" s="5">
        <v>5748.76</v>
      </c>
      <c r="O156" s="5">
        <v>320.19</v>
      </c>
      <c r="P156" s="3" t="s">
        <v>35</v>
      </c>
      <c r="Q156" s="3" t="s">
        <v>26</v>
      </c>
      <c r="R156" s="30">
        <f t="shared" si="2"/>
        <v>0.15817718565477468</v>
      </c>
    </row>
    <row r="157" spans="1:18" x14ac:dyDescent="0.35">
      <c r="A157" s="7" t="s">
        <v>443</v>
      </c>
      <c r="B157" s="8">
        <v>45422</v>
      </c>
      <c r="C157" s="7" t="s">
        <v>444</v>
      </c>
      <c r="D157" s="7" t="s">
        <v>39</v>
      </c>
      <c r="E157" s="7" t="s">
        <v>60</v>
      </c>
      <c r="F157" s="7" t="s">
        <v>104</v>
      </c>
      <c r="G157" s="7" t="s">
        <v>134</v>
      </c>
      <c r="H157" s="7" t="s">
        <v>91</v>
      </c>
      <c r="I157" s="7" t="s">
        <v>188</v>
      </c>
      <c r="J157" s="7">
        <v>1</v>
      </c>
      <c r="K157" s="9">
        <v>3995.25</v>
      </c>
      <c r="L157" s="9">
        <v>3395.96</v>
      </c>
      <c r="M157" s="10">
        <v>15</v>
      </c>
      <c r="N157" s="9">
        <v>625.4</v>
      </c>
      <c r="O157" s="9">
        <v>198.14</v>
      </c>
      <c r="P157" s="7" t="s">
        <v>25</v>
      </c>
      <c r="Q157" s="7" t="s">
        <v>57</v>
      </c>
      <c r="R157" s="30">
        <f t="shared" si="2"/>
        <v>0.18416000188459228</v>
      </c>
    </row>
    <row r="158" spans="1:18" x14ac:dyDescent="0.35">
      <c r="A158" s="3" t="s">
        <v>445</v>
      </c>
      <c r="B158" s="4">
        <v>45423</v>
      </c>
      <c r="C158" s="3" t="s">
        <v>446</v>
      </c>
      <c r="D158" s="3" t="s">
        <v>39</v>
      </c>
      <c r="E158" s="3" t="s">
        <v>30</v>
      </c>
      <c r="F158" s="3" t="s">
        <v>226</v>
      </c>
      <c r="G158" s="3" t="s">
        <v>134</v>
      </c>
      <c r="H158" s="3" t="s">
        <v>244</v>
      </c>
      <c r="I158" s="3" t="s">
        <v>334</v>
      </c>
      <c r="J158" s="3">
        <v>3</v>
      </c>
      <c r="K158" s="5">
        <v>1628.03</v>
      </c>
      <c r="L158" s="5">
        <v>4639.8900000000003</v>
      </c>
      <c r="M158" s="6">
        <v>5</v>
      </c>
      <c r="N158" s="5">
        <v>807.56</v>
      </c>
      <c r="O158" s="5">
        <v>248.26</v>
      </c>
      <c r="P158" s="3" t="s">
        <v>64</v>
      </c>
      <c r="Q158" s="3" t="s">
        <v>57</v>
      </c>
      <c r="R158" s="30">
        <f t="shared" si="2"/>
        <v>0.17404722956794233</v>
      </c>
    </row>
    <row r="159" spans="1:18" x14ac:dyDescent="0.35">
      <c r="A159" s="7" t="s">
        <v>447</v>
      </c>
      <c r="B159" s="8">
        <v>45423</v>
      </c>
      <c r="C159" s="7" t="s">
        <v>448</v>
      </c>
      <c r="D159" s="7" t="s">
        <v>29</v>
      </c>
      <c r="E159" s="7" t="s">
        <v>30</v>
      </c>
      <c r="F159" s="7" t="s">
        <v>226</v>
      </c>
      <c r="G159" s="7" t="s">
        <v>32</v>
      </c>
      <c r="H159" s="7" t="s">
        <v>33</v>
      </c>
      <c r="I159" s="7" t="s">
        <v>449</v>
      </c>
      <c r="J159" s="7">
        <v>3</v>
      </c>
      <c r="K159" s="9">
        <v>4040.99</v>
      </c>
      <c r="L159" s="9">
        <v>10304.52</v>
      </c>
      <c r="M159" s="10">
        <v>15</v>
      </c>
      <c r="N159" s="9">
        <v>1155.79</v>
      </c>
      <c r="O159" s="9">
        <v>281.14</v>
      </c>
      <c r="P159" s="7" t="s">
        <v>35</v>
      </c>
      <c r="Q159" s="7" t="s">
        <v>26</v>
      </c>
      <c r="R159" s="30">
        <f t="shared" si="2"/>
        <v>0.11216340013896814</v>
      </c>
    </row>
    <row r="160" spans="1:18" x14ac:dyDescent="0.35">
      <c r="A160" s="3" t="s">
        <v>450</v>
      </c>
      <c r="B160" s="4">
        <v>45425</v>
      </c>
      <c r="C160" s="3" t="s">
        <v>451</v>
      </c>
      <c r="D160" s="3" t="s">
        <v>19</v>
      </c>
      <c r="E160" s="3" t="s">
        <v>30</v>
      </c>
      <c r="F160" s="3" t="s">
        <v>226</v>
      </c>
      <c r="G160" s="3" t="s">
        <v>22</v>
      </c>
      <c r="H160" s="3" t="s">
        <v>55</v>
      </c>
      <c r="I160" s="3" t="s">
        <v>56</v>
      </c>
      <c r="J160" s="3">
        <v>1</v>
      </c>
      <c r="K160" s="5">
        <v>26774.32</v>
      </c>
      <c r="L160" s="5">
        <v>20080.740000000002</v>
      </c>
      <c r="M160" s="6">
        <v>25</v>
      </c>
      <c r="N160" s="5">
        <v>-644.41999999999996</v>
      </c>
      <c r="O160" s="5">
        <v>177.84</v>
      </c>
      <c r="P160" s="3" t="s">
        <v>25</v>
      </c>
      <c r="Q160" s="3" t="s">
        <v>36</v>
      </c>
      <c r="R160" s="30">
        <f t="shared" si="2"/>
        <v>-3.2091446829150716E-2</v>
      </c>
    </row>
    <row r="161" spans="1:18" x14ac:dyDescent="0.35">
      <c r="A161" s="7" t="s">
        <v>452</v>
      </c>
      <c r="B161" s="8">
        <v>45426</v>
      </c>
      <c r="C161" s="7" t="s">
        <v>28</v>
      </c>
      <c r="D161" s="7" t="s">
        <v>29</v>
      </c>
      <c r="E161" s="7" t="s">
        <v>30</v>
      </c>
      <c r="F161" s="7" t="s">
        <v>31</v>
      </c>
      <c r="G161" s="7" t="s">
        <v>134</v>
      </c>
      <c r="H161" s="7" t="s">
        <v>244</v>
      </c>
      <c r="I161" s="7" t="s">
        <v>270</v>
      </c>
      <c r="J161" s="7">
        <v>3</v>
      </c>
      <c r="K161" s="9">
        <v>535.94000000000005</v>
      </c>
      <c r="L161" s="9">
        <v>1366.65</v>
      </c>
      <c r="M161" s="10">
        <v>15</v>
      </c>
      <c r="N161" s="9">
        <v>231.86</v>
      </c>
      <c r="O161" s="9">
        <v>93.73</v>
      </c>
      <c r="P161" s="7" t="s">
        <v>35</v>
      </c>
      <c r="Q161" s="7" t="s">
        <v>26</v>
      </c>
      <c r="R161" s="30">
        <f t="shared" si="2"/>
        <v>0.16965572750887206</v>
      </c>
    </row>
    <row r="162" spans="1:18" x14ac:dyDescent="0.35">
      <c r="A162" s="3" t="s">
        <v>453</v>
      </c>
      <c r="B162" s="4">
        <v>45428</v>
      </c>
      <c r="C162" s="3" t="s">
        <v>198</v>
      </c>
      <c r="D162" s="3" t="s">
        <v>39</v>
      </c>
      <c r="E162" s="3" t="s">
        <v>60</v>
      </c>
      <c r="F162" s="3" t="s">
        <v>61</v>
      </c>
      <c r="G162" s="3" t="s">
        <v>117</v>
      </c>
      <c r="H162" s="3" t="s">
        <v>125</v>
      </c>
      <c r="I162" s="3" t="s">
        <v>454</v>
      </c>
      <c r="J162" s="3">
        <v>1</v>
      </c>
      <c r="K162" s="5">
        <v>1156.28</v>
      </c>
      <c r="L162" s="5">
        <v>809.4</v>
      </c>
      <c r="M162" s="6">
        <v>30</v>
      </c>
      <c r="N162" s="5">
        <v>135.24</v>
      </c>
      <c r="O162" s="5">
        <v>252.86</v>
      </c>
      <c r="P162" s="3" t="s">
        <v>83</v>
      </c>
      <c r="Q162" s="3" t="s">
        <v>36</v>
      </c>
      <c r="R162" s="30">
        <f t="shared" si="2"/>
        <v>0.16708673091178652</v>
      </c>
    </row>
    <row r="163" spans="1:18" x14ac:dyDescent="0.35">
      <c r="A163" s="7" t="s">
        <v>455</v>
      </c>
      <c r="B163" s="8">
        <v>45428</v>
      </c>
      <c r="C163" s="7" t="s">
        <v>456</v>
      </c>
      <c r="D163" s="7" t="s">
        <v>19</v>
      </c>
      <c r="E163" s="7" t="s">
        <v>30</v>
      </c>
      <c r="F163" s="7" t="s">
        <v>226</v>
      </c>
      <c r="G163" s="7" t="s">
        <v>117</v>
      </c>
      <c r="H163" s="7" t="s">
        <v>125</v>
      </c>
      <c r="I163" s="7" t="s">
        <v>454</v>
      </c>
      <c r="J163" s="7">
        <v>2</v>
      </c>
      <c r="K163" s="9">
        <v>1155.52</v>
      </c>
      <c r="L163" s="9">
        <v>2311.04</v>
      </c>
      <c r="M163" s="10">
        <v>0</v>
      </c>
      <c r="N163" s="9">
        <v>807.29</v>
      </c>
      <c r="O163" s="9">
        <v>52.68</v>
      </c>
      <c r="P163" s="7" t="s">
        <v>25</v>
      </c>
      <c r="Q163" s="7" t="s">
        <v>57</v>
      </c>
      <c r="R163" s="30">
        <f t="shared" si="2"/>
        <v>0.34931892135142617</v>
      </c>
    </row>
    <row r="164" spans="1:18" x14ac:dyDescent="0.35">
      <c r="A164" s="3" t="s">
        <v>457</v>
      </c>
      <c r="B164" s="4">
        <v>45428</v>
      </c>
      <c r="C164" s="3" t="s">
        <v>94</v>
      </c>
      <c r="D164" s="3" t="s">
        <v>19</v>
      </c>
      <c r="E164" s="3" t="s">
        <v>60</v>
      </c>
      <c r="F164" s="3" t="s">
        <v>72</v>
      </c>
      <c r="G164" s="3" t="s">
        <v>49</v>
      </c>
      <c r="H164" s="3" t="s">
        <v>91</v>
      </c>
      <c r="I164" s="3" t="s">
        <v>206</v>
      </c>
      <c r="J164" s="3">
        <v>2</v>
      </c>
      <c r="K164" s="5">
        <v>1610.37</v>
      </c>
      <c r="L164" s="5">
        <v>2898.67</v>
      </c>
      <c r="M164" s="6">
        <v>10</v>
      </c>
      <c r="N164" s="5">
        <v>263.45</v>
      </c>
      <c r="O164" s="5">
        <v>63.25</v>
      </c>
      <c r="P164" s="3" t="s">
        <v>25</v>
      </c>
      <c r="Q164" s="3" t="s">
        <v>26</v>
      </c>
      <c r="R164" s="30">
        <f t="shared" si="2"/>
        <v>9.0886510020112665E-2</v>
      </c>
    </row>
    <row r="165" spans="1:18" x14ac:dyDescent="0.35">
      <c r="A165" s="7" t="s">
        <v>458</v>
      </c>
      <c r="B165" s="8">
        <v>45429</v>
      </c>
      <c r="C165" s="7" t="s">
        <v>459</v>
      </c>
      <c r="D165" s="7" t="s">
        <v>39</v>
      </c>
      <c r="E165" s="7" t="s">
        <v>40</v>
      </c>
      <c r="F165" s="7" t="s">
        <v>77</v>
      </c>
      <c r="G165" s="7" t="s">
        <v>32</v>
      </c>
      <c r="H165" s="7" t="s">
        <v>73</v>
      </c>
      <c r="I165" s="7" t="s">
        <v>230</v>
      </c>
      <c r="J165" s="7">
        <v>1</v>
      </c>
      <c r="K165" s="9">
        <v>11148.42</v>
      </c>
      <c r="L165" s="9">
        <v>10033.58</v>
      </c>
      <c r="M165" s="10">
        <v>10</v>
      </c>
      <c r="N165" s="9">
        <v>349.48</v>
      </c>
      <c r="O165" s="9">
        <v>176.92</v>
      </c>
      <c r="P165" s="7" t="s">
        <v>25</v>
      </c>
      <c r="Q165" s="7" t="s">
        <v>26</v>
      </c>
      <c r="R165" s="30">
        <f t="shared" si="2"/>
        <v>3.4831037376489751E-2</v>
      </c>
    </row>
    <row r="166" spans="1:18" x14ac:dyDescent="0.35">
      <c r="A166" s="3" t="s">
        <v>460</v>
      </c>
      <c r="B166" s="4">
        <v>45430</v>
      </c>
      <c r="C166" s="3" t="s">
        <v>370</v>
      </c>
      <c r="D166" s="3" t="s">
        <v>39</v>
      </c>
      <c r="E166" s="3" t="s">
        <v>40</v>
      </c>
      <c r="F166" s="3" t="s">
        <v>90</v>
      </c>
      <c r="G166" s="3" t="s">
        <v>32</v>
      </c>
      <c r="H166" s="3" t="s">
        <v>73</v>
      </c>
      <c r="I166" s="3" t="s">
        <v>114</v>
      </c>
      <c r="J166" s="3">
        <v>1</v>
      </c>
      <c r="K166" s="5">
        <v>2804.78</v>
      </c>
      <c r="L166" s="5">
        <v>2804.78</v>
      </c>
      <c r="M166" s="6">
        <v>0</v>
      </c>
      <c r="N166" s="5">
        <v>604.48</v>
      </c>
      <c r="O166" s="5">
        <v>126.16</v>
      </c>
      <c r="P166" s="3" t="s">
        <v>64</v>
      </c>
      <c r="Q166" s="3" t="s">
        <v>36</v>
      </c>
      <c r="R166" s="30">
        <f t="shared" si="2"/>
        <v>0.21551779462203807</v>
      </c>
    </row>
    <row r="167" spans="1:18" x14ac:dyDescent="0.35">
      <c r="A167" s="7" t="s">
        <v>461</v>
      </c>
      <c r="B167" s="8">
        <v>45432</v>
      </c>
      <c r="C167" s="7" t="s">
        <v>462</v>
      </c>
      <c r="D167" s="7" t="s">
        <v>39</v>
      </c>
      <c r="E167" s="7" t="s">
        <v>20</v>
      </c>
      <c r="F167" s="7" t="s">
        <v>129</v>
      </c>
      <c r="G167" s="7" t="s">
        <v>49</v>
      </c>
      <c r="H167" s="7" t="s">
        <v>91</v>
      </c>
      <c r="I167" s="7" t="s">
        <v>92</v>
      </c>
      <c r="J167" s="7">
        <v>1</v>
      </c>
      <c r="K167" s="9">
        <v>9163.61</v>
      </c>
      <c r="L167" s="9">
        <v>7789.07</v>
      </c>
      <c r="M167" s="10">
        <v>15</v>
      </c>
      <c r="N167" s="9">
        <v>875.83</v>
      </c>
      <c r="O167" s="9">
        <v>102.99</v>
      </c>
      <c r="P167" s="7" t="s">
        <v>64</v>
      </c>
      <c r="Q167" s="7" t="s">
        <v>65</v>
      </c>
      <c r="R167" s="30">
        <f t="shared" si="2"/>
        <v>0.11244346244160087</v>
      </c>
    </row>
    <row r="168" spans="1:18" x14ac:dyDescent="0.35">
      <c r="A168" s="3" t="s">
        <v>463</v>
      </c>
      <c r="B168" s="4">
        <v>45433</v>
      </c>
      <c r="C168" s="3" t="s">
        <v>464</v>
      </c>
      <c r="D168" s="3" t="s">
        <v>39</v>
      </c>
      <c r="E168" s="3" t="s">
        <v>40</v>
      </c>
      <c r="F168" s="3" t="s">
        <v>77</v>
      </c>
      <c r="G168" s="3" t="s">
        <v>32</v>
      </c>
      <c r="H168" s="3" t="s">
        <v>73</v>
      </c>
      <c r="I168" s="3" t="s">
        <v>74</v>
      </c>
      <c r="J168" s="3">
        <v>1</v>
      </c>
      <c r="K168" s="5">
        <v>8877.52</v>
      </c>
      <c r="L168" s="5">
        <v>6214.26</v>
      </c>
      <c r="M168" s="6">
        <v>30</v>
      </c>
      <c r="N168" s="5">
        <v>-345.02</v>
      </c>
      <c r="O168" s="5">
        <v>210.91</v>
      </c>
      <c r="P168" s="3" t="s">
        <v>35</v>
      </c>
      <c r="Q168" s="3" t="s">
        <v>26</v>
      </c>
      <c r="R168" s="30">
        <f t="shared" si="2"/>
        <v>-5.552068951089912E-2</v>
      </c>
    </row>
    <row r="169" spans="1:18" x14ac:dyDescent="0.35">
      <c r="A169" s="7" t="s">
        <v>465</v>
      </c>
      <c r="B169" s="8">
        <v>45434</v>
      </c>
      <c r="C169" s="7" t="s">
        <v>265</v>
      </c>
      <c r="D169" s="7" t="s">
        <v>39</v>
      </c>
      <c r="E169" s="7" t="s">
        <v>40</v>
      </c>
      <c r="F169" s="7" t="s">
        <v>109</v>
      </c>
      <c r="G169" s="7" t="s">
        <v>32</v>
      </c>
      <c r="H169" s="7" t="s">
        <v>86</v>
      </c>
      <c r="I169" s="7" t="s">
        <v>233</v>
      </c>
      <c r="J169" s="7">
        <v>4</v>
      </c>
      <c r="K169" s="9">
        <v>2183.89</v>
      </c>
      <c r="L169" s="9">
        <v>8735.56</v>
      </c>
      <c r="M169" s="10">
        <v>0</v>
      </c>
      <c r="N169" s="9">
        <v>1437.37</v>
      </c>
      <c r="O169" s="9">
        <v>358.57</v>
      </c>
      <c r="P169" s="7" t="s">
        <v>35</v>
      </c>
      <c r="Q169" s="7" t="s">
        <v>65</v>
      </c>
      <c r="R169" s="30">
        <f t="shared" si="2"/>
        <v>0.16454239911350846</v>
      </c>
    </row>
    <row r="170" spans="1:18" x14ac:dyDescent="0.35">
      <c r="A170" s="3" t="s">
        <v>466</v>
      </c>
      <c r="B170" s="4">
        <v>45435</v>
      </c>
      <c r="C170" s="3" t="s">
        <v>467</v>
      </c>
      <c r="D170" s="3" t="s">
        <v>29</v>
      </c>
      <c r="E170" s="3" t="s">
        <v>30</v>
      </c>
      <c r="F170" s="3" t="s">
        <v>31</v>
      </c>
      <c r="G170" s="3" t="s">
        <v>49</v>
      </c>
      <c r="H170" s="3" t="s">
        <v>62</v>
      </c>
      <c r="I170" s="3" t="s">
        <v>63</v>
      </c>
      <c r="J170" s="3">
        <v>1</v>
      </c>
      <c r="K170" s="5">
        <v>6919.73</v>
      </c>
      <c r="L170" s="5">
        <v>6919.73</v>
      </c>
      <c r="M170" s="6">
        <v>0</v>
      </c>
      <c r="N170" s="5">
        <v>2084.4699999999998</v>
      </c>
      <c r="O170" s="5">
        <v>123.83</v>
      </c>
      <c r="P170" s="3" t="s">
        <v>45</v>
      </c>
      <c r="Q170" s="3" t="s">
        <v>57</v>
      </c>
      <c r="R170" s="30">
        <f t="shared" si="2"/>
        <v>0.30123574185697993</v>
      </c>
    </row>
    <row r="171" spans="1:18" x14ac:dyDescent="0.35">
      <c r="A171" s="7" t="s">
        <v>468</v>
      </c>
      <c r="B171" s="8">
        <v>45435</v>
      </c>
      <c r="C171" s="7" t="s">
        <v>469</v>
      </c>
      <c r="D171" s="7" t="s">
        <v>29</v>
      </c>
      <c r="E171" s="7" t="s">
        <v>30</v>
      </c>
      <c r="F171" s="7" t="s">
        <v>31</v>
      </c>
      <c r="G171" s="7" t="s">
        <v>32</v>
      </c>
      <c r="H171" s="7" t="s">
        <v>33</v>
      </c>
      <c r="I171" s="7" t="s">
        <v>470</v>
      </c>
      <c r="J171" s="7">
        <v>1</v>
      </c>
      <c r="K171" s="9">
        <v>10448.99</v>
      </c>
      <c r="L171" s="9">
        <v>9404.09</v>
      </c>
      <c r="M171" s="10">
        <v>10</v>
      </c>
      <c r="N171" s="9">
        <v>988.47</v>
      </c>
      <c r="O171" s="9">
        <v>34.590000000000003</v>
      </c>
      <c r="P171" s="7" t="s">
        <v>45</v>
      </c>
      <c r="Q171" s="7" t="s">
        <v>65</v>
      </c>
      <c r="R171" s="30">
        <f t="shared" si="2"/>
        <v>0.10511064866457041</v>
      </c>
    </row>
    <row r="172" spans="1:18" x14ac:dyDescent="0.35">
      <c r="A172" s="3" t="s">
        <v>471</v>
      </c>
      <c r="B172" s="4">
        <v>45436</v>
      </c>
      <c r="C172" s="3" t="s">
        <v>379</v>
      </c>
      <c r="D172" s="3" t="s">
        <v>39</v>
      </c>
      <c r="E172" s="3" t="s">
        <v>60</v>
      </c>
      <c r="F172" s="3" t="s">
        <v>68</v>
      </c>
      <c r="G172" s="3" t="s">
        <v>49</v>
      </c>
      <c r="H172" s="3" t="s">
        <v>62</v>
      </c>
      <c r="I172" s="3" t="s">
        <v>341</v>
      </c>
      <c r="J172" s="3">
        <v>1</v>
      </c>
      <c r="K172" s="5">
        <v>3881.89</v>
      </c>
      <c r="L172" s="5">
        <v>3687.8</v>
      </c>
      <c r="M172" s="6">
        <v>5</v>
      </c>
      <c r="N172" s="5">
        <v>684.54</v>
      </c>
      <c r="O172" s="5">
        <v>95.61</v>
      </c>
      <c r="P172" s="3" t="s">
        <v>25</v>
      </c>
      <c r="Q172" s="3" t="s">
        <v>65</v>
      </c>
      <c r="R172" s="30">
        <f t="shared" si="2"/>
        <v>0.1856228645805087</v>
      </c>
    </row>
    <row r="173" spans="1:18" x14ac:dyDescent="0.35">
      <c r="A173" s="7" t="s">
        <v>472</v>
      </c>
      <c r="B173" s="8">
        <v>45436</v>
      </c>
      <c r="C173" s="7" t="s">
        <v>473</v>
      </c>
      <c r="D173" s="7" t="s">
        <v>29</v>
      </c>
      <c r="E173" s="7" t="s">
        <v>60</v>
      </c>
      <c r="F173" s="7" t="s">
        <v>104</v>
      </c>
      <c r="G173" s="7" t="s">
        <v>134</v>
      </c>
      <c r="H173" s="7" t="s">
        <v>91</v>
      </c>
      <c r="I173" s="7" t="s">
        <v>168</v>
      </c>
      <c r="J173" s="7">
        <v>4</v>
      </c>
      <c r="K173" s="9">
        <v>3789.68</v>
      </c>
      <c r="L173" s="9">
        <v>12126.98</v>
      </c>
      <c r="M173" s="10">
        <v>20</v>
      </c>
      <c r="N173" s="9">
        <v>1433.99</v>
      </c>
      <c r="O173" s="9">
        <v>351.67</v>
      </c>
      <c r="P173" s="7" t="s">
        <v>64</v>
      </c>
      <c r="Q173" s="7" t="s">
        <v>65</v>
      </c>
      <c r="R173" s="30">
        <f t="shared" si="2"/>
        <v>0.11824790673358083</v>
      </c>
    </row>
    <row r="174" spans="1:18" x14ac:dyDescent="0.35">
      <c r="A174" s="3" t="s">
        <v>474</v>
      </c>
      <c r="B174" s="4">
        <v>45436</v>
      </c>
      <c r="C174" s="3" t="s">
        <v>475</v>
      </c>
      <c r="D174" s="3" t="s">
        <v>19</v>
      </c>
      <c r="E174" s="3" t="s">
        <v>20</v>
      </c>
      <c r="F174" s="3" t="s">
        <v>21</v>
      </c>
      <c r="G174" s="3" t="s">
        <v>49</v>
      </c>
      <c r="H174" s="3" t="s">
        <v>62</v>
      </c>
      <c r="I174" s="3" t="s">
        <v>122</v>
      </c>
      <c r="J174" s="3">
        <v>1</v>
      </c>
      <c r="K174" s="5">
        <v>5373.88</v>
      </c>
      <c r="L174" s="5">
        <v>5373.88</v>
      </c>
      <c r="M174" s="6">
        <v>0</v>
      </c>
      <c r="N174" s="5">
        <v>784.17</v>
      </c>
      <c r="O174" s="5">
        <v>181.67</v>
      </c>
      <c r="P174" s="3" t="s">
        <v>45</v>
      </c>
      <c r="Q174" s="3" t="s">
        <v>26</v>
      </c>
      <c r="R174" s="30">
        <f t="shared" si="2"/>
        <v>0.14592249919983324</v>
      </c>
    </row>
    <row r="175" spans="1:18" x14ac:dyDescent="0.35">
      <c r="A175" s="7" t="s">
        <v>476</v>
      </c>
      <c r="B175" s="8">
        <v>45437</v>
      </c>
      <c r="C175" s="7" t="s">
        <v>477</v>
      </c>
      <c r="D175" s="7" t="s">
        <v>19</v>
      </c>
      <c r="E175" s="7" t="s">
        <v>20</v>
      </c>
      <c r="F175" s="7" t="s">
        <v>129</v>
      </c>
      <c r="G175" s="7" t="s">
        <v>22</v>
      </c>
      <c r="H175" s="7" t="s">
        <v>23</v>
      </c>
      <c r="I175" s="7" t="s">
        <v>24</v>
      </c>
      <c r="J175" s="7">
        <v>1</v>
      </c>
      <c r="K175" s="9">
        <v>4816.21</v>
      </c>
      <c r="L175" s="9">
        <v>4816.21</v>
      </c>
      <c r="M175" s="10">
        <v>0</v>
      </c>
      <c r="N175" s="9">
        <v>591.41</v>
      </c>
      <c r="O175" s="9">
        <v>41.1</v>
      </c>
      <c r="P175" s="7" t="s">
        <v>64</v>
      </c>
      <c r="Q175" s="7" t="s">
        <v>26</v>
      </c>
      <c r="R175" s="30">
        <f t="shared" si="2"/>
        <v>0.12279572526945461</v>
      </c>
    </row>
    <row r="176" spans="1:18" x14ac:dyDescent="0.35">
      <c r="A176" s="3" t="s">
        <v>478</v>
      </c>
      <c r="B176" s="4">
        <v>45438</v>
      </c>
      <c r="C176" s="3" t="s">
        <v>479</v>
      </c>
      <c r="D176" s="3" t="s">
        <v>29</v>
      </c>
      <c r="E176" s="3" t="s">
        <v>20</v>
      </c>
      <c r="F176" s="3" t="s">
        <v>54</v>
      </c>
      <c r="G176" s="3" t="s">
        <v>22</v>
      </c>
      <c r="H176" s="3" t="s">
        <v>110</v>
      </c>
      <c r="I176" s="3" t="s">
        <v>480</v>
      </c>
      <c r="J176" s="3">
        <v>2</v>
      </c>
      <c r="K176" s="5">
        <v>64522.43</v>
      </c>
      <c r="L176" s="5">
        <v>129044.86</v>
      </c>
      <c r="M176" s="6">
        <v>0</v>
      </c>
      <c r="N176" s="5">
        <v>16148.12</v>
      </c>
      <c r="O176" s="5">
        <v>310.8</v>
      </c>
      <c r="P176" s="3" t="s">
        <v>25</v>
      </c>
      <c r="Q176" s="3" t="s">
        <v>26</v>
      </c>
      <c r="R176" s="30">
        <f t="shared" si="2"/>
        <v>0.12513570862101753</v>
      </c>
    </row>
    <row r="177" spans="1:18" x14ac:dyDescent="0.35">
      <c r="A177" s="7" t="s">
        <v>481</v>
      </c>
      <c r="B177" s="8">
        <v>45438</v>
      </c>
      <c r="C177" s="7" t="s">
        <v>482</v>
      </c>
      <c r="D177" s="7" t="s">
        <v>39</v>
      </c>
      <c r="E177" s="7" t="s">
        <v>20</v>
      </c>
      <c r="F177" s="7" t="s">
        <v>54</v>
      </c>
      <c r="G177" s="7" t="s">
        <v>49</v>
      </c>
      <c r="H177" s="7" t="s">
        <v>98</v>
      </c>
      <c r="I177" s="7" t="s">
        <v>258</v>
      </c>
      <c r="J177" s="7">
        <v>1</v>
      </c>
      <c r="K177" s="9">
        <v>13294.22</v>
      </c>
      <c r="L177" s="9">
        <v>12629.51</v>
      </c>
      <c r="M177" s="10">
        <v>5</v>
      </c>
      <c r="N177" s="9">
        <v>1793.01</v>
      </c>
      <c r="O177" s="9">
        <v>116.6</v>
      </c>
      <c r="P177" s="7" t="s">
        <v>35</v>
      </c>
      <c r="Q177" s="7" t="s">
        <v>57</v>
      </c>
      <c r="R177" s="30">
        <f t="shared" si="2"/>
        <v>0.14196987848301321</v>
      </c>
    </row>
    <row r="178" spans="1:18" x14ac:dyDescent="0.35">
      <c r="A178" s="3" t="s">
        <v>483</v>
      </c>
      <c r="B178" s="4">
        <v>45440</v>
      </c>
      <c r="C178" s="3" t="s">
        <v>484</v>
      </c>
      <c r="D178" s="3" t="s">
        <v>39</v>
      </c>
      <c r="E178" s="3" t="s">
        <v>40</v>
      </c>
      <c r="F178" s="3" t="s">
        <v>90</v>
      </c>
      <c r="G178" s="3" t="s">
        <v>49</v>
      </c>
      <c r="H178" s="3" t="s">
        <v>50</v>
      </c>
      <c r="I178" s="3" t="s">
        <v>485</v>
      </c>
      <c r="J178" s="3">
        <v>2</v>
      </c>
      <c r="K178" s="5">
        <v>2184.67</v>
      </c>
      <c r="L178" s="5">
        <v>4150.87</v>
      </c>
      <c r="M178" s="6">
        <v>5</v>
      </c>
      <c r="N178" s="5">
        <v>495.91</v>
      </c>
      <c r="O178" s="5">
        <v>200.52</v>
      </c>
      <c r="P178" s="3" t="s">
        <v>35</v>
      </c>
      <c r="Q178" s="3" t="s">
        <v>65</v>
      </c>
      <c r="R178" s="30">
        <f t="shared" si="2"/>
        <v>0.11947133974323455</v>
      </c>
    </row>
    <row r="179" spans="1:18" x14ac:dyDescent="0.35">
      <c r="A179" s="7" t="s">
        <v>486</v>
      </c>
      <c r="B179" s="8">
        <v>45443</v>
      </c>
      <c r="C179" s="7" t="s">
        <v>487</v>
      </c>
      <c r="D179" s="7" t="s">
        <v>29</v>
      </c>
      <c r="E179" s="7" t="s">
        <v>20</v>
      </c>
      <c r="F179" s="7" t="s">
        <v>21</v>
      </c>
      <c r="G179" s="7" t="s">
        <v>117</v>
      </c>
      <c r="H179" s="7" t="s">
        <v>125</v>
      </c>
      <c r="I179" s="7" t="s">
        <v>126</v>
      </c>
      <c r="J179" s="7">
        <v>1</v>
      </c>
      <c r="K179" s="9">
        <v>1449.59</v>
      </c>
      <c r="L179" s="9">
        <v>1304.6300000000001</v>
      </c>
      <c r="M179" s="10">
        <v>10</v>
      </c>
      <c r="N179" s="9">
        <v>191.5</v>
      </c>
      <c r="O179" s="9">
        <v>194.48</v>
      </c>
      <c r="P179" s="7" t="s">
        <v>45</v>
      </c>
      <c r="Q179" s="7" t="s">
        <v>26</v>
      </c>
      <c r="R179" s="30">
        <f t="shared" si="2"/>
        <v>0.14678491219732798</v>
      </c>
    </row>
    <row r="180" spans="1:18" x14ac:dyDescent="0.35">
      <c r="A180" s="3" t="s">
        <v>488</v>
      </c>
      <c r="B180" s="4">
        <v>45445</v>
      </c>
      <c r="C180" s="3" t="s">
        <v>489</v>
      </c>
      <c r="D180" s="3" t="s">
        <v>39</v>
      </c>
      <c r="E180" s="3" t="s">
        <v>60</v>
      </c>
      <c r="F180" s="3" t="s">
        <v>104</v>
      </c>
      <c r="G180" s="3" t="s">
        <v>117</v>
      </c>
      <c r="H180" s="3" t="s">
        <v>153</v>
      </c>
      <c r="I180" s="3" t="s">
        <v>356</v>
      </c>
      <c r="J180" s="3">
        <v>5</v>
      </c>
      <c r="K180" s="5">
        <v>787.98</v>
      </c>
      <c r="L180" s="5">
        <v>3939.9</v>
      </c>
      <c r="M180" s="6">
        <v>0</v>
      </c>
      <c r="N180" s="5">
        <v>1313.93</v>
      </c>
      <c r="O180" s="5">
        <v>362.38</v>
      </c>
      <c r="P180" s="3" t="s">
        <v>64</v>
      </c>
      <c r="Q180" s="3" t="s">
        <v>26</v>
      </c>
      <c r="R180" s="30">
        <f t="shared" si="2"/>
        <v>0.3334932358689307</v>
      </c>
    </row>
    <row r="181" spans="1:18" x14ac:dyDescent="0.35">
      <c r="A181" s="7" t="s">
        <v>490</v>
      </c>
      <c r="B181" s="8">
        <v>45445</v>
      </c>
      <c r="C181" s="7" t="s">
        <v>491</v>
      </c>
      <c r="D181" s="7" t="s">
        <v>19</v>
      </c>
      <c r="E181" s="7" t="s">
        <v>40</v>
      </c>
      <c r="F181" s="7" t="s">
        <v>41</v>
      </c>
      <c r="G181" s="7" t="s">
        <v>134</v>
      </c>
      <c r="H181" s="7" t="s">
        <v>139</v>
      </c>
      <c r="I181" s="7" t="s">
        <v>220</v>
      </c>
      <c r="J181" s="7">
        <v>4</v>
      </c>
      <c r="K181" s="9">
        <v>1795.09</v>
      </c>
      <c r="L181" s="9">
        <v>6462.32</v>
      </c>
      <c r="M181" s="10">
        <v>10</v>
      </c>
      <c r="N181" s="9">
        <v>1759.3</v>
      </c>
      <c r="O181" s="9">
        <v>317.51</v>
      </c>
      <c r="P181" s="7" t="s">
        <v>25</v>
      </c>
      <c r="Q181" s="7" t="s">
        <v>65</v>
      </c>
      <c r="R181" s="30">
        <f t="shared" si="2"/>
        <v>0.2722396910088018</v>
      </c>
    </row>
    <row r="182" spans="1:18" x14ac:dyDescent="0.35">
      <c r="A182" s="3" t="s">
        <v>492</v>
      </c>
      <c r="B182" s="4">
        <v>45445</v>
      </c>
      <c r="C182" s="3" t="s">
        <v>493</v>
      </c>
      <c r="D182" s="3" t="s">
        <v>19</v>
      </c>
      <c r="E182" s="3" t="s">
        <v>60</v>
      </c>
      <c r="F182" s="3" t="s">
        <v>104</v>
      </c>
      <c r="G182" s="3" t="s">
        <v>42</v>
      </c>
      <c r="H182" s="3" t="s">
        <v>81</v>
      </c>
      <c r="I182" s="3" t="s">
        <v>82</v>
      </c>
      <c r="J182" s="3">
        <v>2</v>
      </c>
      <c r="K182" s="5">
        <v>1164.56</v>
      </c>
      <c r="L182" s="5">
        <v>2329.12</v>
      </c>
      <c r="M182" s="6">
        <v>0</v>
      </c>
      <c r="N182" s="5">
        <v>239.6</v>
      </c>
      <c r="O182" s="5">
        <v>85.79</v>
      </c>
      <c r="P182" s="3" t="s">
        <v>35</v>
      </c>
      <c r="Q182" s="3" t="s">
        <v>26</v>
      </c>
      <c r="R182" s="30">
        <f t="shared" si="2"/>
        <v>0.10287147077007626</v>
      </c>
    </row>
    <row r="183" spans="1:18" x14ac:dyDescent="0.35">
      <c r="A183" s="7" t="s">
        <v>494</v>
      </c>
      <c r="B183" s="8">
        <v>45447</v>
      </c>
      <c r="C183" s="7" t="s">
        <v>495</v>
      </c>
      <c r="D183" s="7" t="s">
        <v>39</v>
      </c>
      <c r="E183" s="7" t="s">
        <v>40</v>
      </c>
      <c r="F183" s="7" t="s">
        <v>109</v>
      </c>
      <c r="G183" s="7" t="s">
        <v>32</v>
      </c>
      <c r="H183" s="7" t="s">
        <v>86</v>
      </c>
      <c r="I183" s="7" t="s">
        <v>211</v>
      </c>
      <c r="J183" s="7">
        <v>1</v>
      </c>
      <c r="K183" s="9">
        <v>9222.68</v>
      </c>
      <c r="L183" s="9">
        <v>8761.5499999999993</v>
      </c>
      <c r="M183" s="10">
        <v>5</v>
      </c>
      <c r="N183" s="9">
        <v>1393.79</v>
      </c>
      <c r="O183" s="9">
        <v>79.44</v>
      </c>
      <c r="P183" s="7" t="s">
        <v>83</v>
      </c>
      <c r="Q183" s="7" t="s">
        <v>36</v>
      </c>
      <c r="R183" s="30">
        <f t="shared" si="2"/>
        <v>0.15908029971865709</v>
      </c>
    </row>
    <row r="184" spans="1:18" x14ac:dyDescent="0.35">
      <c r="A184" s="3" t="s">
        <v>496</v>
      </c>
      <c r="B184" s="4">
        <v>45447</v>
      </c>
      <c r="C184" s="3" t="s">
        <v>497</v>
      </c>
      <c r="D184" s="3" t="s">
        <v>29</v>
      </c>
      <c r="E184" s="3" t="s">
        <v>60</v>
      </c>
      <c r="F184" s="3" t="s">
        <v>61</v>
      </c>
      <c r="G184" s="3" t="s">
        <v>22</v>
      </c>
      <c r="H184" s="3" t="s">
        <v>110</v>
      </c>
      <c r="I184" s="3" t="s">
        <v>317</v>
      </c>
      <c r="J184" s="3">
        <v>4</v>
      </c>
      <c r="K184" s="5">
        <v>38157.19</v>
      </c>
      <c r="L184" s="5">
        <v>106840.13</v>
      </c>
      <c r="M184" s="6">
        <v>30</v>
      </c>
      <c r="N184" s="5">
        <v>-12847.48</v>
      </c>
      <c r="O184" s="5">
        <v>317.99</v>
      </c>
      <c r="P184" s="3" t="s">
        <v>64</v>
      </c>
      <c r="Q184" s="3" t="s">
        <v>57</v>
      </c>
      <c r="R184" s="30">
        <f t="shared" si="2"/>
        <v>-0.12024957288988697</v>
      </c>
    </row>
    <row r="185" spans="1:18" x14ac:dyDescent="0.35">
      <c r="A185" s="7" t="s">
        <v>498</v>
      </c>
      <c r="B185" s="8">
        <v>45447</v>
      </c>
      <c r="C185" s="7" t="s">
        <v>499</v>
      </c>
      <c r="D185" s="7" t="s">
        <v>39</v>
      </c>
      <c r="E185" s="7" t="s">
        <v>20</v>
      </c>
      <c r="F185" s="7" t="s">
        <v>54</v>
      </c>
      <c r="G185" s="7" t="s">
        <v>32</v>
      </c>
      <c r="H185" s="7" t="s">
        <v>73</v>
      </c>
      <c r="I185" s="7" t="s">
        <v>74</v>
      </c>
      <c r="J185" s="7">
        <v>1</v>
      </c>
      <c r="K185" s="9">
        <v>6654.27</v>
      </c>
      <c r="L185" s="9">
        <v>5656.13</v>
      </c>
      <c r="M185" s="10">
        <v>15</v>
      </c>
      <c r="N185" s="9">
        <v>230.69</v>
      </c>
      <c r="O185" s="9">
        <v>129.62</v>
      </c>
      <c r="P185" s="7" t="s">
        <v>25</v>
      </c>
      <c r="Q185" s="7" t="s">
        <v>57</v>
      </c>
      <c r="R185" s="30">
        <f t="shared" si="2"/>
        <v>4.0785837666390268E-2</v>
      </c>
    </row>
    <row r="186" spans="1:18" x14ac:dyDescent="0.35">
      <c r="A186" s="3" t="s">
        <v>500</v>
      </c>
      <c r="B186" s="4">
        <v>45451</v>
      </c>
      <c r="C186" s="3" t="s">
        <v>501</v>
      </c>
      <c r="D186" s="3" t="s">
        <v>19</v>
      </c>
      <c r="E186" s="3" t="s">
        <v>20</v>
      </c>
      <c r="F186" s="3" t="s">
        <v>21</v>
      </c>
      <c r="G186" s="3" t="s">
        <v>22</v>
      </c>
      <c r="H186" s="3" t="s">
        <v>23</v>
      </c>
      <c r="I186" s="3" t="s">
        <v>78</v>
      </c>
      <c r="J186" s="3">
        <v>2</v>
      </c>
      <c r="K186" s="5">
        <v>35652.76</v>
      </c>
      <c r="L186" s="5">
        <v>60609.69</v>
      </c>
      <c r="M186" s="6">
        <v>15</v>
      </c>
      <c r="N186" s="5">
        <v>1608.82</v>
      </c>
      <c r="O186" s="5">
        <v>215.55</v>
      </c>
      <c r="P186" s="3" t="s">
        <v>35</v>
      </c>
      <c r="Q186" s="3" t="s">
        <v>57</v>
      </c>
      <c r="R186" s="30">
        <f t="shared" si="2"/>
        <v>2.6543940416128179E-2</v>
      </c>
    </row>
    <row r="187" spans="1:18" x14ac:dyDescent="0.35">
      <c r="A187" s="7" t="s">
        <v>502</v>
      </c>
      <c r="B187" s="8">
        <v>45453</v>
      </c>
      <c r="C187" s="7" t="s">
        <v>503</v>
      </c>
      <c r="D187" s="7" t="s">
        <v>39</v>
      </c>
      <c r="E187" s="7" t="s">
        <v>20</v>
      </c>
      <c r="F187" s="7" t="s">
        <v>129</v>
      </c>
      <c r="G187" s="7" t="s">
        <v>117</v>
      </c>
      <c r="H187" s="7" t="s">
        <v>153</v>
      </c>
      <c r="I187" s="7" t="s">
        <v>296</v>
      </c>
      <c r="J187" s="7">
        <v>3</v>
      </c>
      <c r="K187" s="9">
        <v>1140.0899999999999</v>
      </c>
      <c r="L187" s="9">
        <v>2394.19</v>
      </c>
      <c r="M187" s="10">
        <v>30</v>
      </c>
      <c r="N187" s="9">
        <v>351.43</v>
      </c>
      <c r="O187" s="9">
        <v>68.67</v>
      </c>
      <c r="P187" s="7" t="s">
        <v>64</v>
      </c>
      <c r="Q187" s="7" t="s">
        <v>65</v>
      </c>
      <c r="R187" s="30">
        <f t="shared" si="2"/>
        <v>0.14678450749522803</v>
      </c>
    </row>
    <row r="188" spans="1:18" x14ac:dyDescent="0.35">
      <c r="A188" s="3" t="s">
        <v>504</v>
      </c>
      <c r="B188" s="4">
        <v>45457</v>
      </c>
      <c r="C188" s="3" t="s">
        <v>505</v>
      </c>
      <c r="D188" s="3" t="s">
        <v>39</v>
      </c>
      <c r="E188" s="3" t="s">
        <v>30</v>
      </c>
      <c r="F188" s="3" t="s">
        <v>226</v>
      </c>
      <c r="G188" s="3" t="s">
        <v>134</v>
      </c>
      <c r="H188" s="3" t="s">
        <v>135</v>
      </c>
      <c r="I188" s="3" t="s">
        <v>382</v>
      </c>
      <c r="J188" s="3">
        <v>3</v>
      </c>
      <c r="K188" s="5">
        <v>1524.98</v>
      </c>
      <c r="L188" s="5">
        <v>4346.1899999999996</v>
      </c>
      <c r="M188" s="6">
        <v>5</v>
      </c>
      <c r="N188" s="5">
        <v>996.54</v>
      </c>
      <c r="O188" s="5">
        <v>309.55</v>
      </c>
      <c r="P188" s="3" t="s">
        <v>35</v>
      </c>
      <c r="Q188" s="3" t="s">
        <v>65</v>
      </c>
      <c r="R188" s="30">
        <f t="shared" si="2"/>
        <v>0.22929048200837976</v>
      </c>
    </row>
    <row r="189" spans="1:18" x14ac:dyDescent="0.35">
      <c r="A189" s="7" t="s">
        <v>506</v>
      </c>
      <c r="B189" s="8">
        <v>45462</v>
      </c>
      <c r="C189" s="7" t="s">
        <v>368</v>
      </c>
      <c r="D189" s="7" t="s">
        <v>19</v>
      </c>
      <c r="E189" s="7" t="s">
        <v>40</v>
      </c>
      <c r="F189" s="7" t="s">
        <v>77</v>
      </c>
      <c r="G189" s="7" t="s">
        <v>117</v>
      </c>
      <c r="H189" s="7" t="s">
        <v>125</v>
      </c>
      <c r="I189" s="7" t="s">
        <v>126</v>
      </c>
      <c r="J189" s="7">
        <v>2</v>
      </c>
      <c r="K189" s="9">
        <v>803.39</v>
      </c>
      <c r="L189" s="9">
        <v>1526.44</v>
      </c>
      <c r="M189" s="10">
        <v>5</v>
      </c>
      <c r="N189" s="9">
        <v>265.81</v>
      </c>
      <c r="O189" s="9">
        <v>145.18</v>
      </c>
      <c r="P189" s="7" t="s">
        <v>25</v>
      </c>
      <c r="Q189" s="7" t="s">
        <v>26</v>
      </c>
      <c r="R189" s="30">
        <f t="shared" si="2"/>
        <v>0.17413720814444064</v>
      </c>
    </row>
    <row r="190" spans="1:18" x14ac:dyDescent="0.35">
      <c r="A190" s="3" t="s">
        <v>507</v>
      </c>
      <c r="B190" s="4">
        <v>45464</v>
      </c>
      <c r="C190" s="3" t="s">
        <v>377</v>
      </c>
      <c r="D190" s="3" t="s">
        <v>39</v>
      </c>
      <c r="E190" s="3" t="s">
        <v>30</v>
      </c>
      <c r="F190" s="3" t="s">
        <v>48</v>
      </c>
      <c r="G190" s="3" t="s">
        <v>134</v>
      </c>
      <c r="H190" s="3" t="s">
        <v>244</v>
      </c>
      <c r="I190" s="3" t="s">
        <v>411</v>
      </c>
      <c r="J190" s="3">
        <v>2</v>
      </c>
      <c r="K190" s="5">
        <v>930.71</v>
      </c>
      <c r="L190" s="5">
        <v>1768.35</v>
      </c>
      <c r="M190" s="6">
        <v>5</v>
      </c>
      <c r="N190" s="5">
        <v>343.82</v>
      </c>
      <c r="O190" s="5">
        <v>262.67</v>
      </c>
      <c r="P190" s="3" t="s">
        <v>25</v>
      </c>
      <c r="Q190" s="3" t="s">
        <v>57</v>
      </c>
      <c r="R190" s="30">
        <f t="shared" si="2"/>
        <v>0.19442983572256625</v>
      </c>
    </row>
    <row r="191" spans="1:18" x14ac:dyDescent="0.35">
      <c r="A191" s="7" t="s">
        <v>508</v>
      </c>
      <c r="B191" s="8">
        <v>45466</v>
      </c>
      <c r="C191" s="7" t="s">
        <v>509</v>
      </c>
      <c r="D191" s="7" t="s">
        <v>39</v>
      </c>
      <c r="E191" s="7" t="s">
        <v>30</v>
      </c>
      <c r="F191" s="7" t="s">
        <v>48</v>
      </c>
      <c r="G191" s="7" t="s">
        <v>117</v>
      </c>
      <c r="H191" s="7" t="s">
        <v>118</v>
      </c>
      <c r="I191" s="7" t="s">
        <v>279</v>
      </c>
      <c r="J191" s="7">
        <v>2</v>
      </c>
      <c r="K191" s="9">
        <v>1165.6500000000001</v>
      </c>
      <c r="L191" s="9">
        <v>2098.17</v>
      </c>
      <c r="M191" s="10">
        <v>10</v>
      </c>
      <c r="N191" s="9">
        <v>551.02</v>
      </c>
      <c r="O191" s="9">
        <v>293.41000000000003</v>
      </c>
      <c r="P191" s="7" t="s">
        <v>83</v>
      </c>
      <c r="Q191" s="7" t="s">
        <v>57</v>
      </c>
      <c r="R191" s="30">
        <f t="shared" si="2"/>
        <v>0.26261933017820288</v>
      </c>
    </row>
    <row r="192" spans="1:18" x14ac:dyDescent="0.35">
      <c r="A192" s="3" t="s">
        <v>510</v>
      </c>
      <c r="B192" s="4">
        <v>45468</v>
      </c>
      <c r="C192" s="3" t="s">
        <v>511</v>
      </c>
      <c r="D192" s="3" t="s">
        <v>39</v>
      </c>
      <c r="E192" s="3" t="s">
        <v>20</v>
      </c>
      <c r="F192" s="3" t="s">
        <v>54</v>
      </c>
      <c r="G192" s="3" t="s">
        <v>49</v>
      </c>
      <c r="H192" s="3" t="s">
        <v>62</v>
      </c>
      <c r="I192" s="3" t="s">
        <v>424</v>
      </c>
      <c r="J192" s="3">
        <v>3</v>
      </c>
      <c r="K192" s="5">
        <v>2301.12</v>
      </c>
      <c r="L192" s="5">
        <v>6558.19</v>
      </c>
      <c r="M192" s="6">
        <v>5</v>
      </c>
      <c r="N192" s="5">
        <v>940.62</v>
      </c>
      <c r="O192" s="5">
        <v>251.78</v>
      </c>
      <c r="P192" s="3" t="s">
        <v>83</v>
      </c>
      <c r="Q192" s="3" t="s">
        <v>65</v>
      </c>
      <c r="R192" s="30">
        <f t="shared" si="2"/>
        <v>0.14342676866635459</v>
      </c>
    </row>
    <row r="193" spans="1:18" x14ac:dyDescent="0.35">
      <c r="A193" s="7" t="s">
        <v>512</v>
      </c>
      <c r="B193" s="8">
        <v>45469</v>
      </c>
      <c r="C193" s="7" t="s">
        <v>513</v>
      </c>
      <c r="D193" s="7" t="s">
        <v>19</v>
      </c>
      <c r="E193" s="7" t="s">
        <v>30</v>
      </c>
      <c r="F193" s="7" t="s">
        <v>48</v>
      </c>
      <c r="G193" s="7" t="s">
        <v>22</v>
      </c>
      <c r="H193" s="7" t="s">
        <v>55</v>
      </c>
      <c r="I193" s="7" t="s">
        <v>323</v>
      </c>
      <c r="J193" s="7">
        <v>2</v>
      </c>
      <c r="K193" s="9">
        <v>47136.51</v>
      </c>
      <c r="L193" s="9">
        <v>89559.37</v>
      </c>
      <c r="M193" s="10">
        <v>5</v>
      </c>
      <c r="N193" s="9">
        <v>2583.2600000000002</v>
      </c>
      <c r="O193" s="9">
        <v>263.8</v>
      </c>
      <c r="P193" s="7" t="s">
        <v>64</v>
      </c>
      <c r="Q193" s="7" t="s">
        <v>57</v>
      </c>
      <c r="R193" s="30">
        <f t="shared" si="2"/>
        <v>2.8844106429064879E-2</v>
      </c>
    </row>
    <row r="194" spans="1:18" x14ac:dyDescent="0.35">
      <c r="A194" s="3" t="s">
        <v>514</v>
      </c>
      <c r="B194" s="4">
        <v>45470</v>
      </c>
      <c r="C194" s="3" t="s">
        <v>515</v>
      </c>
      <c r="D194" s="3" t="s">
        <v>39</v>
      </c>
      <c r="E194" s="3" t="s">
        <v>20</v>
      </c>
      <c r="F194" s="3" t="s">
        <v>54</v>
      </c>
      <c r="G194" s="3" t="s">
        <v>32</v>
      </c>
      <c r="H194" s="3" t="s">
        <v>143</v>
      </c>
      <c r="I194" s="3" t="s">
        <v>516</v>
      </c>
      <c r="J194" s="3">
        <v>3</v>
      </c>
      <c r="K194" s="5">
        <v>748.3</v>
      </c>
      <c r="L194" s="5">
        <v>2132.66</v>
      </c>
      <c r="M194" s="6">
        <v>5</v>
      </c>
      <c r="N194" s="5">
        <v>266.22000000000003</v>
      </c>
      <c r="O194" s="5">
        <v>347.16</v>
      </c>
      <c r="P194" s="3" t="s">
        <v>45</v>
      </c>
      <c r="Q194" s="3" t="s">
        <v>26</v>
      </c>
      <c r="R194" s="30">
        <f t="shared" si="2"/>
        <v>0.12483002447647541</v>
      </c>
    </row>
    <row r="195" spans="1:18" x14ac:dyDescent="0.35">
      <c r="A195" s="7" t="s">
        <v>517</v>
      </c>
      <c r="B195" s="8">
        <v>45470</v>
      </c>
      <c r="C195" s="7" t="s">
        <v>518</v>
      </c>
      <c r="D195" s="7" t="s">
        <v>39</v>
      </c>
      <c r="E195" s="7" t="s">
        <v>20</v>
      </c>
      <c r="F195" s="7" t="s">
        <v>54</v>
      </c>
      <c r="G195" s="7" t="s">
        <v>32</v>
      </c>
      <c r="H195" s="7" t="s">
        <v>86</v>
      </c>
      <c r="I195" s="7" t="s">
        <v>233</v>
      </c>
      <c r="J195" s="7">
        <v>5</v>
      </c>
      <c r="K195" s="9">
        <v>3279.43</v>
      </c>
      <c r="L195" s="9">
        <v>14757.44</v>
      </c>
      <c r="M195" s="10">
        <v>10</v>
      </c>
      <c r="N195" s="9">
        <v>889.67</v>
      </c>
      <c r="O195" s="9">
        <v>100.84</v>
      </c>
      <c r="P195" s="7" t="s">
        <v>25</v>
      </c>
      <c r="Q195" s="7" t="s">
        <v>65</v>
      </c>
      <c r="R195" s="30">
        <f t="shared" ref="R195:R258" si="3">N195/L195</f>
        <v>6.0286201400784958E-2</v>
      </c>
    </row>
    <row r="196" spans="1:18" x14ac:dyDescent="0.35">
      <c r="A196" s="3" t="s">
        <v>519</v>
      </c>
      <c r="B196" s="4">
        <v>45473</v>
      </c>
      <c r="C196" s="3" t="s">
        <v>520</v>
      </c>
      <c r="D196" s="3" t="s">
        <v>19</v>
      </c>
      <c r="E196" s="3" t="s">
        <v>40</v>
      </c>
      <c r="F196" s="3" t="s">
        <v>109</v>
      </c>
      <c r="G196" s="3" t="s">
        <v>134</v>
      </c>
      <c r="H196" s="3" t="s">
        <v>135</v>
      </c>
      <c r="I196" s="3" t="s">
        <v>136</v>
      </c>
      <c r="J196" s="3">
        <v>1</v>
      </c>
      <c r="K196" s="5">
        <v>1160.93</v>
      </c>
      <c r="L196" s="5">
        <v>812.65</v>
      </c>
      <c r="M196" s="6">
        <v>30</v>
      </c>
      <c r="N196" s="5">
        <v>56.61</v>
      </c>
      <c r="O196" s="5">
        <v>34.159999999999997</v>
      </c>
      <c r="P196" s="3" t="s">
        <v>25</v>
      </c>
      <c r="Q196" s="3" t="s">
        <v>65</v>
      </c>
      <c r="R196" s="30">
        <f t="shared" si="3"/>
        <v>6.9660985664185077E-2</v>
      </c>
    </row>
    <row r="197" spans="1:18" x14ac:dyDescent="0.35">
      <c r="A197" s="7" t="s">
        <v>521</v>
      </c>
      <c r="B197" s="8">
        <v>45474</v>
      </c>
      <c r="C197" s="7" t="s">
        <v>482</v>
      </c>
      <c r="D197" s="7" t="s">
        <v>39</v>
      </c>
      <c r="E197" s="7" t="s">
        <v>20</v>
      </c>
      <c r="F197" s="7" t="s">
        <v>129</v>
      </c>
      <c r="G197" s="7" t="s">
        <v>32</v>
      </c>
      <c r="H197" s="7" t="s">
        <v>86</v>
      </c>
      <c r="I197" s="7" t="s">
        <v>211</v>
      </c>
      <c r="J197" s="7">
        <v>4</v>
      </c>
      <c r="K197" s="9">
        <v>5092.03</v>
      </c>
      <c r="L197" s="9">
        <v>17312.900000000001</v>
      </c>
      <c r="M197" s="10">
        <v>15</v>
      </c>
      <c r="N197" s="9">
        <v>2782.22</v>
      </c>
      <c r="O197" s="9">
        <v>258.18</v>
      </c>
      <c r="P197" s="7" t="s">
        <v>35</v>
      </c>
      <c r="Q197" s="7" t="s">
        <v>36</v>
      </c>
      <c r="R197" s="30">
        <f t="shared" si="3"/>
        <v>0.16070213540192571</v>
      </c>
    </row>
    <row r="198" spans="1:18" x14ac:dyDescent="0.35">
      <c r="A198" s="3" t="s">
        <v>522</v>
      </c>
      <c r="B198" s="4">
        <v>45475</v>
      </c>
      <c r="C198" s="3" t="s">
        <v>523</v>
      </c>
      <c r="D198" s="3" t="s">
        <v>19</v>
      </c>
      <c r="E198" s="3" t="s">
        <v>30</v>
      </c>
      <c r="F198" s="3" t="s">
        <v>48</v>
      </c>
      <c r="G198" s="3" t="s">
        <v>49</v>
      </c>
      <c r="H198" s="3" t="s">
        <v>91</v>
      </c>
      <c r="I198" s="3" t="s">
        <v>168</v>
      </c>
      <c r="J198" s="3">
        <v>2</v>
      </c>
      <c r="K198" s="5">
        <v>5679.81</v>
      </c>
      <c r="L198" s="5">
        <v>8519.7199999999993</v>
      </c>
      <c r="M198" s="6">
        <v>25</v>
      </c>
      <c r="N198" s="5">
        <v>195.96</v>
      </c>
      <c r="O198" s="5">
        <v>220.12</v>
      </c>
      <c r="P198" s="3" t="s">
        <v>83</v>
      </c>
      <c r="Q198" s="3" t="s">
        <v>65</v>
      </c>
      <c r="R198" s="30">
        <f t="shared" si="3"/>
        <v>2.3000755893386172E-2</v>
      </c>
    </row>
    <row r="199" spans="1:18" x14ac:dyDescent="0.35">
      <c r="A199" s="7" t="s">
        <v>524</v>
      </c>
      <c r="B199" s="8">
        <v>45475</v>
      </c>
      <c r="C199" s="7" t="s">
        <v>261</v>
      </c>
      <c r="D199" s="7" t="s">
        <v>39</v>
      </c>
      <c r="E199" s="7" t="s">
        <v>30</v>
      </c>
      <c r="F199" s="7" t="s">
        <v>226</v>
      </c>
      <c r="G199" s="7" t="s">
        <v>49</v>
      </c>
      <c r="H199" s="7" t="s">
        <v>98</v>
      </c>
      <c r="I199" s="7" t="s">
        <v>99</v>
      </c>
      <c r="J199" s="7">
        <v>1</v>
      </c>
      <c r="K199" s="9">
        <v>5002.1000000000004</v>
      </c>
      <c r="L199" s="9">
        <v>4501.8900000000003</v>
      </c>
      <c r="M199" s="10">
        <v>10</v>
      </c>
      <c r="N199" s="9">
        <v>1013.56</v>
      </c>
      <c r="O199" s="9">
        <v>301.39</v>
      </c>
      <c r="P199" s="7" t="s">
        <v>45</v>
      </c>
      <c r="Q199" s="7" t="s">
        <v>65</v>
      </c>
      <c r="R199" s="30">
        <f t="shared" si="3"/>
        <v>0.22514099633709395</v>
      </c>
    </row>
    <row r="200" spans="1:18" x14ac:dyDescent="0.35">
      <c r="A200" s="3" t="s">
        <v>525</v>
      </c>
      <c r="B200" s="4">
        <v>45476</v>
      </c>
      <c r="C200" s="3" t="s">
        <v>526</v>
      </c>
      <c r="D200" s="3" t="s">
        <v>39</v>
      </c>
      <c r="E200" s="3" t="s">
        <v>20</v>
      </c>
      <c r="F200" s="3" t="s">
        <v>21</v>
      </c>
      <c r="G200" s="3" t="s">
        <v>134</v>
      </c>
      <c r="H200" s="3" t="s">
        <v>139</v>
      </c>
      <c r="I200" s="3" t="s">
        <v>147</v>
      </c>
      <c r="J200" s="3">
        <v>1</v>
      </c>
      <c r="K200" s="5">
        <v>3867.67</v>
      </c>
      <c r="L200" s="5">
        <v>3094.14</v>
      </c>
      <c r="M200" s="6">
        <v>20</v>
      </c>
      <c r="N200" s="5">
        <v>265.14</v>
      </c>
      <c r="O200" s="5">
        <v>327.24</v>
      </c>
      <c r="P200" s="3" t="s">
        <v>35</v>
      </c>
      <c r="Q200" s="3" t="s">
        <v>65</v>
      </c>
      <c r="R200" s="30">
        <f t="shared" si="3"/>
        <v>8.5691015920417307E-2</v>
      </c>
    </row>
    <row r="201" spans="1:18" x14ac:dyDescent="0.35">
      <c r="A201" s="7" t="s">
        <v>527</v>
      </c>
      <c r="B201" s="8">
        <v>45476</v>
      </c>
      <c r="C201" s="7" t="s">
        <v>495</v>
      </c>
      <c r="D201" s="7" t="s">
        <v>29</v>
      </c>
      <c r="E201" s="7" t="s">
        <v>30</v>
      </c>
      <c r="F201" s="7" t="s">
        <v>48</v>
      </c>
      <c r="G201" s="7" t="s">
        <v>42</v>
      </c>
      <c r="H201" s="7" t="s">
        <v>164</v>
      </c>
      <c r="I201" s="7" t="s">
        <v>329</v>
      </c>
      <c r="J201" s="7">
        <v>1</v>
      </c>
      <c r="K201" s="9">
        <v>361.15</v>
      </c>
      <c r="L201" s="9">
        <v>361.15</v>
      </c>
      <c r="M201" s="10">
        <v>0</v>
      </c>
      <c r="N201" s="9">
        <v>69.69</v>
      </c>
      <c r="O201" s="9">
        <v>218.87</v>
      </c>
      <c r="P201" s="7" t="s">
        <v>35</v>
      </c>
      <c r="Q201" s="7" t="s">
        <v>57</v>
      </c>
      <c r="R201" s="30">
        <f t="shared" si="3"/>
        <v>0.19296691125571092</v>
      </c>
    </row>
    <row r="202" spans="1:18" x14ac:dyDescent="0.35">
      <c r="A202" s="3" t="s">
        <v>528</v>
      </c>
      <c r="B202" s="4">
        <v>45478</v>
      </c>
      <c r="C202" s="3" t="s">
        <v>529</v>
      </c>
      <c r="D202" s="3" t="s">
        <v>39</v>
      </c>
      <c r="E202" s="3" t="s">
        <v>30</v>
      </c>
      <c r="F202" s="3" t="s">
        <v>31</v>
      </c>
      <c r="G202" s="3" t="s">
        <v>42</v>
      </c>
      <c r="H202" s="3" t="s">
        <v>43</v>
      </c>
      <c r="I202" s="3" t="s">
        <v>44</v>
      </c>
      <c r="J202" s="3">
        <v>1</v>
      </c>
      <c r="K202" s="5">
        <v>180.61</v>
      </c>
      <c r="L202" s="5">
        <v>162.55000000000001</v>
      </c>
      <c r="M202" s="6">
        <v>10</v>
      </c>
      <c r="N202" s="5">
        <v>15.43</v>
      </c>
      <c r="O202" s="5">
        <v>257.24</v>
      </c>
      <c r="P202" s="3" t="s">
        <v>35</v>
      </c>
      <c r="Q202" s="3" t="s">
        <v>26</v>
      </c>
      <c r="R202" s="30">
        <f t="shared" si="3"/>
        <v>9.4924638572746842E-2</v>
      </c>
    </row>
    <row r="203" spans="1:18" x14ac:dyDescent="0.35">
      <c r="A203" s="7" t="s">
        <v>530</v>
      </c>
      <c r="B203" s="8">
        <v>45478</v>
      </c>
      <c r="C203" s="7" t="s">
        <v>286</v>
      </c>
      <c r="D203" s="7" t="s">
        <v>29</v>
      </c>
      <c r="E203" s="7" t="s">
        <v>60</v>
      </c>
      <c r="F203" s="7" t="s">
        <v>68</v>
      </c>
      <c r="G203" s="7" t="s">
        <v>22</v>
      </c>
      <c r="H203" s="7" t="s">
        <v>110</v>
      </c>
      <c r="I203" s="7" t="s">
        <v>111</v>
      </c>
      <c r="J203" s="7">
        <v>1</v>
      </c>
      <c r="K203" s="9">
        <v>49844.12</v>
      </c>
      <c r="L203" s="9">
        <v>42367.5</v>
      </c>
      <c r="M203" s="10">
        <v>15</v>
      </c>
      <c r="N203" s="9">
        <v>-131.97</v>
      </c>
      <c r="O203" s="9">
        <v>70.319999999999993</v>
      </c>
      <c r="P203" s="7" t="s">
        <v>45</v>
      </c>
      <c r="Q203" s="7" t="s">
        <v>57</v>
      </c>
      <c r="R203" s="30">
        <f t="shared" si="3"/>
        <v>-3.114887590724022E-3</v>
      </c>
    </row>
    <row r="204" spans="1:18" x14ac:dyDescent="0.35">
      <c r="A204" s="3" t="s">
        <v>531</v>
      </c>
      <c r="B204" s="4">
        <v>45478</v>
      </c>
      <c r="C204" s="3" t="s">
        <v>532</v>
      </c>
      <c r="D204" s="3" t="s">
        <v>39</v>
      </c>
      <c r="E204" s="3" t="s">
        <v>20</v>
      </c>
      <c r="F204" s="3" t="s">
        <v>54</v>
      </c>
      <c r="G204" s="3" t="s">
        <v>134</v>
      </c>
      <c r="H204" s="3" t="s">
        <v>244</v>
      </c>
      <c r="I204" s="3" t="s">
        <v>270</v>
      </c>
      <c r="J204" s="3">
        <v>2</v>
      </c>
      <c r="K204" s="5">
        <v>893.14</v>
      </c>
      <c r="L204" s="5">
        <v>1607.65</v>
      </c>
      <c r="M204" s="6">
        <v>10</v>
      </c>
      <c r="N204" s="5">
        <v>153.41</v>
      </c>
      <c r="O204" s="5">
        <v>134.16999999999999</v>
      </c>
      <c r="P204" s="3" t="s">
        <v>25</v>
      </c>
      <c r="Q204" s="3" t="s">
        <v>65</v>
      </c>
      <c r="R204" s="30">
        <f t="shared" si="3"/>
        <v>9.5424999222467569E-2</v>
      </c>
    </row>
    <row r="205" spans="1:18" x14ac:dyDescent="0.35">
      <c r="A205" s="7" t="s">
        <v>533</v>
      </c>
      <c r="B205" s="8">
        <v>45478</v>
      </c>
      <c r="C205" s="7" t="s">
        <v>534</v>
      </c>
      <c r="D205" s="7" t="s">
        <v>39</v>
      </c>
      <c r="E205" s="7" t="s">
        <v>30</v>
      </c>
      <c r="F205" s="7" t="s">
        <v>226</v>
      </c>
      <c r="G205" s="7" t="s">
        <v>117</v>
      </c>
      <c r="H205" s="7" t="s">
        <v>153</v>
      </c>
      <c r="I205" s="7" t="s">
        <v>296</v>
      </c>
      <c r="J205" s="7">
        <v>1</v>
      </c>
      <c r="K205" s="9">
        <v>1145.74</v>
      </c>
      <c r="L205" s="9">
        <v>1031.17</v>
      </c>
      <c r="M205" s="10">
        <v>10</v>
      </c>
      <c r="N205" s="9">
        <v>132.19</v>
      </c>
      <c r="O205" s="9">
        <v>210.55</v>
      </c>
      <c r="P205" s="7" t="s">
        <v>64</v>
      </c>
      <c r="Q205" s="7" t="s">
        <v>26</v>
      </c>
      <c r="R205" s="30">
        <f t="shared" si="3"/>
        <v>0.12819418718543013</v>
      </c>
    </row>
    <row r="206" spans="1:18" x14ac:dyDescent="0.35">
      <c r="A206" s="3" t="s">
        <v>535</v>
      </c>
      <c r="B206" s="4">
        <v>45480</v>
      </c>
      <c r="C206" s="3" t="s">
        <v>536</v>
      </c>
      <c r="D206" s="3" t="s">
        <v>39</v>
      </c>
      <c r="E206" s="3" t="s">
        <v>30</v>
      </c>
      <c r="F206" s="3" t="s">
        <v>31</v>
      </c>
      <c r="G206" s="3" t="s">
        <v>32</v>
      </c>
      <c r="H206" s="3" t="s">
        <v>33</v>
      </c>
      <c r="I206" s="3" t="s">
        <v>470</v>
      </c>
      <c r="J206" s="3">
        <v>2</v>
      </c>
      <c r="K206" s="5">
        <v>8227.52</v>
      </c>
      <c r="L206" s="5">
        <v>13986.78</v>
      </c>
      <c r="M206" s="6">
        <v>15</v>
      </c>
      <c r="N206" s="5">
        <v>1759.09</v>
      </c>
      <c r="O206" s="5">
        <v>261.81</v>
      </c>
      <c r="P206" s="3" t="s">
        <v>25</v>
      </c>
      <c r="Q206" s="3" t="s">
        <v>26</v>
      </c>
      <c r="R206" s="30">
        <f t="shared" si="3"/>
        <v>0.12576804668408309</v>
      </c>
    </row>
    <row r="207" spans="1:18" x14ac:dyDescent="0.35">
      <c r="A207" s="7" t="s">
        <v>537</v>
      </c>
      <c r="B207" s="8">
        <v>45484</v>
      </c>
      <c r="C207" s="7" t="s">
        <v>538</v>
      </c>
      <c r="D207" s="7" t="s">
        <v>39</v>
      </c>
      <c r="E207" s="7" t="s">
        <v>60</v>
      </c>
      <c r="F207" s="7" t="s">
        <v>61</v>
      </c>
      <c r="G207" s="7" t="s">
        <v>22</v>
      </c>
      <c r="H207" s="7" t="s">
        <v>23</v>
      </c>
      <c r="I207" s="7" t="s">
        <v>78</v>
      </c>
      <c r="J207" s="7">
        <v>1</v>
      </c>
      <c r="K207" s="9">
        <v>54671.76</v>
      </c>
      <c r="L207" s="9">
        <v>41003.82</v>
      </c>
      <c r="M207" s="10">
        <v>25</v>
      </c>
      <c r="N207" s="9">
        <v>-1741.8</v>
      </c>
      <c r="O207" s="9">
        <v>189.1</v>
      </c>
      <c r="P207" s="7" t="s">
        <v>64</v>
      </c>
      <c r="Q207" s="7" t="s">
        <v>65</v>
      </c>
      <c r="R207" s="30">
        <f t="shared" si="3"/>
        <v>-4.2478969032641346E-2</v>
      </c>
    </row>
    <row r="208" spans="1:18" x14ac:dyDescent="0.35">
      <c r="A208" s="3" t="s">
        <v>539</v>
      </c>
      <c r="B208" s="4">
        <v>45485</v>
      </c>
      <c r="C208" s="3" t="s">
        <v>540</v>
      </c>
      <c r="D208" s="3" t="s">
        <v>39</v>
      </c>
      <c r="E208" s="3" t="s">
        <v>20</v>
      </c>
      <c r="F208" s="3" t="s">
        <v>54</v>
      </c>
      <c r="G208" s="3" t="s">
        <v>42</v>
      </c>
      <c r="H208" s="3" t="s">
        <v>81</v>
      </c>
      <c r="I208" s="3" t="s">
        <v>431</v>
      </c>
      <c r="J208" s="3">
        <v>2</v>
      </c>
      <c r="K208" s="5">
        <v>711.18</v>
      </c>
      <c r="L208" s="5">
        <v>1280.1199999999999</v>
      </c>
      <c r="M208" s="6">
        <v>10</v>
      </c>
      <c r="N208" s="5">
        <v>122.02</v>
      </c>
      <c r="O208" s="5">
        <v>198.95</v>
      </c>
      <c r="P208" s="3" t="s">
        <v>64</v>
      </c>
      <c r="Q208" s="3" t="s">
        <v>65</v>
      </c>
      <c r="R208" s="30">
        <f t="shared" si="3"/>
        <v>9.5319188826047563E-2</v>
      </c>
    </row>
    <row r="209" spans="1:18" x14ac:dyDescent="0.35">
      <c r="A209" s="7" t="s">
        <v>541</v>
      </c>
      <c r="B209" s="8">
        <v>45485</v>
      </c>
      <c r="C209" s="7" t="s">
        <v>379</v>
      </c>
      <c r="D209" s="7" t="s">
        <v>19</v>
      </c>
      <c r="E209" s="7" t="s">
        <v>40</v>
      </c>
      <c r="F209" s="7" t="s">
        <v>77</v>
      </c>
      <c r="G209" s="7" t="s">
        <v>22</v>
      </c>
      <c r="H209" s="7" t="s">
        <v>110</v>
      </c>
      <c r="I209" s="7" t="s">
        <v>542</v>
      </c>
      <c r="J209" s="7">
        <v>3</v>
      </c>
      <c r="K209" s="9">
        <v>7860.98</v>
      </c>
      <c r="L209" s="9">
        <v>18866.349999999999</v>
      </c>
      <c r="M209" s="10">
        <v>20</v>
      </c>
      <c r="N209" s="9">
        <v>1075.01</v>
      </c>
      <c r="O209" s="9">
        <v>149.71</v>
      </c>
      <c r="P209" s="7" t="s">
        <v>64</v>
      </c>
      <c r="Q209" s="7" t="s">
        <v>65</v>
      </c>
      <c r="R209" s="30">
        <f t="shared" si="3"/>
        <v>5.6980285004783651E-2</v>
      </c>
    </row>
    <row r="210" spans="1:18" x14ac:dyDescent="0.35">
      <c r="A210" s="3" t="s">
        <v>543</v>
      </c>
      <c r="B210" s="4">
        <v>45488</v>
      </c>
      <c r="C210" s="3" t="s">
        <v>544</v>
      </c>
      <c r="D210" s="3" t="s">
        <v>39</v>
      </c>
      <c r="E210" s="3" t="s">
        <v>40</v>
      </c>
      <c r="F210" s="3" t="s">
        <v>90</v>
      </c>
      <c r="G210" s="3" t="s">
        <v>117</v>
      </c>
      <c r="H210" s="3" t="s">
        <v>130</v>
      </c>
      <c r="I210" s="3" t="s">
        <v>391</v>
      </c>
      <c r="J210" s="3">
        <v>2</v>
      </c>
      <c r="K210" s="5">
        <v>354.64</v>
      </c>
      <c r="L210" s="5">
        <v>567.41999999999996</v>
      </c>
      <c r="M210" s="6">
        <v>20</v>
      </c>
      <c r="N210" s="5">
        <v>83.74</v>
      </c>
      <c r="O210" s="5">
        <v>235.35</v>
      </c>
      <c r="P210" s="3" t="s">
        <v>35</v>
      </c>
      <c r="Q210" s="3" t="s">
        <v>57</v>
      </c>
      <c r="R210" s="30">
        <f t="shared" si="3"/>
        <v>0.14758027563356949</v>
      </c>
    </row>
    <row r="211" spans="1:18" x14ac:dyDescent="0.35">
      <c r="A211" s="7" t="s">
        <v>545</v>
      </c>
      <c r="B211" s="8">
        <v>45489</v>
      </c>
      <c r="C211" s="7" t="s">
        <v>325</v>
      </c>
      <c r="D211" s="7" t="s">
        <v>39</v>
      </c>
      <c r="E211" s="7" t="s">
        <v>40</v>
      </c>
      <c r="F211" s="7" t="s">
        <v>77</v>
      </c>
      <c r="G211" s="7" t="s">
        <v>49</v>
      </c>
      <c r="H211" s="7" t="s">
        <v>50</v>
      </c>
      <c r="I211" s="7" t="s">
        <v>51</v>
      </c>
      <c r="J211" s="7">
        <v>2</v>
      </c>
      <c r="K211" s="9">
        <v>6192.78</v>
      </c>
      <c r="L211" s="9">
        <v>11766.28</v>
      </c>
      <c r="M211" s="10">
        <v>5</v>
      </c>
      <c r="N211" s="9">
        <v>2301.73</v>
      </c>
      <c r="O211" s="9">
        <v>93.23</v>
      </c>
      <c r="P211" s="7" t="s">
        <v>35</v>
      </c>
      <c r="Q211" s="7" t="s">
        <v>65</v>
      </c>
      <c r="R211" s="30">
        <f t="shared" si="3"/>
        <v>0.195620875926801</v>
      </c>
    </row>
    <row r="212" spans="1:18" x14ac:dyDescent="0.35">
      <c r="A212" s="3" t="s">
        <v>546</v>
      </c>
      <c r="B212" s="4">
        <v>45490</v>
      </c>
      <c r="C212" s="3" t="s">
        <v>336</v>
      </c>
      <c r="D212" s="3" t="s">
        <v>19</v>
      </c>
      <c r="E212" s="3" t="s">
        <v>30</v>
      </c>
      <c r="F212" s="3" t="s">
        <v>226</v>
      </c>
      <c r="G212" s="3" t="s">
        <v>49</v>
      </c>
      <c r="H212" s="3" t="s">
        <v>62</v>
      </c>
      <c r="I212" s="3" t="s">
        <v>424</v>
      </c>
      <c r="J212" s="3">
        <v>2</v>
      </c>
      <c r="K212" s="5">
        <v>13448.48</v>
      </c>
      <c r="L212" s="5">
        <v>25552.11</v>
      </c>
      <c r="M212" s="6">
        <v>5</v>
      </c>
      <c r="N212" s="5">
        <v>6146.63</v>
      </c>
      <c r="O212" s="5">
        <v>197.43</v>
      </c>
      <c r="P212" s="3" t="s">
        <v>35</v>
      </c>
      <c r="Q212" s="3" t="s">
        <v>36</v>
      </c>
      <c r="R212" s="30">
        <f t="shared" si="3"/>
        <v>0.24055273713208028</v>
      </c>
    </row>
    <row r="213" spans="1:18" x14ac:dyDescent="0.35">
      <c r="A213" s="7" t="s">
        <v>547</v>
      </c>
      <c r="B213" s="8">
        <v>45491</v>
      </c>
      <c r="C213" s="7" t="s">
        <v>493</v>
      </c>
      <c r="D213" s="7" t="s">
        <v>19</v>
      </c>
      <c r="E213" s="7" t="s">
        <v>30</v>
      </c>
      <c r="F213" s="7" t="s">
        <v>48</v>
      </c>
      <c r="G213" s="7" t="s">
        <v>32</v>
      </c>
      <c r="H213" s="7" t="s">
        <v>73</v>
      </c>
      <c r="I213" s="7" t="s">
        <v>230</v>
      </c>
      <c r="J213" s="7">
        <v>1</v>
      </c>
      <c r="K213" s="9">
        <v>11576.37</v>
      </c>
      <c r="L213" s="9">
        <v>10997.55</v>
      </c>
      <c r="M213" s="10">
        <v>5</v>
      </c>
      <c r="N213" s="9">
        <v>1619.99</v>
      </c>
      <c r="O213" s="9">
        <v>217.38</v>
      </c>
      <c r="P213" s="7" t="s">
        <v>45</v>
      </c>
      <c r="Q213" s="7" t="s">
        <v>26</v>
      </c>
      <c r="R213" s="30">
        <f t="shared" si="3"/>
        <v>0.14730462693963656</v>
      </c>
    </row>
    <row r="214" spans="1:18" x14ac:dyDescent="0.35">
      <c r="A214" s="3" t="s">
        <v>548</v>
      </c>
      <c r="B214" s="4">
        <v>45491</v>
      </c>
      <c r="C214" s="3" t="s">
        <v>549</v>
      </c>
      <c r="D214" s="3" t="s">
        <v>39</v>
      </c>
      <c r="E214" s="3" t="s">
        <v>40</v>
      </c>
      <c r="F214" s="3" t="s">
        <v>90</v>
      </c>
      <c r="G214" s="3" t="s">
        <v>134</v>
      </c>
      <c r="H214" s="3" t="s">
        <v>139</v>
      </c>
      <c r="I214" s="3" t="s">
        <v>140</v>
      </c>
      <c r="J214" s="3">
        <v>2</v>
      </c>
      <c r="K214" s="5">
        <v>656.13</v>
      </c>
      <c r="L214" s="5">
        <v>1181.03</v>
      </c>
      <c r="M214" s="6">
        <v>10</v>
      </c>
      <c r="N214" s="5">
        <v>290.66000000000003</v>
      </c>
      <c r="O214" s="5">
        <v>274.22000000000003</v>
      </c>
      <c r="P214" s="3" t="s">
        <v>83</v>
      </c>
      <c r="Q214" s="3" t="s">
        <v>65</v>
      </c>
      <c r="R214" s="30">
        <f t="shared" si="3"/>
        <v>0.24610721150182471</v>
      </c>
    </row>
    <row r="215" spans="1:18" x14ac:dyDescent="0.35">
      <c r="A215" s="7" t="s">
        <v>550</v>
      </c>
      <c r="B215" s="8">
        <v>45491</v>
      </c>
      <c r="C215" s="7" t="s">
        <v>551</v>
      </c>
      <c r="D215" s="7" t="s">
        <v>39</v>
      </c>
      <c r="E215" s="7" t="s">
        <v>40</v>
      </c>
      <c r="F215" s="7" t="s">
        <v>90</v>
      </c>
      <c r="G215" s="7" t="s">
        <v>22</v>
      </c>
      <c r="H215" s="7" t="s">
        <v>55</v>
      </c>
      <c r="I215" s="7" t="s">
        <v>399</v>
      </c>
      <c r="J215" s="7">
        <v>2</v>
      </c>
      <c r="K215" s="9">
        <v>15680.35</v>
      </c>
      <c r="L215" s="9">
        <v>26656.6</v>
      </c>
      <c r="M215" s="10">
        <v>15</v>
      </c>
      <c r="N215" s="9">
        <v>1494.57</v>
      </c>
      <c r="O215" s="9">
        <v>329.61</v>
      </c>
      <c r="P215" s="7" t="s">
        <v>45</v>
      </c>
      <c r="Q215" s="7" t="s">
        <v>65</v>
      </c>
      <c r="R215" s="30">
        <f t="shared" si="3"/>
        <v>5.6067540496537442E-2</v>
      </c>
    </row>
    <row r="216" spans="1:18" x14ac:dyDescent="0.35">
      <c r="A216" s="3" t="s">
        <v>552</v>
      </c>
      <c r="B216" s="4">
        <v>45492</v>
      </c>
      <c r="C216" s="3" t="s">
        <v>415</v>
      </c>
      <c r="D216" s="3" t="s">
        <v>39</v>
      </c>
      <c r="E216" s="3" t="s">
        <v>20</v>
      </c>
      <c r="F216" s="3" t="s">
        <v>21</v>
      </c>
      <c r="G216" s="3" t="s">
        <v>117</v>
      </c>
      <c r="H216" s="3" t="s">
        <v>118</v>
      </c>
      <c r="I216" s="3" t="s">
        <v>553</v>
      </c>
      <c r="J216" s="3">
        <v>1</v>
      </c>
      <c r="K216" s="5">
        <v>1962.07</v>
      </c>
      <c r="L216" s="5">
        <v>1863.97</v>
      </c>
      <c r="M216" s="6">
        <v>5</v>
      </c>
      <c r="N216" s="5">
        <v>410.65</v>
      </c>
      <c r="O216" s="5">
        <v>300.69</v>
      </c>
      <c r="P216" s="3" t="s">
        <v>35</v>
      </c>
      <c r="Q216" s="3" t="s">
        <v>65</v>
      </c>
      <c r="R216" s="30">
        <f t="shared" si="3"/>
        <v>0.2203093397425924</v>
      </c>
    </row>
    <row r="217" spans="1:18" x14ac:dyDescent="0.35">
      <c r="A217" s="7" t="s">
        <v>554</v>
      </c>
      <c r="B217" s="8">
        <v>45492</v>
      </c>
      <c r="C217" s="7" t="s">
        <v>555</v>
      </c>
      <c r="D217" s="7" t="s">
        <v>19</v>
      </c>
      <c r="E217" s="7" t="s">
        <v>20</v>
      </c>
      <c r="F217" s="7" t="s">
        <v>21</v>
      </c>
      <c r="G217" s="7" t="s">
        <v>49</v>
      </c>
      <c r="H217" s="7" t="s">
        <v>98</v>
      </c>
      <c r="I217" s="7" t="s">
        <v>99</v>
      </c>
      <c r="J217" s="7">
        <v>1</v>
      </c>
      <c r="K217" s="9">
        <v>7566.14</v>
      </c>
      <c r="L217" s="9">
        <v>5296.3</v>
      </c>
      <c r="M217" s="10">
        <v>30</v>
      </c>
      <c r="N217" s="9">
        <v>12.7</v>
      </c>
      <c r="O217" s="9">
        <v>184.62</v>
      </c>
      <c r="P217" s="7" t="s">
        <v>64</v>
      </c>
      <c r="Q217" s="7" t="s">
        <v>26</v>
      </c>
      <c r="R217" s="30">
        <f t="shared" si="3"/>
        <v>2.3979004210486566E-3</v>
      </c>
    </row>
    <row r="218" spans="1:18" x14ac:dyDescent="0.35">
      <c r="A218" s="3" t="s">
        <v>556</v>
      </c>
      <c r="B218" s="4">
        <v>45492</v>
      </c>
      <c r="C218" s="3" t="s">
        <v>557</v>
      </c>
      <c r="D218" s="3" t="s">
        <v>19</v>
      </c>
      <c r="E218" s="3" t="s">
        <v>30</v>
      </c>
      <c r="F218" s="3" t="s">
        <v>31</v>
      </c>
      <c r="G218" s="3" t="s">
        <v>49</v>
      </c>
      <c r="H218" s="3" t="s">
        <v>62</v>
      </c>
      <c r="I218" s="3" t="s">
        <v>424</v>
      </c>
      <c r="J218" s="3">
        <v>3</v>
      </c>
      <c r="K218" s="5">
        <v>7211.04</v>
      </c>
      <c r="L218" s="5">
        <v>20551.46</v>
      </c>
      <c r="M218" s="6">
        <v>5</v>
      </c>
      <c r="N218" s="5">
        <v>1304.44</v>
      </c>
      <c r="O218" s="5">
        <v>307.54000000000002</v>
      </c>
      <c r="P218" s="3" t="s">
        <v>45</v>
      </c>
      <c r="Q218" s="3" t="s">
        <v>65</v>
      </c>
      <c r="R218" s="30">
        <f t="shared" si="3"/>
        <v>6.3471889588379612E-2</v>
      </c>
    </row>
    <row r="219" spans="1:18" x14ac:dyDescent="0.35">
      <c r="A219" s="7" t="s">
        <v>558</v>
      </c>
      <c r="B219" s="8">
        <v>45493</v>
      </c>
      <c r="C219" s="7" t="s">
        <v>240</v>
      </c>
      <c r="D219" s="7" t="s">
        <v>39</v>
      </c>
      <c r="E219" s="7" t="s">
        <v>40</v>
      </c>
      <c r="F219" s="7" t="s">
        <v>109</v>
      </c>
      <c r="G219" s="7" t="s">
        <v>49</v>
      </c>
      <c r="H219" s="7" t="s">
        <v>62</v>
      </c>
      <c r="I219" s="7" t="s">
        <v>424</v>
      </c>
      <c r="J219" s="7">
        <v>3</v>
      </c>
      <c r="K219" s="9">
        <v>12209.61</v>
      </c>
      <c r="L219" s="9">
        <v>36628.83</v>
      </c>
      <c r="M219" s="10">
        <v>0</v>
      </c>
      <c r="N219" s="9">
        <v>5653.76</v>
      </c>
      <c r="O219" s="9">
        <v>305.33</v>
      </c>
      <c r="P219" s="7" t="s">
        <v>64</v>
      </c>
      <c r="Q219" s="7" t="s">
        <v>57</v>
      </c>
      <c r="R219" s="30">
        <f t="shared" si="3"/>
        <v>0.15435273253336237</v>
      </c>
    </row>
    <row r="220" spans="1:18" x14ac:dyDescent="0.35">
      <c r="A220" s="3" t="s">
        <v>559</v>
      </c>
      <c r="B220" s="4">
        <v>45493</v>
      </c>
      <c r="C220" s="3" t="s">
        <v>560</v>
      </c>
      <c r="D220" s="3" t="s">
        <v>39</v>
      </c>
      <c r="E220" s="3" t="s">
        <v>30</v>
      </c>
      <c r="F220" s="3" t="s">
        <v>226</v>
      </c>
      <c r="G220" s="3" t="s">
        <v>49</v>
      </c>
      <c r="H220" s="3" t="s">
        <v>98</v>
      </c>
      <c r="I220" s="3" t="s">
        <v>299</v>
      </c>
      <c r="J220" s="3">
        <v>1</v>
      </c>
      <c r="K220" s="5">
        <v>8745.07</v>
      </c>
      <c r="L220" s="5">
        <v>8745.07</v>
      </c>
      <c r="M220" s="6">
        <v>0</v>
      </c>
      <c r="N220" s="5">
        <v>1043.8699999999999</v>
      </c>
      <c r="O220" s="5">
        <v>134.07</v>
      </c>
      <c r="P220" s="3" t="s">
        <v>35</v>
      </c>
      <c r="Q220" s="3" t="s">
        <v>65</v>
      </c>
      <c r="R220" s="30">
        <f t="shared" si="3"/>
        <v>0.11936668317120389</v>
      </c>
    </row>
    <row r="221" spans="1:18" x14ac:dyDescent="0.35">
      <c r="A221" s="7" t="s">
        <v>561</v>
      </c>
      <c r="B221" s="8">
        <v>45494</v>
      </c>
      <c r="C221" s="7" t="s">
        <v>89</v>
      </c>
      <c r="D221" s="7" t="s">
        <v>29</v>
      </c>
      <c r="E221" s="7" t="s">
        <v>30</v>
      </c>
      <c r="F221" s="7" t="s">
        <v>226</v>
      </c>
      <c r="G221" s="7" t="s">
        <v>32</v>
      </c>
      <c r="H221" s="7" t="s">
        <v>73</v>
      </c>
      <c r="I221" s="7" t="s">
        <v>214</v>
      </c>
      <c r="J221" s="7">
        <v>1</v>
      </c>
      <c r="K221" s="9">
        <v>11061.74</v>
      </c>
      <c r="L221" s="9">
        <v>10508.65</v>
      </c>
      <c r="M221" s="10">
        <v>5</v>
      </c>
      <c r="N221" s="9">
        <v>2019.54</v>
      </c>
      <c r="O221" s="9">
        <v>54.14</v>
      </c>
      <c r="P221" s="7" t="s">
        <v>64</v>
      </c>
      <c r="Q221" s="7" t="s">
        <v>57</v>
      </c>
      <c r="R221" s="30">
        <f t="shared" si="3"/>
        <v>0.19217882411156523</v>
      </c>
    </row>
    <row r="222" spans="1:18" x14ac:dyDescent="0.35">
      <c r="A222" s="3" t="s">
        <v>562</v>
      </c>
      <c r="B222" s="4">
        <v>45495</v>
      </c>
      <c r="C222" s="3" t="s">
        <v>563</v>
      </c>
      <c r="D222" s="3" t="s">
        <v>39</v>
      </c>
      <c r="E222" s="3" t="s">
        <v>40</v>
      </c>
      <c r="F222" s="3" t="s">
        <v>41</v>
      </c>
      <c r="G222" s="3" t="s">
        <v>32</v>
      </c>
      <c r="H222" s="3" t="s">
        <v>143</v>
      </c>
      <c r="I222" s="3" t="s">
        <v>321</v>
      </c>
      <c r="J222" s="3">
        <v>1</v>
      </c>
      <c r="K222" s="5">
        <v>7042.66</v>
      </c>
      <c r="L222" s="5">
        <v>6690.53</v>
      </c>
      <c r="M222" s="6">
        <v>5</v>
      </c>
      <c r="N222" s="5">
        <v>1478.12</v>
      </c>
      <c r="O222" s="5">
        <v>112.16</v>
      </c>
      <c r="P222" s="3" t="s">
        <v>83</v>
      </c>
      <c r="Q222" s="3" t="s">
        <v>65</v>
      </c>
      <c r="R222" s="30">
        <f t="shared" si="3"/>
        <v>0.22092719111938813</v>
      </c>
    </row>
    <row r="223" spans="1:18" x14ac:dyDescent="0.35">
      <c r="A223" s="7" t="s">
        <v>564</v>
      </c>
      <c r="B223" s="8">
        <v>45496</v>
      </c>
      <c r="C223" s="7" t="s">
        <v>565</v>
      </c>
      <c r="D223" s="7" t="s">
        <v>29</v>
      </c>
      <c r="E223" s="7" t="s">
        <v>40</v>
      </c>
      <c r="F223" s="7" t="s">
        <v>109</v>
      </c>
      <c r="G223" s="7" t="s">
        <v>49</v>
      </c>
      <c r="H223" s="7" t="s">
        <v>91</v>
      </c>
      <c r="I223" s="7" t="s">
        <v>92</v>
      </c>
      <c r="J223" s="7">
        <v>1</v>
      </c>
      <c r="K223" s="9">
        <v>10555.59</v>
      </c>
      <c r="L223" s="9">
        <v>10555.59</v>
      </c>
      <c r="M223" s="10">
        <v>0</v>
      </c>
      <c r="N223" s="9">
        <v>2511</v>
      </c>
      <c r="O223" s="9">
        <v>170.51</v>
      </c>
      <c r="P223" s="7" t="s">
        <v>64</v>
      </c>
      <c r="Q223" s="7" t="s">
        <v>26</v>
      </c>
      <c r="R223" s="30">
        <f t="shared" si="3"/>
        <v>0.23788343427510922</v>
      </c>
    </row>
    <row r="224" spans="1:18" x14ac:dyDescent="0.35">
      <c r="A224" s="3" t="s">
        <v>566</v>
      </c>
      <c r="B224" s="4">
        <v>45496</v>
      </c>
      <c r="C224" s="3" t="s">
        <v>314</v>
      </c>
      <c r="D224" s="3" t="s">
        <v>39</v>
      </c>
      <c r="E224" s="3" t="s">
        <v>30</v>
      </c>
      <c r="F224" s="3" t="s">
        <v>226</v>
      </c>
      <c r="G224" s="3" t="s">
        <v>42</v>
      </c>
      <c r="H224" s="3" t="s">
        <v>172</v>
      </c>
      <c r="I224" s="3" t="s">
        <v>223</v>
      </c>
      <c r="J224" s="3">
        <v>1</v>
      </c>
      <c r="K224" s="5">
        <v>934.82</v>
      </c>
      <c r="L224" s="5">
        <v>934.82</v>
      </c>
      <c r="M224" s="6">
        <v>0</v>
      </c>
      <c r="N224" s="5">
        <v>107.74</v>
      </c>
      <c r="O224" s="5">
        <v>336.49</v>
      </c>
      <c r="P224" s="3" t="s">
        <v>35</v>
      </c>
      <c r="Q224" s="3" t="s">
        <v>65</v>
      </c>
      <c r="R224" s="30">
        <f t="shared" si="3"/>
        <v>0.11525213410068247</v>
      </c>
    </row>
    <row r="225" spans="1:18" x14ac:dyDescent="0.35">
      <c r="A225" s="7" t="s">
        <v>567</v>
      </c>
      <c r="B225" s="8">
        <v>45497</v>
      </c>
      <c r="C225" s="7" t="s">
        <v>568</v>
      </c>
      <c r="D225" s="7" t="s">
        <v>19</v>
      </c>
      <c r="E225" s="7" t="s">
        <v>60</v>
      </c>
      <c r="F225" s="7" t="s">
        <v>104</v>
      </c>
      <c r="G225" s="7" t="s">
        <v>117</v>
      </c>
      <c r="H225" s="7" t="s">
        <v>118</v>
      </c>
      <c r="I225" s="7" t="s">
        <v>438</v>
      </c>
      <c r="J225" s="7">
        <v>2</v>
      </c>
      <c r="K225" s="9">
        <v>471.9</v>
      </c>
      <c r="L225" s="9">
        <v>943.8</v>
      </c>
      <c r="M225" s="10">
        <v>0</v>
      </c>
      <c r="N225" s="9">
        <v>277.81</v>
      </c>
      <c r="O225" s="9">
        <v>45.01</v>
      </c>
      <c r="P225" s="7" t="s">
        <v>64</v>
      </c>
      <c r="Q225" s="7" t="s">
        <v>65</v>
      </c>
      <c r="R225" s="30">
        <f t="shared" si="3"/>
        <v>0.2943526170798898</v>
      </c>
    </row>
    <row r="226" spans="1:18" x14ac:dyDescent="0.35">
      <c r="A226" s="3" t="s">
        <v>569</v>
      </c>
      <c r="B226" s="4">
        <v>45498</v>
      </c>
      <c r="C226" s="3" t="s">
        <v>291</v>
      </c>
      <c r="D226" s="3" t="s">
        <v>39</v>
      </c>
      <c r="E226" s="3" t="s">
        <v>30</v>
      </c>
      <c r="F226" s="3" t="s">
        <v>226</v>
      </c>
      <c r="G226" s="3" t="s">
        <v>32</v>
      </c>
      <c r="H226" s="3" t="s">
        <v>86</v>
      </c>
      <c r="I226" s="3" t="s">
        <v>211</v>
      </c>
      <c r="J226" s="3">
        <v>3</v>
      </c>
      <c r="K226" s="5">
        <v>3419.33</v>
      </c>
      <c r="L226" s="5">
        <v>8719.2900000000009</v>
      </c>
      <c r="M226" s="6">
        <v>15</v>
      </c>
      <c r="N226" s="5">
        <v>903.62</v>
      </c>
      <c r="O226" s="5">
        <v>239.34</v>
      </c>
      <c r="P226" s="3" t="s">
        <v>64</v>
      </c>
      <c r="Q226" s="3" t="s">
        <v>65</v>
      </c>
      <c r="R226" s="30">
        <f t="shared" si="3"/>
        <v>0.10363458492606621</v>
      </c>
    </row>
    <row r="227" spans="1:18" x14ac:dyDescent="0.35">
      <c r="A227" s="7" t="s">
        <v>570</v>
      </c>
      <c r="B227" s="8">
        <v>45499</v>
      </c>
      <c r="C227" s="7" t="s">
        <v>571</v>
      </c>
      <c r="D227" s="7" t="s">
        <v>29</v>
      </c>
      <c r="E227" s="7" t="s">
        <v>60</v>
      </c>
      <c r="F227" s="7" t="s">
        <v>61</v>
      </c>
      <c r="G227" s="7" t="s">
        <v>49</v>
      </c>
      <c r="H227" s="7" t="s">
        <v>62</v>
      </c>
      <c r="I227" s="7" t="s">
        <v>424</v>
      </c>
      <c r="J227" s="7">
        <v>1</v>
      </c>
      <c r="K227" s="9">
        <v>9589.76</v>
      </c>
      <c r="L227" s="9">
        <v>8630.7800000000007</v>
      </c>
      <c r="M227" s="10">
        <v>10</v>
      </c>
      <c r="N227" s="9">
        <v>2016.04</v>
      </c>
      <c r="O227" s="9">
        <v>76.06</v>
      </c>
      <c r="P227" s="7" t="s">
        <v>64</v>
      </c>
      <c r="Q227" s="7" t="s">
        <v>65</v>
      </c>
      <c r="R227" s="30">
        <f t="shared" si="3"/>
        <v>0.23358723081807203</v>
      </c>
    </row>
    <row r="228" spans="1:18" x14ac:dyDescent="0.35">
      <c r="A228" s="3" t="s">
        <v>572</v>
      </c>
      <c r="B228" s="4">
        <v>45499</v>
      </c>
      <c r="C228" s="3" t="s">
        <v>163</v>
      </c>
      <c r="D228" s="3" t="s">
        <v>39</v>
      </c>
      <c r="E228" s="3" t="s">
        <v>60</v>
      </c>
      <c r="F228" s="3" t="s">
        <v>72</v>
      </c>
      <c r="G228" s="3" t="s">
        <v>134</v>
      </c>
      <c r="H228" s="3" t="s">
        <v>135</v>
      </c>
      <c r="I228" s="3" t="s">
        <v>136</v>
      </c>
      <c r="J228" s="3">
        <v>3</v>
      </c>
      <c r="K228" s="5">
        <v>2599.89</v>
      </c>
      <c r="L228" s="5">
        <v>6629.72</v>
      </c>
      <c r="M228" s="6">
        <v>15</v>
      </c>
      <c r="N228" s="5">
        <v>796.24</v>
      </c>
      <c r="O228" s="5">
        <v>265.94</v>
      </c>
      <c r="P228" s="3" t="s">
        <v>45</v>
      </c>
      <c r="Q228" s="3" t="s">
        <v>57</v>
      </c>
      <c r="R228" s="30">
        <f t="shared" si="3"/>
        <v>0.12010160308429314</v>
      </c>
    </row>
    <row r="229" spans="1:18" x14ac:dyDescent="0.35">
      <c r="A229" s="7" t="s">
        <v>573</v>
      </c>
      <c r="B229" s="8">
        <v>45499</v>
      </c>
      <c r="C229" s="7" t="s">
        <v>574</v>
      </c>
      <c r="D229" s="7" t="s">
        <v>19</v>
      </c>
      <c r="E229" s="7" t="s">
        <v>30</v>
      </c>
      <c r="F229" s="7" t="s">
        <v>226</v>
      </c>
      <c r="G229" s="7" t="s">
        <v>22</v>
      </c>
      <c r="H229" s="7" t="s">
        <v>23</v>
      </c>
      <c r="I229" s="7" t="s">
        <v>24</v>
      </c>
      <c r="J229" s="7">
        <v>1</v>
      </c>
      <c r="K229" s="9">
        <v>58435.63</v>
      </c>
      <c r="L229" s="9">
        <v>49670.29</v>
      </c>
      <c r="M229" s="10">
        <v>15</v>
      </c>
      <c r="N229" s="9">
        <v>1118.81</v>
      </c>
      <c r="O229" s="9">
        <v>235.45</v>
      </c>
      <c r="P229" s="7" t="s">
        <v>45</v>
      </c>
      <c r="Q229" s="7" t="s">
        <v>26</v>
      </c>
      <c r="R229" s="30">
        <f t="shared" si="3"/>
        <v>2.2524732591655897E-2</v>
      </c>
    </row>
    <row r="230" spans="1:18" x14ac:dyDescent="0.35">
      <c r="A230" s="3" t="s">
        <v>575</v>
      </c>
      <c r="B230" s="4">
        <v>45500</v>
      </c>
      <c r="C230" s="3" t="s">
        <v>576</v>
      </c>
      <c r="D230" s="3" t="s">
        <v>39</v>
      </c>
      <c r="E230" s="3" t="s">
        <v>40</v>
      </c>
      <c r="F230" s="3" t="s">
        <v>90</v>
      </c>
      <c r="G230" s="3" t="s">
        <v>49</v>
      </c>
      <c r="H230" s="3" t="s">
        <v>91</v>
      </c>
      <c r="I230" s="3" t="s">
        <v>188</v>
      </c>
      <c r="J230" s="3">
        <v>1</v>
      </c>
      <c r="K230" s="5">
        <v>14933.79</v>
      </c>
      <c r="L230" s="5">
        <v>12693.72</v>
      </c>
      <c r="M230" s="6">
        <v>15</v>
      </c>
      <c r="N230" s="5">
        <v>157.96</v>
      </c>
      <c r="O230" s="5">
        <v>215.75</v>
      </c>
      <c r="P230" s="3" t="s">
        <v>64</v>
      </c>
      <c r="Q230" s="3" t="s">
        <v>65</v>
      </c>
      <c r="R230" s="30">
        <f t="shared" si="3"/>
        <v>1.2443948661227758E-2</v>
      </c>
    </row>
    <row r="231" spans="1:18" x14ac:dyDescent="0.35">
      <c r="A231" s="7" t="s">
        <v>577</v>
      </c>
      <c r="B231" s="8">
        <v>45502</v>
      </c>
      <c r="C231" s="7" t="s">
        <v>578</v>
      </c>
      <c r="D231" s="7" t="s">
        <v>39</v>
      </c>
      <c r="E231" s="7" t="s">
        <v>30</v>
      </c>
      <c r="F231" s="7" t="s">
        <v>31</v>
      </c>
      <c r="G231" s="7" t="s">
        <v>32</v>
      </c>
      <c r="H231" s="7" t="s">
        <v>86</v>
      </c>
      <c r="I231" s="7" t="s">
        <v>87</v>
      </c>
      <c r="J231" s="7">
        <v>2</v>
      </c>
      <c r="K231" s="9">
        <v>8033.76</v>
      </c>
      <c r="L231" s="9">
        <v>13657.39</v>
      </c>
      <c r="M231" s="10">
        <v>15</v>
      </c>
      <c r="N231" s="9">
        <v>1369.34</v>
      </c>
      <c r="O231" s="9">
        <v>84.43</v>
      </c>
      <c r="P231" s="7" t="s">
        <v>35</v>
      </c>
      <c r="Q231" s="7" t="s">
        <v>26</v>
      </c>
      <c r="R231" s="30">
        <f t="shared" si="3"/>
        <v>0.10026366677674138</v>
      </c>
    </row>
    <row r="232" spans="1:18" x14ac:dyDescent="0.35">
      <c r="A232" s="3" t="s">
        <v>579</v>
      </c>
      <c r="B232" s="4">
        <v>45502</v>
      </c>
      <c r="C232" s="3" t="s">
        <v>580</v>
      </c>
      <c r="D232" s="3" t="s">
        <v>39</v>
      </c>
      <c r="E232" s="3" t="s">
        <v>30</v>
      </c>
      <c r="F232" s="3" t="s">
        <v>226</v>
      </c>
      <c r="G232" s="3" t="s">
        <v>117</v>
      </c>
      <c r="H232" s="3" t="s">
        <v>118</v>
      </c>
      <c r="I232" s="3" t="s">
        <v>438</v>
      </c>
      <c r="J232" s="3">
        <v>1</v>
      </c>
      <c r="K232" s="5">
        <v>2491.5700000000002</v>
      </c>
      <c r="L232" s="5">
        <v>1868.68</v>
      </c>
      <c r="M232" s="6">
        <v>25</v>
      </c>
      <c r="N232" s="5">
        <v>202.05</v>
      </c>
      <c r="O232" s="5">
        <v>147.86000000000001</v>
      </c>
      <c r="P232" s="3" t="s">
        <v>83</v>
      </c>
      <c r="Q232" s="3" t="s">
        <v>26</v>
      </c>
      <c r="R232" s="30">
        <f t="shared" si="3"/>
        <v>0.10812445148447032</v>
      </c>
    </row>
    <row r="233" spans="1:18" x14ac:dyDescent="0.35">
      <c r="A233" s="7" t="s">
        <v>581</v>
      </c>
      <c r="B233" s="8">
        <v>45503</v>
      </c>
      <c r="C233" s="7" t="s">
        <v>582</v>
      </c>
      <c r="D233" s="7" t="s">
        <v>39</v>
      </c>
      <c r="E233" s="7" t="s">
        <v>60</v>
      </c>
      <c r="F233" s="7" t="s">
        <v>68</v>
      </c>
      <c r="G233" s="7" t="s">
        <v>22</v>
      </c>
      <c r="H233" s="7" t="s">
        <v>55</v>
      </c>
      <c r="I233" s="7" t="s">
        <v>416</v>
      </c>
      <c r="J233" s="7">
        <v>2</v>
      </c>
      <c r="K233" s="9">
        <v>14216.77</v>
      </c>
      <c r="L233" s="9">
        <v>21325.15</v>
      </c>
      <c r="M233" s="10">
        <v>25</v>
      </c>
      <c r="N233" s="9">
        <v>63.42</v>
      </c>
      <c r="O233" s="9">
        <v>61.01</v>
      </c>
      <c r="P233" s="7" t="s">
        <v>35</v>
      </c>
      <c r="Q233" s="7" t="s">
        <v>26</v>
      </c>
      <c r="R233" s="30">
        <f t="shared" si="3"/>
        <v>2.9739532898947953E-3</v>
      </c>
    </row>
    <row r="234" spans="1:18" x14ac:dyDescent="0.35">
      <c r="A234" s="3" t="s">
        <v>583</v>
      </c>
      <c r="B234" s="4">
        <v>45504</v>
      </c>
      <c r="C234" s="3" t="s">
        <v>584</v>
      </c>
      <c r="D234" s="3" t="s">
        <v>39</v>
      </c>
      <c r="E234" s="3" t="s">
        <v>60</v>
      </c>
      <c r="F234" s="3" t="s">
        <v>61</v>
      </c>
      <c r="G234" s="3" t="s">
        <v>49</v>
      </c>
      <c r="H234" s="3" t="s">
        <v>91</v>
      </c>
      <c r="I234" s="3" t="s">
        <v>168</v>
      </c>
      <c r="J234" s="3">
        <v>2</v>
      </c>
      <c r="K234" s="5">
        <v>12187.53</v>
      </c>
      <c r="L234" s="5">
        <v>24375.06</v>
      </c>
      <c r="M234" s="6">
        <v>0</v>
      </c>
      <c r="N234" s="5">
        <v>4662.17</v>
      </c>
      <c r="O234" s="5">
        <v>306.35000000000002</v>
      </c>
      <c r="P234" s="3" t="s">
        <v>45</v>
      </c>
      <c r="Q234" s="3" t="s">
        <v>57</v>
      </c>
      <c r="R234" s="30">
        <f t="shared" si="3"/>
        <v>0.19126804200687095</v>
      </c>
    </row>
    <row r="235" spans="1:18" x14ac:dyDescent="0.35">
      <c r="A235" s="7" t="s">
        <v>585</v>
      </c>
      <c r="B235" s="8">
        <v>45504</v>
      </c>
      <c r="C235" s="7" t="s">
        <v>586</v>
      </c>
      <c r="D235" s="7" t="s">
        <v>19</v>
      </c>
      <c r="E235" s="7" t="s">
        <v>30</v>
      </c>
      <c r="F235" s="7" t="s">
        <v>48</v>
      </c>
      <c r="G235" s="7" t="s">
        <v>134</v>
      </c>
      <c r="H235" s="7" t="s">
        <v>139</v>
      </c>
      <c r="I235" s="7" t="s">
        <v>587</v>
      </c>
      <c r="J235" s="7">
        <v>1</v>
      </c>
      <c r="K235" s="9">
        <v>1135.2</v>
      </c>
      <c r="L235" s="9">
        <v>1078.44</v>
      </c>
      <c r="M235" s="10">
        <v>5</v>
      </c>
      <c r="N235" s="9">
        <v>130.06</v>
      </c>
      <c r="O235" s="9">
        <v>236.75</v>
      </c>
      <c r="P235" s="7" t="s">
        <v>25</v>
      </c>
      <c r="Q235" s="7" t="s">
        <v>57</v>
      </c>
      <c r="R235" s="30">
        <f t="shared" si="3"/>
        <v>0.12060012610808205</v>
      </c>
    </row>
    <row r="236" spans="1:18" x14ac:dyDescent="0.35">
      <c r="A236" s="3" t="s">
        <v>588</v>
      </c>
      <c r="B236" s="4">
        <v>45507</v>
      </c>
      <c r="C236" s="3" t="s">
        <v>589</v>
      </c>
      <c r="D236" s="3" t="s">
        <v>39</v>
      </c>
      <c r="E236" s="3" t="s">
        <v>60</v>
      </c>
      <c r="F236" s="3" t="s">
        <v>61</v>
      </c>
      <c r="G236" s="3" t="s">
        <v>49</v>
      </c>
      <c r="H236" s="3" t="s">
        <v>62</v>
      </c>
      <c r="I236" s="3" t="s">
        <v>424</v>
      </c>
      <c r="J236" s="3">
        <v>1</v>
      </c>
      <c r="K236" s="5">
        <v>13497.44</v>
      </c>
      <c r="L236" s="5">
        <v>12822.57</v>
      </c>
      <c r="M236" s="6">
        <v>5</v>
      </c>
      <c r="N236" s="5">
        <v>1813.92</v>
      </c>
      <c r="O236" s="5">
        <v>178.28</v>
      </c>
      <c r="P236" s="3" t="s">
        <v>64</v>
      </c>
      <c r="Q236" s="3" t="s">
        <v>36</v>
      </c>
      <c r="R236" s="30">
        <f t="shared" si="3"/>
        <v>0.14146306083725807</v>
      </c>
    </row>
    <row r="237" spans="1:18" x14ac:dyDescent="0.35">
      <c r="A237" s="7" t="s">
        <v>590</v>
      </c>
      <c r="B237" s="8">
        <v>45507</v>
      </c>
      <c r="C237" s="7" t="s">
        <v>591</v>
      </c>
      <c r="D237" s="7" t="s">
        <v>29</v>
      </c>
      <c r="E237" s="7" t="s">
        <v>20</v>
      </c>
      <c r="F237" s="7" t="s">
        <v>129</v>
      </c>
      <c r="G237" s="7" t="s">
        <v>32</v>
      </c>
      <c r="H237" s="7" t="s">
        <v>33</v>
      </c>
      <c r="I237" s="7" t="s">
        <v>34</v>
      </c>
      <c r="J237" s="7">
        <v>3</v>
      </c>
      <c r="K237" s="9">
        <v>5518.2</v>
      </c>
      <c r="L237" s="9">
        <v>14899.14</v>
      </c>
      <c r="M237" s="10">
        <v>10</v>
      </c>
      <c r="N237" s="9">
        <v>2340.7199999999998</v>
      </c>
      <c r="O237" s="9">
        <v>175.93</v>
      </c>
      <c r="P237" s="7" t="s">
        <v>35</v>
      </c>
      <c r="Q237" s="7" t="s">
        <v>26</v>
      </c>
      <c r="R237" s="30">
        <f t="shared" si="3"/>
        <v>0.15710436978241696</v>
      </c>
    </row>
    <row r="238" spans="1:18" x14ac:dyDescent="0.35">
      <c r="A238" s="3" t="s">
        <v>592</v>
      </c>
      <c r="B238" s="4">
        <v>45509</v>
      </c>
      <c r="C238" s="3" t="s">
        <v>593</v>
      </c>
      <c r="D238" s="3" t="s">
        <v>39</v>
      </c>
      <c r="E238" s="3" t="s">
        <v>30</v>
      </c>
      <c r="F238" s="3" t="s">
        <v>31</v>
      </c>
      <c r="G238" s="3" t="s">
        <v>49</v>
      </c>
      <c r="H238" s="3" t="s">
        <v>62</v>
      </c>
      <c r="I238" s="3" t="s">
        <v>63</v>
      </c>
      <c r="J238" s="3">
        <v>2</v>
      </c>
      <c r="K238" s="5">
        <v>3807.18</v>
      </c>
      <c r="L238" s="5">
        <v>5710.77</v>
      </c>
      <c r="M238" s="6">
        <v>25</v>
      </c>
      <c r="N238" s="5">
        <v>101.33</v>
      </c>
      <c r="O238" s="5">
        <v>126.94</v>
      </c>
      <c r="P238" s="3" t="s">
        <v>35</v>
      </c>
      <c r="Q238" s="3" t="s">
        <v>26</v>
      </c>
      <c r="R238" s="30">
        <f t="shared" si="3"/>
        <v>1.7743666790993158E-2</v>
      </c>
    </row>
    <row r="239" spans="1:18" x14ac:dyDescent="0.35">
      <c r="A239" s="7" t="s">
        <v>594</v>
      </c>
      <c r="B239" s="8">
        <v>45509</v>
      </c>
      <c r="C239" s="7" t="s">
        <v>595</v>
      </c>
      <c r="D239" s="7" t="s">
        <v>29</v>
      </c>
      <c r="E239" s="7" t="s">
        <v>30</v>
      </c>
      <c r="F239" s="7" t="s">
        <v>48</v>
      </c>
      <c r="G239" s="7" t="s">
        <v>22</v>
      </c>
      <c r="H239" s="7" t="s">
        <v>55</v>
      </c>
      <c r="I239" s="7" t="s">
        <v>323</v>
      </c>
      <c r="J239" s="7">
        <v>2</v>
      </c>
      <c r="K239" s="9">
        <v>3543.5</v>
      </c>
      <c r="L239" s="9">
        <v>7087</v>
      </c>
      <c r="M239" s="10">
        <v>0</v>
      </c>
      <c r="N239" s="9">
        <v>734.91</v>
      </c>
      <c r="O239" s="9">
        <v>351.33</v>
      </c>
      <c r="P239" s="7" t="s">
        <v>83</v>
      </c>
      <c r="Q239" s="7" t="s">
        <v>65</v>
      </c>
      <c r="R239" s="30">
        <f t="shared" si="3"/>
        <v>0.10369832086919711</v>
      </c>
    </row>
    <row r="240" spans="1:18" x14ac:dyDescent="0.35">
      <c r="A240" s="3" t="s">
        <v>596</v>
      </c>
      <c r="B240" s="4">
        <v>45509</v>
      </c>
      <c r="C240" s="3" t="s">
        <v>597</v>
      </c>
      <c r="D240" s="3" t="s">
        <v>39</v>
      </c>
      <c r="E240" s="3" t="s">
        <v>60</v>
      </c>
      <c r="F240" s="3" t="s">
        <v>61</v>
      </c>
      <c r="G240" s="3" t="s">
        <v>42</v>
      </c>
      <c r="H240" s="3" t="s">
        <v>43</v>
      </c>
      <c r="I240" s="3" t="s">
        <v>208</v>
      </c>
      <c r="J240" s="3">
        <v>1</v>
      </c>
      <c r="K240" s="5">
        <v>742.86</v>
      </c>
      <c r="L240" s="5">
        <v>705.72</v>
      </c>
      <c r="M240" s="6">
        <v>5</v>
      </c>
      <c r="N240" s="5">
        <v>54.96</v>
      </c>
      <c r="O240" s="5">
        <v>111.35</v>
      </c>
      <c r="P240" s="3" t="s">
        <v>45</v>
      </c>
      <c r="Q240" s="3" t="s">
        <v>65</v>
      </c>
      <c r="R240" s="30">
        <f t="shared" si="3"/>
        <v>7.7877911919741541E-2</v>
      </c>
    </row>
    <row r="241" spans="1:18" x14ac:dyDescent="0.35">
      <c r="A241" s="7" t="s">
        <v>598</v>
      </c>
      <c r="B241" s="8">
        <v>45511</v>
      </c>
      <c r="C241" s="7" t="s">
        <v>599</v>
      </c>
      <c r="D241" s="7" t="s">
        <v>39</v>
      </c>
      <c r="E241" s="7" t="s">
        <v>30</v>
      </c>
      <c r="F241" s="7" t="s">
        <v>48</v>
      </c>
      <c r="G241" s="7" t="s">
        <v>22</v>
      </c>
      <c r="H241" s="7" t="s">
        <v>110</v>
      </c>
      <c r="I241" s="7" t="s">
        <v>480</v>
      </c>
      <c r="J241" s="7">
        <v>2</v>
      </c>
      <c r="K241" s="9">
        <v>58549.87</v>
      </c>
      <c r="L241" s="9">
        <v>105389.77</v>
      </c>
      <c r="M241" s="10">
        <v>10</v>
      </c>
      <c r="N241" s="9">
        <v>8004.11</v>
      </c>
      <c r="O241" s="9">
        <v>295.39999999999998</v>
      </c>
      <c r="P241" s="7" t="s">
        <v>35</v>
      </c>
      <c r="Q241" s="7" t="s">
        <v>57</v>
      </c>
      <c r="R241" s="30">
        <f t="shared" si="3"/>
        <v>7.5947693974472083E-2</v>
      </c>
    </row>
    <row r="242" spans="1:18" x14ac:dyDescent="0.35">
      <c r="A242" s="3" t="s">
        <v>600</v>
      </c>
      <c r="B242" s="4">
        <v>45511</v>
      </c>
      <c r="C242" s="3" t="s">
        <v>601</v>
      </c>
      <c r="D242" s="3" t="s">
        <v>19</v>
      </c>
      <c r="E242" s="3" t="s">
        <v>60</v>
      </c>
      <c r="F242" s="3" t="s">
        <v>72</v>
      </c>
      <c r="G242" s="3" t="s">
        <v>117</v>
      </c>
      <c r="H242" s="3" t="s">
        <v>125</v>
      </c>
      <c r="I242" s="3" t="s">
        <v>196</v>
      </c>
      <c r="J242" s="3">
        <v>3</v>
      </c>
      <c r="K242" s="5">
        <v>1514.39</v>
      </c>
      <c r="L242" s="5">
        <v>3861.69</v>
      </c>
      <c r="M242" s="6">
        <v>15</v>
      </c>
      <c r="N242" s="5">
        <v>898.22</v>
      </c>
      <c r="O242" s="5">
        <v>323.29000000000002</v>
      </c>
      <c r="P242" s="3" t="s">
        <v>64</v>
      </c>
      <c r="Q242" s="3" t="s">
        <v>65</v>
      </c>
      <c r="R242" s="30">
        <f t="shared" si="3"/>
        <v>0.23259764507249417</v>
      </c>
    </row>
    <row r="243" spans="1:18" x14ac:dyDescent="0.35">
      <c r="A243" s="7" t="s">
        <v>602</v>
      </c>
      <c r="B243" s="8">
        <v>45513</v>
      </c>
      <c r="C243" s="7" t="s">
        <v>491</v>
      </c>
      <c r="D243" s="7" t="s">
        <v>39</v>
      </c>
      <c r="E243" s="7" t="s">
        <v>30</v>
      </c>
      <c r="F243" s="7" t="s">
        <v>31</v>
      </c>
      <c r="G243" s="7" t="s">
        <v>134</v>
      </c>
      <c r="H243" s="7" t="s">
        <v>244</v>
      </c>
      <c r="I243" s="7" t="s">
        <v>270</v>
      </c>
      <c r="J243" s="7">
        <v>1</v>
      </c>
      <c r="K243" s="9">
        <v>2650.49</v>
      </c>
      <c r="L243" s="9">
        <v>2650.49</v>
      </c>
      <c r="M243" s="10">
        <v>0</v>
      </c>
      <c r="N243" s="9">
        <v>537.69000000000005</v>
      </c>
      <c r="O243" s="9">
        <v>305.77</v>
      </c>
      <c r="P243" s="7" t="s">
        <v>25</v>
      </c>
      <c r="Q243" s="7" t="s">
        <v>26</v>
      </c>
      <c r="R243" s="30">
        <f t="shared" si="3"/>
        <v>0.20286437602103766</v>
      </c>
    </row>
    <row r="244" spans="1:18" x14ac:dyDescent="0.35">
      <c r="A244" s="3" t="s">
        <v>603</v>
      </c>
      <c r="B244" s="4">
        <v>45514</v>
      </c>
      <c r="C244" s="3" t="s">
        <v>604</v>
      </c>
      <c r="D244" s="3" t="s">
        <v>29</v>
      </c>
      <c r="E244" s="3" t="s">
        <v>20</v>
      </c>
      <c r="F244" s="3" t="s">
        <v>54</v>
      </c>
      <c r="G244" s="3" t="s">
        <v>49</v>
      </c>
      <c r="H244" s="3" t="s">
        <v>91</v>
      </c>
      <c r="I244" s="3" t="s">
        <v>168</v>
      </c>
      <c r="J244" s="3">
        <v>4</v>
      </c>
      <c r="K244" s="5">
        <v>14610.06</v>
      </c>
      <c r="L244" s="5">
        <v>52596.22</v>
      </c>
      <c r="M244" s="6">
        <v>10</v>
      </c>
      <c r="N244" s="5">
        <v>10499.51</v>
      </c>
      <c r="O244" s="5">
        <v>94.97</v>
      </c>
      <c r="P244" s="3" t="s">
        <v>35</v>
      </c>
      <c r="Q244" s="3" t="s">
        <v>65</v>
      </c>
      <c r="R244" s="30">
        <f t="shared" si="3"/>
        <v>0.1996248019344356</v>
      </c>
    </row>
    <row r="245" spans="1:18" x14ac:dyDescent="0.35">
      <c r="A245" s="7" t="s">
        <v>605</v>
      </c>
      <c r="B245" s="8">
        <v>45514</v>
      </c>
      <c r="C245" s="7" t="s">
        <v>606</v>
      </c>
      <c r="D245" s="7" t="s">
        <v>19</v>
      </c>
      <c r="E245" s="7" t="s">
        <v>30</v>
      </c>
      <c r="F245" s="7" t="s">
        <v>48</v>
      </c>
      <c r="G245" s="7" t="s">
        <v>32</v>
      </c>
      <c r="H245" s="7" t="s">
        <v>33</v>
      </c>
      <c r="I245" s="7" t="s">
        <v>470</v>
      </c>
      <c r="J245" s="7">
        <v>3</v>
      </c>
      <c r="K245" s="9">
        <v>577.53</v>
      </c>
      <c r="L245" s="9">
        <v>1299.44</v>
      </c>
      <c r="M245" s="10">
        <v>25</v>
      </c>
      <c r="N245" s="9">
        <v>39.1</v>
      </c>
      <c r="O245" s="9">
        <v>232.6</v>
      </c>
      <c r="P245" s="7" t="s">
        <v>35</v>
      </c>
      <c r="Q245" s="7" t="s">
        <v>26</v>
      </c>
      <c r="R245" s="30">
        <f t="shared" si="3"/>
        <v>3.0089884873483963E-2</v>
      </c>
    </row>
    <row r="246" spans="1:18" x14ac:dyDescent="0.35">
      <c r="A246" s="3" t="s">
        <v>607</v>
      </c>
      <c r="B246" s="4">
        <v>45516</v>
      </c>
      <c r="C246" s="3" t="s">
        <v>608</v>
      </c>
      <c r="D246" s="3" t="s">
        <v>39</v>
      </c>
      <c r="E246" s="3" t="s">
        <v>30</v>
      </c>
      <c r="F246" s="3" t="s">
        <v>48</v>
      </c>
      <c r="G246" s="3" t="s">
        <v>42</v>
      </c>
      <c r="H246" s="3" t="s">
        <v>164</v>
      </c>
      <c r="I246" s="3" t="s">
        <v>329</v>
      </c>
      <c r="J246" s="3">
        <v>1</v>
      </c>
      <c r="K246" s="5">
        <v>666.84</v>
      </c>
      <c r="L246" s="5">
        <v>466.79</v>
      </c>
      <c r="M246" s="6">
        <v>30</v>
      </c>
      <c r="N246" s="5">
        <v>42.69</v>
      </c>
      <c r="O246" s="5">
        <v>92.4</v>
      </c>
      <c r="P246" s="3" t="s">
        <v>64</v>
      </c>
      <c r="Q246" s="3" t="s">
        <v>26</v>
      </c>
      <c r="R246" s="30">
        <f t="shared" si="3"/>
        <v>9.1454401336789559E-2</v>
      </c>
    </row>
    <row r="247" spans="1:18" x14ac:dyDescent="0.35">
      <c r="A247" s="7" t="s">
        <v>609</v>
      </c>
      <c r="B247" s="8">
        <v>45517</v>
      </c>
      <c r="C247" s="7" t="s">
        <v>610</v>
      </c>
      <c r="D247" s="7" t="s">
        <v>29</v>
      </c>
      <c r="E247" s="7" t="s">
        <v>20</v>
      </c>
      <c r="F247" s="7" t="s">
        <v>129</v>
      </c>
      <c r="G247" s="7" t="s">
        <v>117</v>
      </c>
      <c r="H247" s="7" t="s">
        <v>118</v>
      </c>
      <c r="I247" s="7" t="s">
        <v>279</v>
      </c>
      <c r="J247" s="7">
        <v>3</v>
      </c>
      <c r="K247" s="9">
        <v>2180.46</v>
      </c>
      <c r="L247" s="9">
        <v>6541.38</v>
      </c>
      <c r="M247" s="10">
        <v>0</v>
      </c>
      <c r="N247" s="9">
        <v>1715.47</v>
      </c>
      <c r="O247" s="9">
        <v>241.05</v>
      </c>
      <c r="P247" s="7" t="s">
        <v>64</v>
      </c>
      <c r="Q247" s="7" t="s">
        <v>57</v>
      </c>
      <c r="R247" s="30">
        <f t="shared" si="3"/>
        <v>0.26224894441234115</v>
      </c>
    </row>
    <row r="248" spans="1:18" x14ac:dyDescent="0.35">
      <c r="A248" s="3" t="s">
        <v>611</v>
      </c>
      <c r="B248" s="4">
        <v>45518</v>
      </c>
      <c r="C248" s="3" t="s">
        <v>612</v>
      </c>
      <c r="D248" s="3" t="s">
        <v>29</v>
      </c>
      <c r="E248" s="3" t="s">
        <v>40</v>
      </c>
      <c r="F248" s="3" t="s">
        <v>77</v>
      </c>
      <c r="G248" s="3" t="s">
        <v>117</v>
      </c>
      <c r="H248" s="3" t="s">
        <v>153</v>
      </c>
      <c r="I248" s="3" t="s">
        <v>154</v>
      </c>
      <c r="J248" s="3">
        <v>4</v>
      </c>
      <c r="K248" s="5">
        <v>1162.74</v>
      </c>
      <c r="L248" s="5">
        <v>3255.67</v>
      </c>
      <c r="M248" s="6">
        <v>30</v>
      </c>
      <c r="N248" s="5">
        <v>192.34</v>
      </c>
      <c r="O248" s="5">
        <v>168.61</v>
      </c>
      <c r="P248" s="3" t="s">
        <v>64</v>
      </c>
      <c r="Q248" s="3" t="s">
        <v>36</v>
      </c>
      <c r="R248" s="30">
        <f t="shared" si="3"/>
        <v>5.9078469255176354E-2</v>
      </c>
    </row>
    <row r="249" spans="1:18" x14ac:dyDescent="0.35">
      <c r="A249" s="7" t="s">
        <v>613</v>
      </c>
      <c r="B249" s="8">
        <v>45518</v>
      </c>
      <c r="C249" s="7" t="s">
        <v>614</v>
      </c>
      <c r="D249" s="7" t="s">
        <v>39</v>
      </c>
      <c r="E249" s="7" t="s">
        <v>20</v>
      </c>
      <c r="F249" s="7" t="s">
        <v>129</v>
      </c>
      <c r="G249" s="7" t="s">
        <v>49</v>
      </c>
      <c r="H249" s="7" t="s">
        <v>62</v>
      </c>
      <c r="I249" s="7" t="s">
        <v>63</v>
      </c>
      <c r="J249" s="7">
        <v>4</v>
      </c>
      <c r="K249" s="9">
        <v>11530.23</v>
      </c>
      <c r="L249" s="9">
        <v>41508.83</v>
      </c>
      <c r="M249" s="10">
        <v>10</v>
      </c>
      <c r="N249" s="9">
        <v>8837.14</v>
      </c>
      <c r="O249" s="9">
        <v>364.15</v>
      </c>
      <c r="P249" s="7" t="s">
        <v>83</v>
      </c>
      <c r="Q249" s="7" t="s">
        <v>26</v>
      </c>
      <c r="R249" s="30">
        <f t="shared" si="3"/>
        <v>0.21289783402712142</v>
      </c>
    </row>
    <row r="250" spans="1:18" x14ac:dyDescent="0.35">
      <c r="A250" s="3" t="s">
        <v>615</v>
      </c>
      <c r="B250" s="4">
        <v>45519</v>
      </c>
      <c r="C250" s="3" t="s">
        <v>616</v>
      </c>
      <c r="D250" s="3" t="s">
        <v>39</v>
      </c>
      <c r="E250" s="3" t="s">
        <v>40</v>
      </c>
      <c r="F250" s="3" t="s">
        <v>77</v>
      </c>
      <c r="G250" s="3" t="s">
        <v>117</v>
      </c>
      <c r="H250" s="3" t="s">
        <v>125</v>
      </c>
      <c r="I250" s="3" t="s">
        <v>454</v>
      </c>
      <c r="J250" s="3">
        <v>4</v>
      </c>
      <c r="K250" s="5">
        <v>1795.75</v>
      </c>
      <c r="L250" s="5">
        <v>6464.7</v>
      </c>
      <c r="M250" s="6">
        <v>10</v>
      </c>
      <c r="N250" s="5">
        <v>1301.08</v>
      </c>
      <c r="O250" s="5">
        <v>251.88</v>
      </c>
      <c r="P250" s="3" t="s">
        <v>35</v>
      </c>
      <c r="Q250" s="3" t="s">
        <v>57</v>
      </c>
      <c r="R250" s="30">
        <f t="shared" si="3"/>
        <v>0.20125914582269866</v>
      </c>
    </row>
    <row r="251" spans="1:18" x14ac:dyDescent="0.35">
      <c r="A251" s="7" t="s">
        <v>617</v>
      </c>
      <c r="B251" s="8">
        <v>45519</v>
      </c>
      <c r="C251" s="7" t="s">
        <v>618</v>
      </c>
      <c r="D251" s="7" t="s">
        <v>39</v>
      </c>
      <c r="E251" s="7" t="s">
        <v>60</v>
      </c>
      <c r="F251" s="7" t="s">
        <v>72</v>
      </c>
      <c r="G251" s="7" t="s">
        <v>32</v>
      </c>
      <c r="H251" s="7" t="s">
        <v>143</v>
      </c>
      <c r="I251" s="7" t="s">
        <v>516</v>
      </c>
      <c r="J251" s="7">
        <v>1</v>
      </c>
      <c r="K251" s="9">
        <v>3715.09</v>
      </c>
      <c r="L251" s="9">
        <v>3529.34</v>
      </c>
      <c r="M251" s="10">
        <v>5</v>
      </c>
      <c r="N251" s="9">
        <v>819.08</v>
      </c>
      <c r="O251" s="9">
        <v>95.03</v>
      </c>
      <c r="P251" s="7" t="s">
        <v>64</v>
      </c>
      <c r="Q251" s="7" t="s">
        <v>26</v>
      </c>
      <c r="R251" s="30">
        <f t="shared" si="3"/>
        <v>0.23207738557350666</v>
      </c>
    </row>
    <row r="252" spans="1:18" x14ac:dyDescent="0.35">
      <c r="A252" s="3" t="s">
        <v>619</v>
      </c>
      <c r="B252" s="4">
        <v>45519</v>
      </c>
      <c r="C252" s="3" t="s">
        <v>620</v>
      </c>
      <c r="D252" s="3" t="s">
        <v>39</v>
      </c>
      <c r="E252" s="3" t="s">
        <v>30</v>
      </c>
      <c r="F252" s="3" t="s">
        <v>31</v>
      </c>
      <c r="G252" s="3" t="s">
        <v>42</v>
      </c>
      <c r="H252" s="3" t="s">
        <v>81</v>
      </c>
      <c r="I252" s="3" t="s">
        <v>621</v>
      </c>
      <c r="J252" s="3">
        <v>1</v>
      </c>
      <c r="K252" s="5">
        <v>629.85</v>
      </c>
      <c r="L252" s="5">
        <v>535.37</v>
      </c>
      <c r="M252" s="6">
        <v>15</v>
      </c>
      <c r="N252" s="5">
        <v>39.1</v>
      </c>
      <c r="O252" s="5">
        <v>223.27</v>
      </c>
      <c r="P252" s="3" t="s">
        <v>64</v>
      </c>
      <c r="Q252" s="3" t="s">
        <v>26</v>
      </c>
      <c r="R252" s="30">
        <f t="shared" si="3"/>
        <v>7.3033602928815583E-2</v>
      </c>
    </row>
    <row r="253" spans="1:18" x14ac:dyDescent="0.35">
      <c r="A253" s="7" t="s">
        <v>622</v>
      </c>
      <c r="B253" s="8">
        <v>45520</v>
      </c>
      <c r="C253" s="7" t="s">
        <v>623</v>
      </c>
      <c r="D253" s="7" t="s">
        <v>39</v>
      </c>
      <c r="E253" s="7" t="s">
        <v>60</v>
      </c>
      <c r="F253" s="7" t="s">
        <v>72</v>
      </c>
      <c r="G253" s="7" t="s">
        <v>22</v>
      </c>
      <c r="H253" s="7" t="s">
        <v>624</v>
      </c>
      <c r="I253" s="7" t="s">
        <v>625</v>
      </c>
      <c r="J253" s="7">
        <v>2</v>
      </c>
      <c r="K253" s="9">
        <v>1776.14</v>
      </c>
      <c r="L253" s="9">
        <v>3552.28</v>
      </c>
      <c r="M253" s="10">
        <v>0</v>
      </c>
      <c r="N253" s="9">
        <v>660.15</v>
      </c>
      <c r="O253" s="9">
        <v>171.93</v>
      </c>
      <c r="P253" s="7" t="s">
        <v>25</v>
      </c>
      <c r="Q253" s="7" t="s">
        <v>26</v>
      </c>
      <c r="R253" s="30">
        <f t="shared" si="3"/>
        <v>0.18583839111781728</v>
      </c>
    </row>
    <row r="254" spans="1:18" x14ac:dyDescent="0.35">
      <c r="A254" s="3" t="s">
        <v>626</v>
      </c>
      <c r="B254" s="4">
        <v>45520</v>
      </c>
      <c r="C254" s="3" t="s">
        <v>532</v>
      </c>
      <c r="D254" s="3" t="s">
        <v>29</v>
      </c>
      <c r="E254" s="3" t="s">
        <v>40</v>
      </c>
      <c r="F254" s="3" t="s">
        <v>77</v>
      </c>
      <c r="G254" s="3" t="s">
        <v>32</v>
      </c>
      <c r="H254" s="3" t="s">
        <v>143</v>
      </c>
      <c r="I254" s="3" t="s">
        <v>385</v>
      </c>
      <c r="J254" s="3">
        <v>4</v>
      </c>
      <c r="K254" s="5">
        <v>2738.88</v>
      </c>
      <c r="L254" s="5">
        <v>9859.9699999999993</v>
      </c>
      <c r="M254" s="6">
        <v>10</v>
      </c>
      <c r="N254" s="5">
        <v>1026.19</v>
      </c>
      <c r="O254" s="5">
        <v>335.66</v>
      </c>
      <c r="P254" s="3" t="s">
        <v>25</v>
      </c>
      <c r="Q254" s="3" t="s">
        <v>65</v>
      </c>
      <c r="R254" s="30">
        <f t="shared" si="3"/>
        <v>0.1040763815711407</v>
      </c>
    </row>
    <row r="255" spans="1:18" x14ac:dyDescent="0.35">
      <c r="A255" s="7" t="s">
        <v>627</v>
      </c>
      <c r="B255" s="8">
        <v>45521</v>
      </c>
      <c r="C255" s="7" t="s">
        <v>628</v>
      </c>
      <c r="D255" s="7" t="s">
        <v>29</v>
      </c>
      <c r="E255" s="7" t="s">
        <v>40</v>
      </c>
      <c r="F255" s="7" t="s">
        <v>109</v>
      </c>
      <c r="G255" s="7" t="s">
        <v>22</v>
      </c>
      <c r="H255" s="7" t="s">
        <v>105</v>
      </c>
      <c r="I255" s="7" t="s">
        <v>629</v>
      </c>
      <c r="J255" s="7">
        <v>3</v>
      </c>
      <c r="K255" s="9">
        <v>7218.09</v>
      </c>
      <c r="L255" s="9">
        <v>18406.13</v>
      </c>
      <c r="M255" s="10">
        <v>15</v>
      </c>
      <c r="N255" s="9">
        <v>-84.91</v>
      </c>
      <c r="O255" s="9">
        <v>299.36</v>
      </c>
      <c r="P255" s="7" t="s">
        <v>64</v>
      </c>
      <c r="Q255" s="7" t="s">
        <v>65</v>
      </c>
      <c r="R255" s="30">
        <f t="shared" si="3"/>
        <v>-4.6131370364112384E-3</v>
      </c>
    </row>
    <row r="256" spans="1:18" x14ac:dyDescent="0.35">
      <c r="A256" s="3" t="s">
        <v>630</v>
      </c>
      <c r="B256" s="4">
        <v>45521</v>
      </c>
      <c r="C256" s="3" t="s">
        <v>631</v>
      </c>
      <c r="D256" s="3" t="s">
        <v>19</v>
      </c>
      <c r="E256" s="3" t="s">
        <v>60</v>
      </c>
      <c r="F256" s="3" t="s">
        <v>68</v>
      </c>
      <c r="G256" s="3" t="s">
        <v>32</v>
      </c>
      <c r="H256" s="3" t="s">
        <v>86</v>
      </c>
      <c r="I256" s="3" t="s">
        <v>87</v>
      </c>
      <c r="J256" s="3">
        <v>2</v>
      </c>
      <c r="K256" s="5">
        <v>1375.64</v>
      </c>
      <c r="L256" s="5">
        <v>2751.28</v>
      </c>
      <c r="M256" s="6">
        <v>0</v>
      </c>
      <c r="N256" s="5">
        <v>435.62</v>
      </c>
      <c r="O256" s="5">
        <v>308</v>
      </c>
      <c r="P256" s="3" t="s">
        <v>83</v>
      </c>
      <c r="Q256" s="3" t="s">
        <v>65</v>
      </c>
      <c r="R256" s="30">
        <f t="shared" si="3"/>
        <v>0.15833357564479078</v>
      </c>
    </row>
    <row r="257" spans="1:18" x14ac:dyDescent="0.35">
      <c r="A257" s="7" t="s">
        <v>632</v>
      </c>
      <c r="B257" s="8">
        <v>45521</v>
      </c>
      <c r="C257" s="7" t="s">
        <v>555</v>
      </c>
      <c r="D257" s="7" t="s">
        <v>29</v>
      </c>
      <c r="E257" s="7" t="s">
        <v>20</v>
      </c>
      <c r="F257" s="7" t="s">
        <v>21</v>
      </c>
      <c r="G257" s="7" t="s">
        <v>134</v>
      </c>
      <c r="H257" s="7" t="s">
        <v>135</v>
      </c>
      <c r="I257" s="7" t="s">
        <v>136</v>
      </c>
      <c r="J257" s="7">
        <v>4</v>
      </c>
      <c r="K257" s="9">
        <v>2531.4299999999998</v>
      </c>
      <c r="L257" s="9">
        <v>9113.15</v>
      </c>
      <c r="M257" s="10">
        <v>10</v>
      </c>
      <c r="N257" s="9">
        <v>1773.75</v>
      </c>
      <c r="O257" s="9">
        <v>291.77999999999997</v>
      </c>
      <c r="P257" s="7" t="s">
        <v>35</v>
      </c>
      <c r="Q257" s="7" t="s">
        <v>26</v>
      </c>
      <c r="R257" s="30">
        <f t="shared" si="3"/>
        <v>0.1946363222376456</v>
      </c>
    </row>
    <row r="258" spans="1:18" x14ac:dyDescent="0.35">
      <c r="A258" s="3" t="s">
        <v>633</v>
      </c>
      <c r="B258" s="4">
        <v>45523</v>
      </c>
      <c r="C258" s="3" t="s">
        <v>634</v>
      </c>
      <c r="D258" s="3" t="s">
        <v>39</v>
      </c>
      <c r="E258" s="3" t="s">
        <v>20</v>
      </c>
      <c r="F258" s="3" t="s">
        <v>54</v>
      </c>
      <c r="G258" s="3" t="s">
        <v>49</v>
      </c>
      <c r="H258" s="3" t="s">
        <v>62</v>
      </c>
      <c r="I258" s="3" t="s">
        <v>63</v>
      </c>
      <c r="J258" s="3">
        <v>1</v>
      </c>
      <c r="K258" s="5">
        <v>3277.67</v>
      </c>
      <c r="L258" s="5">
        <v>3113.79</v>
      </c>
      <c r="M258" s="6">
        <v>5</v>
      </c>
      <c r="N258" s="5">
        <v>544.78</v>
      </c>
      <c r="O258" s="5">
        <v>238.49</v>
      </c>
      <c r="P258" s="3" t="s">
        <v>64</v>
      </c>
      <c r="Q258" s="3" t="s">
        <v>26</v>
      </c>
      <c r="R258" s="30">
        <f t="shared" si="3"/>
        <v>0.17495720649112495</v>
      </c>
    </row>
    <row r="259" spans="1:18" x14ac:dyDescent="0.35">
      <c r="A259" s="7" t="s">
        <v>635</v>
      </c>
      <c r="B259" s="8">
        <v>45524</v>
      </c>
      <c r="C259" s="7" t="s">
        <v>636</v>
      </c>
      <c r="D259" s="7" t="s">
        <v>19</v>
      </c>
      <c r="E259" s="7" t="s">
        <v>60</v>
      </c>
      <c r="F259" s="7" t="s">
        <v>72</v>
      </c>
      <c r="G259" s="7" t="s">
        <v>22</v>
      </c>
      <c r="H259" s="7" t="s">
        <v>105</v>
      </c>
      <c r="I259" s="7" t="s">
        <v>157</v>
      </c>
      <c r="J259" s="7">
        <v>1</v>
      </c>
      <c r="K259" s="9">
        <v>41439.769999999997</v>
      </c>
      <c r="L259" s="9">
        <v>41439.769999999997</v>
      </c>
      <c r="M259" s="10">
        <v>0</v>
      </c>
      <c r="N259" s="9">
        <v>3422.32</v>
      </c>
      <c r="O259" s="9">
        <v>266.7</v>
      </c>
      <c r="P259" s="7" t="s">
        <v>45</v>
      </c>
      <c r="Q259" s="7" t="s">
        <v>26</v>
      </c>
      <c r="R259" s="30">
        <f t="shared" ref="R259:R322" si="4">N259/L259</f>
        <v>8.2585400449857724E-2</v>
      </c>
    </row>
    <row r="260" spans="1:18" x14ac:dyDescent="0.35">
      <c r="A260" s="3" t="s">
        <v>637</v>
      </c>
      <c r="B260" s="4">
        <v>45524</v>
      </c>
      <c r="C260" s="3" t="s">
        <v>133</v>
      </c>
      <c r="D260" s="3" t="s">
        <v>39</v>
      </c>
      <c r="E260" s="3" t="s">
        <v>20</v>
      </c>
      <c r="F260" s="3" t="s">
        <v>129</v>
      </c>
      <c r="G260" s="3" t="s">
        <v>49</v>
      </c>
      <c r="H260" s="3" t="s">
        <v>91</v>
      </c>
      <c r="I260" s="3" t="s">
        <v>188</v>
      </c>
      <c r="J260" s="3">
        <v>1</v>
      </c>
      <c r="K260" s="5">
        <v>3252.1</v>
      </c>
      <c r="L260" s="5">
        <v>2764.28</v>
      </c>
      <c r="M260" s="6">
        <v>15</v>
      </c>
      <c r="N260" s="5">
        <v>454.41</v>
      </c>
      <c r="O260" s="5">
        <v>51.02</v>
      </c>
      <c r="P260" s="3" t="s">
        <v>64</v>
      </c>
      <c r="Q260" s="3" t="s">
        <v>57</v>
      </c>
      <c r="R260" s="30">
        <f t="shared" si="4"/>
        <v>0.16438638632844718</v>
      </c>
    </row>
    <row r="261" spans="1:18" x14ac:dyDescent="0.35">
      <c r="A261" s="7" t="s">
        <v>638</v>
      </c>
      <c r="B261" s="8">
        <v>45524</v>
      </c>
      <c r="C261" s="7" t="s">
        <v>639</v>
      </c>
      <c r="D261" s="7" t="s">
        <v>39</v>
      </c>
      <c r="E261" s="7" t="s">
        <v>60</v>
      </c>
      <c r="F261" s="7" t="s">
        <v>72</v>
      </c>
      <c r="G261" s="7" t="s">
        <v>22</v>
      </c>
      <c r="H261" s="7" t="s">
        <v>624</v>
      </c>
      <c r="I261" s="7" t="s">
        <v>640</v>
      </c>
      <c r="J261" s="7">
        <v>1</v>
      </c>
      <c r="K261" s="9">
        <v>15032.42</v>
      </c>
      <c r="L261" s="9">
        <v>11274.32</v>
      </c>
      <c r="M261" s="10">
        <v>25</v>
      </c>
      <c r="N261" s="9">
        <v>-1164.82</v>
      </c>
      <c r="O261" s="9">
        <v>124.24</v>
      </c>
      <c r="P261" s="7" t="s">
        <v>35</v>
      </c>
      <c r="Q261" s="7" t="s">
        <v>65</v>
      </c>
      <c r="R261" s="30">
        <f t="shared" si="4"/>
        <v>-0.10331620887113369</v>
      </c>
    </row>
    <row r="262" spans="1:18" x14ac:dyDescent="0.35">
      <c r="A262" s="3" t="s">
        <v>641</v>
      </c>
      <c r="B262" s="4">
        <v>45526</v>
      </c>
      <c r="C262" s="3" t="s">
        <v>175</v>
      </c>
      <c r="D262" s="3" t="s">
        <v>39</v>
      </c>
      <c r="E262" s="3" t="s">
        <v>20</v>
      </c>
      <c r="F262" s="3" t="s">
        <v>21</v>
      </c>
      <c r="G262" s="3" t="s">
        <v>134</v>
      </c>
      <c r="H262" s="3" t="s">
        <v>139</v>
      </c>
      <c r="I262" s="3" t="s">
        <v>147</v>
      </c>
      <c r="J262" s="3">
        <v>4</v>
      </c>
      <c r="K262" s="5">
        <v>3098.82</v>
      </c>
      <c r="L262" s="5">
        <v>10535.99</v>
      </c>
      <c r="M262" s="6">
        <v>15</v>
      </c>
      <c r="N262" s="5">
        <v>1585.92</v>
      </c>
      <c r="O262" s="5">
        <v>384.14</v>
      </c>
      <c r="P262" s="3" t="s">
        <v>35</v>
      </c>
      <c r="Q262" s="3" t="s">
        <v>26</v>
      </c>
      <c r="R262" s="30">
        <f t="shared" si="4"/>
        <v>0.1505240608618649</v>
      </c>
    </row>
    <row r="263" spans="1:18" x14ac:dyDescent="0.35">
      <c r="A263" s="7" t="s">
        <v>642</v>
      </c>
      <c r="B263" s="8">
        <v>45526</v>
      </c>
      <c r="C263" s="7" t="s">
        <v>643</v>
      </c>
      <c r="D263" s="7" t="s">
        <v>39</v>
      </c>
      <c r="E263" s="7" t="s">
        <v>30</v>
      </c>
      <c r="F263" s="7" t="s">
        <v>226</v>
      </c>
      <c r="G263" s="7" t="s">
        <v>49</v>
      </c>
      <c r="H263" s="7" t="s">
        <v>50</v>
      </c>
      <c r="I263" s="7" t="s">
        <v>51</v>
      </c>
      <c r="J263" s="7">
        <v>1</v>
      </c>
      <c r="K263" s="9">
        <v>428.32</v>
      </c>
      <c r="L263" s="9">
        <v>428.32</v>
      </c>
      <c r="M263" s="10">
        <v>0</v>
      </c>
      <c r="N263" s="9">
        <v>109.51</v>
      </c>
      <c r="O263" s="9">
        <v>330.29</v>
      </c>
      <c r="P263" s="7" t="s">
        <v>64</v>
      </c>
      <c r="Q263" s="7" t="s">
        <v>57</v>
      </c>
      <c r="R263" s="30">
        <f t="shared" si="4"/>
        <v>0.25567332835263357</v>
      </c>
    </row>
    <row r="264" spans="1:18" x14ac:dyDescent="0.35">
      <c r="A264" s="3" t="s">
        <v>644</v>
      </c>
      <c r="B264" s="4">
        <v>45526</v>
      </c>
      <c r="C264" s="3" t="s">
        <v>645</v>
      </c>
      <c r="D264" s="3" t="s">
        <v>29</v>
      </c>
      <c r="E264" s="3" t="s">
        <v>30</v>
      </c>
      <c r="F264" s="3" t="s">
        <v>48</v>
      </c>
      <c r="G264" s="3" t="s">
        <v>49</v>
      </c>
      <c r="H264" s="3" t="s">
        <v>98</v>
      </c>
      <c r="I264" s="3" t="s">
        <v>299</v>
      </c>
      <c r="J264" s="3">
        <v>1</v>
      </c>
      <c r="K264" s="5">
        <v>6527.96</v>
      </c>
      <c r="L264" s="5">
        <v>5548.77</v>
      </c>
      <c r="M264" s="6">
        <v>15</v>
      </c>
      <c r="N264" s="5">
        <v>916.39</v>
      </c>
      <c r="O264" s="5">
        <v>293.23</v>
      </c>
      <c r="P264" s="3" t="s">
        <v>83</v>
      </c>
      <c r="Q264" s="3" t="s">
        <v>26</v>
      </c>
      <c r="R264" s="30">
        <f t="shared" si="4"/>
        <v>0.16515191655087522</v>
      </c>
    </row>
    <row r="265" spans="1:18" x14ac:dyDescent="0.35">
      <c r="A265" s="7" t="s">
        <v>646</v>
      </c>
      <c r="B265" s="8">
        <v>45528</v>
      </c>
      <c r="C265" s="7" t="s">
        <v>647</v>
      </c>
      <c r="D265" s="7" t="s">
        <v>39</v>
      </c>
      <c r="E265" s="7" t="s">
        <v>30</v>
      </c>
      <c r="F265" s="7" t="s">
        <v>226</v>
      </c>
      <c r="G265" s="7" t="s">
        <v>22</v>
      </c>
      <c r="H265" s="7" t="s">
        <v>110</v>
      </c>
      <c r="I265" s="7" t="s">
        <v>111</v>
      </c>
      <c r="J265" s="7">
        <v>3</v>
      </c>
      <c r="K265" s="9">
        <v>6027.18</v>
      </c>
      <c r="L265" s="9">
        <v>17177.46</v>
      </c>
      <c r="M265" s="10">
        <v>5</v>
      </c>
      <c r="N265" s="9">
        <v>574.12</v>
      </c>
      <c r="O265" s="9">
        <v>247.23</v>
      </c>
      <c r="P265" s="7" t="s">
        <v>25</v>
      </c>
      <c r="Q265" s="7" t="s">
        <v>65</v>
      </c>
      <c r="R265" s="30">
        <f t="shared" si="4"/>
        <v>3.3422869271708393E-2</v>
      </c>
    </row>
    <row r="266" spans="1:18" x14ac:dyDescent="0.35">
      <c r="A266" s="3" t="s">
        <v>648</v>
      </c>
      <c r="B266" s="4">
        <v>45528</v>
      </c>
      <c r="C266" s="3" t="s">
        <v>649</v>
      </c>
      <c r="D266" s="3" t="s">
        <v>39</v>
      </c>
      <c r="E266" s="3" t="s">
        <v>40</v>
      </c>
      <c r="F266" s="3" t="s">
        <v>41</v>
      </c>
      <c r="G266" s="3" t="s">
        <v>134</v>
      </c>
      <c r="H266" s="3" t="s">
        <v>91</v>
      </c>
      <c r="I266" s="3" t="s">
        <v>188</v>
      </c>
      <c r="J266" s="3">
        <v>2</v>
      </c>
      <c r="K266" s="5">
        <v>2674.76</v>
      </c>
      <c r="L266" s="5">
        <v>4814.57</v>
      </c>
      <c r="M266" s="6">
        <v>10</v>
      </c>
      <c r="N266" s="5">
        <v>768.8</v>
      </c>
      <c r="O266" s="5">
        <v>186.52</v>
      </c>
      <c r="P266" s="3" t="s">
        <v>64</v>
      </c>
      <c r="Q266" s="3" t="s">
        <v>26</v>
      </c>
      <c r="R266" s="30">
        <f t="shared" si="4"/>
        <v>0.15968196536762369</v>
      </c>
    </row>
    <row r="267" spans="1:18" x14ac:dyDescent="0.35">
      <c r="A267" s="7" t="s">
        <v>650</v>
      </c>
      <c r="B267" s="8">
        <v>45530</v>
      </c>
      <c r="C267" s="7" t="s">
        <v>651</v>
      </c>
      <c r="D267" s="7" t="s">
        <v>39</v>
      </c>
      <c r="E267" s="7" t="s">
        <v>20</v>
      </c>
      <c r="F267" s="7" t="s">
        <v>54</v>
      </c>
      <c r="G267" s="7" t="s">
        <v>32</v>
      </c>
      <c r="H267" s="7" t="s">
        <v>33</v>
      </c>
      <c r="I267" s="7" t="s">
        <v>470</v>
      </c>
      <c r="J267" s="7">
        <v>2</v>
      </c>
      <c r="K267" s="9">
        <v>8328.06</v>
      </c>
      <c r="L267" s="9">
        <v>16656.12</v>
      </c>
      <c r="M267" s="10">
        <v>0</v>
      </c>
      <c r="N267" s="9">
        <v>4008.15</v>
      </c>
      <c r="O267" s="9">
        <v>328.07</v>
      </c>
      <c r="P267" s="7" t="s">
        <v>25</v>
      </c>
      <c r="Q267" s="7" t="s">
        <v>65</v>
      </c>
      <c r="R267" s="30">
        <f t="shared" si="4"/>
        <v>0.24064127780059225</v>
      </c>
    </row>
    <row r="268" spans="1:18" x14ac:dyDescent="0.35">
      <c r="A268" s="3" t="s">
        <v>652</v>
      </c>
      <c r="B268" s="4">
        <v>45532</v>
      </c>
      <c r="C268" s="3" t="s">
        <v>210</v>
      </c>
      <c r="D268" s="3" t="s">
        <v>39</v>
      </c>
      <c r="E268" s="3" t="s">
        <v>40</v>
      </c>
      <c r="F268" s="3" t="s">
        <v>109</v>
      </c>
      <c r="G268" s="3" t="s">
        <v>32</v>
      </c>
      <c r="H268" s="3" t="s">
        <v>73</v>
      </c>
      <c r="I268" s="3" t="s">
        <v>230</v>
      </c>
      <c r="J268" s="3">
        <v>1</v>
      </c>
      <c r="K268" s="5">
        <v>4595.1099999999997</v>
      </c>
      <c r="L268" s="5">
        <v>4135.6000000000004</v>
      </c>
      <c r="M268" s="6">
        <v>10</v>
      </c>
      <c r="N268" s="5">
        <v>421.26</v>
      </c>
      <c r="O268" s="5">
        <v>235.47</v>
      </c>
      <c r="P268" s="3" t="s">
        <v>64</v>
      </c>
      <c r="Q268" s="3" t="s">
        <v>26</v>
      </c>
      <c r="R268" s="30">
        <f t="shared" si="4"/>
        <v>0.10186188219363573</v>
      </c>
    </row>
    <row r="269" spans="1:18" x14ac:dyDescent="0.35">
      <c r="A269" s="7" t="s">
        <v>653</v>
      </c>
      <c r="B269" s="8">
        <v>45533</v>
      </c>
      <c r="C269" s="7" t="s">
        <v>654</v>
      </c>
      <c r="D269" s="7" t="s">
        <v>39</v>
      </c>
      <c r="E269" s="7" t="s">
        <v>60</v>
      </c>
      <c r="F269" s="7" t="s">
        <v>104</v>
      </c>
      <c r="G269" s="7" t="s">
        <v>134</v>
      </c>
      <c r="H269" s="7" t="s">
        <v>91</v>
      </c>
      <c r="I269" s="7" t="s">
        <v>206</v>
      </c>
      <c r="J269" s="7">
        <v>1</v>
      </c>
      <c r="K269" s="9">
        <v>1671.14</v>
      </c>
      <c r="L269" s="9">
        <v>1253.3599999999999</v>
      </c>
      <c r="M269" s="10">
        <v>25</v>
      </c>
      <c r="N269" s="9">
        <v>32.82</v>
      </c>
      <c r="O269" s="9">
        <v>142.19999999999999</v>
      </c>
      <c r="P269" s="7" t="s">
        <v>83</v>
      </c>
      <c r="Q269" s="7" t="s">
        <v>65</v>
      </c>
      <c r="R269" s="30">
        <f t="shared" si="4"/>
        <v>2.6185613072062301E-2</v>
      </c>
    </row>
    <row r="270" spans="1:18" x14ac:dyDescent="0.35">
      <c r="A270" s="3" t="s">
        <v>655</v>
      </c>
      <c r="B270" s="4">
        <v>45533</v>
      </c>
      <c r="C270" s="3" t="s">
        <v>656</v>
      </c>
      <c r="D270" s="3" t="s">
        <v>39</v>
      </c>
      <c r="E270" s="3" t="s">
        <v>60</v>
      </c>
      <c r="F270" s="3" t="s">
        <v>68</v>
      </c>
      <c r="G270" s="3" t="s">
        <v>117</v>
      </c>
      <c r="H270" s="3" t="s">
        <v>118</v>
      </c>
      <c r="I270" s="3" t="s">
        <v>279</v>
      </c>
      <c r="J270" s="3">
        <v>1</v>
      </c>
      <c r="K270" s="5">
        <v>288.38</v>
      </c>
      <c r="L270" s="5">
        <v>259.54000000000002</v>
      </c>
      <c r="M270" s="6">
        <v>10</v>
      </c>
      <c r="N270" s="5">
        <v>55.95</v>
      </c>
      <c r="O270" s="5">
        <v>233.9</v>
      </c>
      <c r="P270" s="3" t="s">
        <v>64</v>
      </c>
      <c r="Q270" s="3" t="s">
        <v>26</v>
      </c>
      <c r="R270" s="30">
        <f t="shared" si="4"/>
        <v>0.21557370732835016</v>
      </c>
    </row>
    <row r="271" spans="1:18" x14ac:dyDescent="0.35">
      <c r="A271" s="7" t="s">
        <v>657</v>
      </c>
      <c r="B271" s="8">
        <v>45537</v>
      </c>
      <c r="C271" s="7" t="s">
        <v>658</v>
      </c>
      <c r="D271" s="7" t="s">
        <v>39</v>
      </c>
      <c r="E271" s="7" t="s">
        <v>60</v>
      </c>
      <c r="F271" s="7" t="s">
        <v>104</v>
      </c>
      <c r="G271" s="7" t="s">
        <v>42</v>
      </c>
      <c r="H271" s="7" t="s">
        <v>81</v>
      </c>
      <c r="I271" s="7" t="s">
        <v>431</v>
      </c>
      <c r="J271" s="7">
        <v>3</v>
      </c>
      <c r="K271" s="9">
        <v>830.65</v>
      </c>
      <c r="L271" s="9">
        <v>2491.9499999999998</v>
      </c>
      <c r="M271" s="10">
        <v>0</v>
      </c>
      <c r="N271" s="9">
        <v>370.01</v>
      </c>
      <c r="O271" s="9">
        <v>79.66</v>
      </c>
      <c r="P271" s="7" t="s">
        <v>35</v>
      </c>
      <c r="Q271" s="7" t="s">
        <v>65</v>
      </c>
      <c r="R271" s="30">
        <f t="shared" si="4"/>
        <v>0.14848211240193424</v>
      </c>
    </row>
    <row r="272" spans="1:18" x14ac:dyDescent="0.35">
      <c r="A272" s="3" t="s">
        <v>659</v>
      </c>
      <c r="B272" s="4">
        <v>45538</v>
      </c>
      <c r="C272" s="3" t="s">
        <v>444</v>
      </c>
      <c r="D272" s="3" t="s">
        <v>29</v>
      </c>
      <c r="E272" s="3" t="s">
        <v>60</v>
      </c>
      <c r="F272" s="3" t="s">
        <v>61</v>
      </c>
      <c r="G272" s="3" t="s">
        <v>32</v>
      </c>
      <c r="H272" s="3" t="s">
        <v>33</v>
      </c>
      <c r="I272" s="3" t="s">
        <v>470</v>
      </c>
      <c r="J272" s="3">
        <v>4</v>
      </c>
      <c r="K272" s="5">
        <v>7026.62</v>
      </c>
      <c r="L272" s="5">
        <v>25295.83</v>
      </c>
      <c r="M272" s="6">
        <v>10</v>
      </c>
      <c r="N272" s="5">
        <v>2592.8000000000002</v>
      </c>
      <c r="O272" s="5">
        <v>330.27</v>
      </c>
      <c r="P272" s="3" t="s">
        <v>35</v>
      </c>
      <c r="Q272" s="3" t="s">
        <v>57</v>
      </c>
      <c r="R272" s="30">
        <f t="shared" si="4"/>
        <v>0.10249910756041608</v>
      </c>
    </row>
    <row r="273" spans="1:18" x14ac:dyDescent="0.35">
      <c r="A273" s="7" t="s">
        <v>660</v>
      </c>
      <c r="B273" s="8">
        <v>45538</v>
      </c>
      <c r="C273" s="7" t="s">
        <v>656</v>
      </c>
      <c r="D273" s="7" t="s">
        <v>39</v>
      </c>
      <c r="E273" s="7" t="s">
        <v>40</v>
      </c>
      <c r="F273" s="7" t="s">
        <v>77</v>
      </c>
      <c r="G273" s="7" t="s">
        <v>117</v>
      </c>
      <c r="H273" s="7" t="s">
        <v>118</v>
      </c>
      <c r="I273" s="7" t="s">
        <v>438</v>
      </c>
      <c r="J273" s="7">
        <v>3</v>
      </c>
      <c r="K273" s="9">
        <v>1723.91</v>
      </c>
      <c r="L273" s="9">
        <v>5171.7299999999996</v>
      </c>
      <c r="M273" s="10">
        <v>0</v>
      </c>
      <c r="N273" s="9">
        <v>1494.06</v>
      </c>
      <c r="O273" s="9">
        <v>321.14999999999998</v>
      </c>
      <c r="P273" s="7" t="s">
        <v>45</v>
      </c>
      <c r="Q273" s="7" t="s">
        <v>26</v>
      </c>
      <c r="R273" s="30">
        <f t="shared" si="4"/>
        <v>0.28888979123040065</v>
      </c>
    </row>
    <row r="274" spans="1:18" x14ac:dyDescent="0.35">
      <c r="A274" s="3" t="s">
        <v>661</v>
      </c>
      <c r="B274" s="4">
        <v>45538</v>
      </c>
      <c r="C274" s="3" t="s">
        <v>442</v>
      </c>
      <c r="D274" s="3" t="s">
        <v>39</v>
      </c>
      <c r="E274" s="3" t="s">
        <v>30</v>
      </c>
      <c r="F274" s="3" t="s">
        <v>48</v>
      </c>
      <c r="G274" s="3" t="s">
        <v>117</v>
      </c>
      <c r="H274" s="3" t="s">
        <v>153</v>
      </c>
      <c r="I274" s="3" t="s">
        <v>356</v>
      </c>
      <c r="J274" s="3">
        <v>1</v>
      </c>
      <c r="K274" s="5">
        <v>2314.92</v>
      </c>
      <c r="L274" s="5">
        <v>2199.17</v>
      </c>
      <c r="M274" s="6">
        <v>5</v>
      </c>
      <c r="N274" s="5">
        <v>478.39</v>
      </c>
      <c r="O274" s="5">
        <v>155.59</v>
      </c>
      <c r="P274" s="3" t="s">
        <v>64</v>
      </c>
      <c r="Q274" s="3" t="s">
        <v>26</v>
      </c>
      <c r="R274" s="30">
        <f t="shared" si="4"/>
        <v>0.21753206891690954</v>
      </c>
    </row>
    <row r="275" spans="1:18" x14ac:dyDescent="0.35">
      <c r="A275" s="7" t="s">
        <v>662</v>
      </c>
      <c r="B275" s="8">
        <v>45541</v>
      </c>
      <c r="C275" s="7" t="s">
        <v>663</v>
      </c>
      <c r="D275" s="7" t="s">
        <v>39</v>
      </c>
      <c r="E275" s="7" t="s">
        <v>60</v>
      </c>
      <c r="F275" s="7" t="s">
        <v>68</v>
      </c>
      <c r="G275" s="7" t="s">
        <v>49</v>
      </c>
      <c r="H275" s="7" t="s">
        <v>50</v>
      </c>
      <c r="I275" s="7" t="s">
        <v>95</v>
      </c>
      <c r="J275" s="7">
        <v>3</v>
      </c>
      <c r="K275" s="9">
        <v>10975.02</v>
      </c>
      <c r="L275" s="9">
        <v>26340.05</v>
      </c>
      <c r="M275" s="10">
        <v>20</v>
      </c>
      <c r="N275" s="9">
        <v>3527.83</v>
      </c>
      <c r="O275" s="9">
        <v>348.22</v>
      </c>
      <c r="P275" s="7" t="s">
        <v>64</v>
      </c>
      <c r="Q275" s="7" t="s">
        <v>65</v>
      </c>
      <c r="R275" s="30">
        <f t="shared" si="4"/>
        <v>0.13393406618438461</v>
      </c>
    </row>
    <row r="276" spans="1:18" x14ac:dyDescent="0.35">
      <c r="A276" s="3" t="s">
        <v>664</v>
      </c>
      <c r="B276" s="4">
        <v>45541</v>
      </c>
      <c r="C276" s="3" t="s">
        <v>665</v>
      </c>
      <c r="D276" s="3" t="s">
        <v>39</v>
      </c>
      <c r="E276" s="3" t="s">
        <v>20</v>
      </c>
      <c r="F276" s="3" t="s">
        <v>54</v>
      </c>
      <c r="G276" s="3" t="s">
        <v>117</v>
      </c>
      <c r="H276" s="3" t="s">
        <v>125</v>
      </c>
      <c r="I276" s="3" t="s">
        <v>196</v>
      </c>
      <c r="J276" s="3">
        <v>1</v>
      </c>
      <c r="K276" s="5">
        <v>211.56</v>
      </c>
      <c r="L276" s="5">
        <v>211.56</v>
      </c>
      <c r="M276" s="6">
        <v>0</v>
      </c>
      <c r="N276" s="5">
        <v>64.37</v>
      </c>
      <c r="O276" s="5">
        <v>49.23</v>
      </c>
      <c r="P276" s="3" t="s">
        <v>83</v>
      </c>
      <c r="Q276" s="3" t="s">
        <v>57</v>
      </c>
      <c r="R276" s="30">
        <f t="shared" si="4"/>
        <v>0.30426356589147291</v>
      </c>
    </row>
    <row r="277" spans="1:18" x14ac:dyDescent="0.35">
      <c r="A277" s="7" t="s">
        <v>666</v>
      </c>
      <c r="B277" s="8">
        <v>45542</v>
      </c>
      <c r="C277" s="7" t="s">
        <v>584</v>
      </c>
      <c r="D277" s="7" t="s">
        <v>39</v>
      </c>
      <c r="E277" s="7" t="s">
        <v>20</v>
      </c>
      <c r="F277" s="7" t="s">
        <v>21</v>
      </c>
      <c r="G277" s="7" t="s">
        <v>117</v>
      </c>
      <c r="H277" s="7" t="s">
        <v>118</v>
      </c>
      <c r="I277" s="7" t="s">
        <v>438</v>
      </c>
      <c r="J277" s="7">
        <v>1</v>
      </c>
      <c r="K277" s="9">
        <v>2211.81</v>
      </c>
      <c r="L277" s="9">
        <v>2211.81</v>
      </c>
      <c r="M277" s="10">
        <v>0</v>
      </c>
      <c r="N277" s="9">
        <v>597.6</v>
      </c>
      <c r="O277" s="9">
        <v>199.26</v>
      </c>
      <c r="P277" s="7" t="s">
        <v>35</v>
      </c>
      <c r="Q277" s="7" t="s">
        <v>65</v>
      </c>
      <c r="R277" s="30">
        <f t="shared" si="4"/>
        <v>0.27018595629823539</v>
      </c>
    </row>
    <row r="278" spans="1:18" x14ac:dyDescent="0.35">
      <c r="A278" s="3" t="s">
        <v>667</v>
      </c>
      <c r="B278" s="4">
        <v>45542</v>
      </c>
      <c r="C278" s="3" t="s">
        <v>331</v>
      </c>
      <c r="D278" s="3" t="s">
        <v>39</v>
      </c>
      <c r="E278" s="3" t="s">
        <v>60</v>
      </c>
      <c r="F278" s="3" t="s">
        <v>104</v>
      </c>
      <c r="G278" s="3" t="s">
        <v>32</v>
      </c>
      <c r="H278" s="3" t="s">
        <v>86</v>
      </c>
      <c r="I278" s="3" t="s">
        <v>227</v>
      </c>
      <c r="J278" s="3">
        <v>1</v>
      </c>
      <c r="K278" s="5">
        <v>5901.36</v>
      </c>
      <c r="L278" s="5">
        <v>5901.36</v>
      </c>
      <c r="M278" s="6">
        <v>0</v>
      </c>
      <c r="N278" s="5">
        <v>1455.97</v>
      </c>
      <c r="O278" s="5">
        <v>209.42</v>
      </c>
      <c r="P278" s="3" t="s">
        <v>35</v>
      </c>
      <c r="Q278" s="3" t="s">
        <v>57</v>
      </c>
      <c r="R278" s="30">
        <f t="shared" si="4"/>
        <v>0.24671770574918325</v>
      </c>
    </row>
    <row r="279" spans="1:18" x14ac:dyDescent="0.35">
      <c r="A279" s="7" t="s">
        <v>668</v>
      </c>
      <c r="B279" s="8">
        <v>45546</v>
      </c>
      <c r="C279" s="7" t="s">
        <v>669</v>
      </c>
      <c r="D279" s="7" t="s">
        <v>19</v>
      </c>
      <c r="E279" s="7" t="s">
        <v>30</v>
      </c>
      <c r="F279" s="7" t="s">
        <v>31</v>
      </c>
      <c r="G279" s="7" t="s">
        <v>49</v>
      </c>
      <c r="H279" s="7" t="s">
        <v>98</v>
      </c>
      <c r="I279" s="7" t="s">
        <v>258</v>
      </c>
      <c r="J279" s="7">
        <v>2</v>
      </c>
      <c r="K279" s="9">
        <v>5296.56</v>
      </c>
      <c r="L279" s="9">
        <v>10063.459999999999</v>
      </c>
      <c r="M279" s="10">
        <v>5</v>
      </c>
      <c r="N279" s="9">
        <v>1778.92</v>
      </c>
      <c r="O279" s="9">
        <v>212.02</v>
      </c>
      <c r="P279" s="7" t="s">
        <v>25</v>
      </c>
      <c r="Q279" s="7" t="s">
        <v>26</v>
      </c>
      <c r="R279" s="30">
        <f t="shared" si="4"/>
        <v>0.17677021620794442</v>
      </c>
    </row>
    <row r="280" spans="1:18" x14ac:dyDescent="0.35">
      <c r="A280" s="3" t="s">
        <v>670</v>
      </c>
      <c r="B280" s="4">
        <v>45547</v>
      </c>
      <c r="C280" s="3" t="s">
        <v>671</v>
      </c>
      <c r="D280" s="3" t="s">
        <v>29</v>
      </c>
      <c r="E280" s="3" t="s">
        <v>30</v>
      </c>
      <c r="F280" s="3" t="s">
        <v>48</v>
      </c>
      <c r="G280" s="3" t="s">
        <v>32</v>
      </c>
      <c r="H280" s="3" t="s">
        <v>86</v>
      </c>
      <c r="I280" s="3" t="s">
        <v>211</v>
      </c>
      <c r="J280" s="3">
        <v>1</v>
      </c>
      <c r="K280" s="5">
        <v>7141.49</v>
      </c>
      <c r="L280" s="5">
        <v>6784.42</v>
      </c>
      <c r="M280" s="6">
        <v>5</v>
      </c>
      <c r="N280" s="5">
        <v>1065.8499999999999</v>
      </c>
      <c r="O280" s="5">
        <v>82.75</v>
      </c>
      <c r="P280" s="3" t="s">
        <v>25</v>
      </c>
      <c r="Q280" s="3" t="s">
        <v>57</v>
      </c>
      <c r="R280" s="30">
        <f t="shared" si="4"/>
        <v>0.15710259683215366</v>
      </c>
    </row>
    <row r="281" spans="1:18" x14ac:dyDescent="0.35">
      <c r="A281" s="7" t="s">
        <v>672</v>
      </c>
      <c r="B281" s="8">
        <v>45549</v>
      </c>
      <c r="C281" s="7" t="s">
        <v>593</v>
      </c>
      <c r="D281" s="7" t="s">
        <v>39</v>
      </c>
      <c r="E281" s="7" t="s">
        <v>40</v>
      </c>
      <c r="F281" s="7" t="s">
        <v>109</v>
      </c>
      <c r="G281" s="7" t="s">
        <v>42</v>
      </c>
      <c r="H281" s="7" t="s">
        <v>172</v>
      </c>
      <c r="I281" s="7" t="s">
        <v>223</v>
      </c>
      <c r="J281" s="7">
        <v>3</v>
      </c>
      <c r="K281" s="9">
        <v>177.84</v>
      </c>
      <c r="L281" s="9">
        <v>533.52</v>
      </c>
      <c r="M281" s="10">
        <v>0</v>
      </c>
      <c r="N281" s="9">
        <v>97.29</v>
      </c>
      <c r="O281" s="9">
        <v>244.15</v>
      </c>
      <c r="P281" s="7" t="s">
        <v>25</v>
      </c>
      <c r="Q281" s="7" t="s">
        <v>26</v>
      </c>
      <c r="R281" s="30">
        <f t="shared" si="4"/>
        <v>0.18235492577597842</v>
      </c>
    </row>
    <row r="282" spans="1:18" x14ac:dyDescent="0.35">
      <c r="A282" s="3" t="s">
        <v>673</v>
      </c>
      <c r="B282" s="4">
        <v>45549</v>
      </c>
      <c r="C282" s="3" t="s">
        <v>674</v>
      </c>
      <c r="D282" s="3" t="s">
        <v>29</v>
      </c>
      <c r="E282" s="3" t="s">
        <v>20</v>
      </c>
      <c r="F282" s="3" t="s">
        <v>21</v>
      </c>
      <c r="G282" s="3" t="s">
        <v>42</v>
      </c>
      <c r="H282" s="3" t="s">
        <v>81</v>
      </c>
      <c r="I282" s="3" t="s">
        <v>82</v>
      </c>
      <c r="J282" s="3">
        <v>4</v>
      </c>
      <c r="K282" s="5">
        <v>1122.79</v>
      </c>
      <c r="L282" s="5">
        <v>3143.81</v>
      </c>
      <c r="M282" s="6">
        <v>30</v>
      </c>
      <c r="N282" s="5">
        <v>-187.67</v>
      </c>
      <c r="O282" s="5">
        <v>87.61</v>
      </c>
      <c r="P282" s="3" t="s">
        <v>45</v>
      </c>
      <c r="Q282" s="3" t="s">
        <v>26</v>
      </c>
      <c r="R282" s="30">
        <f t="shared" si="4"/>
        <v>-5.9695083354273953E-2</v>
      </c>
    </row>
    <row r="283" spans="1:18" x14ac:dyDescent="0.35">
      <c r="A283" s="7" t="s">
        <v>675</v>
      </c>
      <c r="B283" s="8">
        <v>45550</v>
      </c>
      <c r="C283" s="7" t="s">
        <v>419</v>
      </c>
      <c r="D283" s="7" t="s">
        <v>39</v>
      </c>
      <c r="E283" s="7" t="s">
        <v>30</v>
      </c>
      <c r="F283" s="7" t="s">
        <v>48</v>
      </c>
      <c r="G283" s="7" t="s">
        <v>49</v>
      </c>
      <c r="H283" s="7" t="s">
        <v>62</v>
      </c>
      <c r="I283" s="7" t="s">
        <v>341</v>
      </c>
      <c r="J283" s="7">
        <v>2</v>
      </c>
      <c r="K283" s="9">
        <v>3123.01</v>
      </c>
      <c r="L283" s="9">
        <v>5309.12</v>
      </c>
      <c r="M283" s="10">
        <v>15</v>
      </c>
      <c r="N283" s="9">
        <v>1013.61</v>
      </c>
      <c r="O283" s="9">
        <v>334.77</v>
      </c>
      <c r="P283" s="7" t="s">
        <v>64</v>
      </c>
      <c r="Q283" s="7" t="s">
        <v>26</v>
      </c>
      <c r="R283" s="30">
        <f t="shared" si="4"/>
        <v>0.19091864565125671</v>
      </c>
    </row>
    <row r="284" spans="1:18" x14ac:dyDescent="0.35">
      <c r="A284" s="3" t="s">
        <v>676</v>
      </c>
      <c r="B284" s="4">
        <v>45551</v>
      </c>
      <c r="C284" s="3" t="s">
        <v>663</v>
      </c>
      <c r="D284" s="3" t="s">
        <v>39</v>
      </c>
      <c r="E284" s="3" t="s">
        <v>40</v>
      </c>
      <c r="F284" s="3" t="s">
        <v>77</v>
      </c>
      <c r="G284" s="3" t="s">
        <v>32</v>
      </c>
      <c r="H284" s="3" t="s">
        <v>143</v>
      </c>
      <c r="I284" s="3" t="s">
        <v>144</v>
      </c>
      <c r="J284" s="3">
        <v>1</v>
      </c>
      <c r="K284" s="5">
        <v>2057.36</v>
      </c>
      <c r="L284" s="5">
        <v>1851.62</v>
      </c>
      <c r="M284" s="6">
        <v>10</v>
      </c>
      <c r="N284" s="5">
        <v>153.80000000000001</v>
      </c>
      <c r="O284" s="5">
        <v>188.94</v>
      </c>
      <c r="P284" s="3" t="s">
        <v>35</v>
      </c>
      <c r="Q284" s="3" t="s">
        <v>65</v>
      </c>
      <c r="R284" s="30">
        <f t="shared" si="4"/>
        <v>8.3062399412406437E-2</v>
      </c>
    </row>
    <row r="285" spans="1:18" x14ac:dyDescent="0.35">
      <c r="A285" s="7" t="s">
        <v>677</v>
      </c>
      <c r="B285" s="8">
        <v>45552</v>
      </c>
      <c r="C285" s="7" t="s">
        <v>551</v>
      </c>
      <c r="D285" s="7" t="s">
        <v>39</v>
      </c>
      <c r="E285" s="7" t="s">
        <v>30</v>
      </c>
      <c r="F285" s="7" t="s">
        <v>226</v>
      </c>
      <c r="G285" s="7" t="s">
        <v>22</v>
      </c>
      <c r="H285" s="7" t="s">
        <v>105</v>
      </c>
      <c r="I285" s="7" t="s">
        <v>251</v>
      </c>
      <c r="J285" s="7">
        <v>5</v>
      </c>
      <c r="K285" s="9">
        <v>5243.32</v>
      </c>
      <c r="L285" s="9">
        <v>24905.77</v>
      </c>
      <c r="M285" s="10">
        <v>5</v>
      </c>
      <c r="N285" s="9">
        <v>993.78</v>
      </c>
      <c r="O285" s="9">
        <v>308.08</v>
      </c>
      <c r="P285" s="7" t="s">
        <v>35</v>
      </c>
      <c r="Q285" s="7" t="s">
        <v>36</v>
      </c>
      <c r="R285" s="30">
        <f t="shared" si="4"/>
        <v>3.9901597099788522E-2</v>
      </c>
    </row>
    <row r="286" spans="1:18" x14ac:dyDescent="0.35">
      <c r="A286" s="3" t="s">
        <v>678</v>
      </c>
      <c r="B286" s="4">
        <v>45553</v>
      </c>
      <c r="C286" s="3" t="s">
        <v>679</v>
      </c>
      <c r="D286" s="3" t="s">
        <v>39</v>
      </c>
      <c r="E286" s="3" t="s">
        <v>60</v>
      </c>
      <c r="F286" s="3" t="s">
        <v>104</v>
      </c>
      <c r="G286" s="3" t="s">
        <v>32</v>
      </c>
      <c r="H286" s="3" t="s">
        <v>86</v>
      </c>
      <c r="I286" s="3" t="s">
        <v>227</v>
      </c>
      <c r="J286" s="3">
        <v>2</v>
      </c>
      <c r="K286" s="5">
        <v>8115.7</v>
      </c>
      <c r="L286" s="5">
        <v>14608.26</v>
      </c>
      <c r="M286" s="6">
        <v>10</v>
      </c>
      <c r="N286" s="5">
        <v>2147.4299999999998</v>
      </c>
      <c r="O286" s="5">
        <v>95.34</v>
      </c>
      <c r="P286" s="3" t="s">
        <v>35</v>
      </c>
      <c r="Q286" s="3" t="s">
        <v>65</v>
      </c>
      <c r="R286" s="30">
        <f t="shared" si="4"/>
        <v>0.14700108021078484</v>
      </c>
    </row>
    <row r="287" spans="1:18" x14ac:dyDescent="0.35">
      <c r="A287" s="7" t="s">
        <v>680</v>
      </c>
      <c r="B287" s="8">
        <v>45553</v>
      </c>
      <c r="C287" s="7" t="s">
        <v>681</v>
      </c>
      <c r="D287" s="7" t="s">
        <v>39</v>
      </c>
      <c r="E287" s="7" t="s">
        <v>60</v>
      </c>
      <c r="F287" s="7" t="s">
        <v>68</v>
      </c>
      <c r="G287" s="7" t="s">
        <v>134</v>
      </c>
      <c r="H287" s="7" t="s">
        <v>139</v>
      </c>
      <c r="I287" s="7" t="s">
        <v>147</v>
      </c>
      <c r="J287" s="7">
        <v>2</v>
      </c>
      <c r="K287" s="9">
        <v>3582.79</v>
      </c>
      <c r="L287" s="9">
        <v>6090.74</v>
      </c>
      <c r="M287" s="10">
        <v>15</v>
      </c>
      <c r="N287" s="9">
        <v>457.09</v>
      </c>
      <c r="O287" s="9">
        <v>268.27</v>
      </c>
      <c r="P287" s="7" t="s">
        <v>35</v>
      </c>
      <c r="Q287" s="7" t="s">
        <v>26</v>
      </c>
      <c r="R287" s="30">
        <f t="shared" si="4"/>
        <v>7.504671025195625E-2</v>
      </c>
    </row>
    <row r="288" spans="1:18" x14ac:dyDescent="0.35">
      <c r="A288" s="3" t="s">
        <v>682</v>
      </c>
      <c r="B288" s="4">
        <v>45553</v>
      </c>
      <c r="C288" s="3" t="s">
        <v>683</v>
      </c>
      <c r="D288" s="3" t="s">
        <v>19</v>
      </c>
      <c r="E288" s="3" t="s">
        <v>60</v>
      </c>
      <c r="F288" s="3" t="s">
        <v>68</v>
      </c>
      <c r="G288" s="3" t="s">
        <v>42</v>
      </c>
      <c r="H288" s="3" t="s">
        <v>164</v>
      </c>
      <c r="I288" s="3" t="s">
        <v>329</v>
      </c>
      <c r="J288" s="3">
        <v>3</v>
      </c>
      <c r="K288" s="5">
        <v>697.32</v>
      </c>
      <c r="L288" s="5">
        <v>1673.57</v>
      </c>
      <c r="M288" s="6">
        <v>20</v>
      </c>
      <c r="N288" s="5">
        <v>18.55</v>
      </c>
      <c r="O288" s="5">
        <v>110.35</v>
      </c>
      <c r="P288" s="3" t="s">
        <v>64</v>
      </c>
      <c r="Q288" s="3" t="s">
        <v>26</v>
      </c>
      <c r="R288" s="30">
        <f t="shared" si="4"/>
        <v>1.1084089700460693E-2</v>
      </c>
    </row>
    <row r="289" spans="1:18" x14ac:dyDescent="0.35">
      <c r="A289" s="7" t="s">
        <v>684</v>
      </c>
      <c r="B289" s="8">
        <v>45553</v>
      </c>
      <c r="C289" s="7" t="s">
        <v>240</v>
      </c>
      <c r="D289" s="7" t="s">
        <v>39</v>
      </c>
      <c r="E289" s="7" t="s">
        <v>40</v>
      </c>
      <c r="F289" s="7" t="s">
        <v>109</v>
      </c>
      <c r="G289" s="7" t="s">
        <v>42</v>
      </c>
      <c r="H289" s="7" t="s">
        <v>172</v>
      </c>
      <c r="I289" s="7" t="s">
        <v>223</v>
      </c>
      <c r="J289" s="7">
        <v>2</v>
      </c>
      <c r="K289" s="9">
        <v>944.02</v>
      </c>
      <c r="L289" s="9">
        <v>1793.64</v>
      </c>
      <c r="M289" s="10">
        <v>5</v>
      </c>
      <c r="N289" s="9">
        <v>182.05</v>
      </c>
      <c r="O289" s="9">
        <v>191.73</v>
      </c>
      <c r="P289" s="7" t="s">
        <v>83</v>
      </c>
      <c r="Q289" s="7" t="s">
        <v>26</v>
      </c>
      <c r="R289" s="30">
        <f t="shared" si="4"/>
        <v>0.10149751343636404</v>
      </c>
    </row>
    <row r="290" spans="1:18" x14ac:dyDescent="0.35">
      <c r="A290" s="3" t="s">
        <v>685</v>
      </c>
      <c r="B290" s="4">
        <v>45554</v>
      </c>
      <c r="C290" s="3" t="s">
        <v>686</v>
      </c>
      <c r="D290" s="3" t="s">
        <v>19</v>
      </c>
      <c r="E290" s="3" t="s">
        <v>30</v>
      </c>
      <c r="F290" s="3" t="s">
        <v>226</v>
      </c>
      <c r="G290" s="3" t="s">
        <v>134</v>
      </c>
      <c r="H290" s="3" t="s">
        <v>244</v>
      </c>
      <c r="I290" s="3" t="s">
        <v>334</v>
      </c>
      <c r="J290" s="3">
        <v>2</v>
      </c>
      <c r="K290" s="5">
        <v>3160.69</v>
      </c>
      <c r="L290" s="5">
        <v>6005.31</v>
      </c>
      <c r="M290" s="6">
        <v>5</v>
      </c>
      <c r="N290" s="5">
        <v>1121.07</v>
      </c>
      <c r="O290" s="5">
        <v>103.06</v>
      </c>
      <c r="P290" s="3" t="s">
        <v>64</v>
      </c>
      <c r="Q290" s="3" t="s">
        <v>26</v>
      </c>
      <c r="R290" s="30">
        <f t="shared" si="4"/>
        <v>0.18667978838727722</v>
      </c>
    </row>
    <row r="291" spans="1:18" x14ac:dyDescent="0.35">
      <c r="A291" s="7" t="s">
        <v>687</v>
      </c>
      <c r="B291" s="8">
        <v>45556</v>
      </c>
      <c r="C291" s="7" t="s">
        <v>435</v>
      </c>
      <c r="D291" s="7" t="s">
        <v>39</v>
      </c>
      <c r="E291" s="7" t="s">
        <v>60</v>
      </c>
      <c r="F291" s="7" t="s">
        <v>72</v>
      </c>
      <c r="G291" s="7" t="s">
        <v>117</v>
      </c>
      <c r="H291" s="7" t="s">
        <v>130</v>
      </c>
      <c r="I291" s="7" t="s">
        <v>310</v>
      </c>
      <c r="J291" s="7">
        <v>3</v>
      </c>
      <c r="K291" s="9">
        <v>972.82</v>
      </c>
      <c r="L291" s="9">
        <v>2772.54</v>
      </c>
      <c r="M291" s="10">
        <v>5</v>
      </c>
      <c r="N291" s="9">
        <v>905.5</v>
      </c>
      <c r="O291" s="9">
        <v>352.79</v>
      </c>
      <c r="P291" s="7" t="s">
        <v>64</v>
      </c>
      <c r="Q291" s="7" t="s">
        <v>26</v>
      </c>
      <c r="R291" s="30">
        <f t="shared" si="4"/>
        <v>0.32659582909534218</v>
      </c>
    </row>
    <row r="292" spans="1:18" x14ac:dyDescent="0.35">
      <c r="A292" s="3" t="s">
        <v>688</v>
      </c>
      <c r="B292" s="4">
        <v>45557</v>
      </c>
      <c r="C292" s="3" t="s">
        <v>614</v>
      </c>
      <c r="D292" s="3" t="s">
        <v>19</v>
      </c>
      <c r="E292" s="3" t="s">
        <v>40</v>
      </c>
      <c r="F292" s="3" t="s">
        <v>109</v>
      </c>
      <c r="G292" s="3" t="s">
        <v>42</v>
      </c>
      <c r="H292" s="3" t="s">
        <v>164</v>
      </c>
      <c r="I292" s="3" t="s">
        <v>199</v>
      </c>
      <c r="J292" s="3">
        <v>5</v>
      </c>
      <c r="K292" s="5">
        <v>1031.81</v>
      </c>
      <c r="L292" s="5">
        <v>5159.05</v>
      </c>
      <c r="M292" s="6">
        <v>0</v>
      </c>
      <c r="N292" s="5">
        <v>566.47</v>
      </c>
      <c r="O292" s="5">
        <v>396.02</v>
      </c>
      <c r="P292" s="3" t="s">
        <v>45</v>
      </c>
      <c r="Q292" s="3" t="s">
        <v>65</v>
      </c>
      <c r="R292" s="30">
        <f t="shared" si="4"/>
        <v>0.10980122309339899</v>
      </c>
    </row>
    <row r="293" spans="1:18" x14ac:dyDescent="0.35">
      <c r="A293" s="7" t="s">
        <v>689</v>
      </c>
      <c r="B293" s="8">
        <v>45557</v>
      </c>
      <c r="C293" s="7" t="s">
        <v>415</v>
      </c>
      <c r="D293" s="7" t="s">
        <v>19</v>
      </c>
      <c r="E293" s="7" t="s">
        <v>30</v>
      </c>
      <c r="F293" s="7" t="s">
        <v>226</v>
      </c>
      <c r="G293" s="7" t="s">
        <v>134</v>
      </c>
      <c r="H293" s="7" t="s">
        <v>135</v>
      </c>
      <c r="I293" s="7" t="s">
        <v>136</v>
      </c>
      <c r="J293" s="7">
        <v>1</v>
      </c>
      <c r="K293" s="9">
        <v>2423.14</v>
      </c>
      <c r="L293" s="9">
        <v>2301.98</v>
      </c>
      <c r="M293" s="10">
        <v>5</v>
      </c>
      <c r="N293" s="9">
        <v>479.31</v>
      </c>
      <c r="O293" s="9">
        <v>76.11</v>
      </c>
      <c r="P293" s="7" t="s">
        <v>64</v>
      </c>
      <c r="Q293" s="7" t="s">
        <v>57</v>
      </c>
      <c r="R293" s="30">
        <f t="shared" si="4"/>
        <v>0.20821640500786279</v>
      </c>
    </row>
    <row r="294" spans="1:18" x14ac:dyDescent="0.35">
      <c r="A294" s="3" t="s">
        <v>690</v>
      </c>
      <c r="B294" s="4">
        <v>45559</v>
      </c>
      <c r="C294" s="3" t="s">
        <v>442</v>
      </c>
      <c r="D294" s="3" t="s">
        <v>39</v>
      </c>
      <c r="E294" s="3" t="s">
        <v>30</v>
      </c>
      <c r="F294" s="3" t="s">
        <v>48</v>
      </c>
      <c r="G294" s="3" t="s">
        <v>22</v>
      </c>
      <c r="H294" s="3" t="s">
        <v>105</v>
      </c>
      <c r="I294" s="3" t="s">
        <v>629</v>
      </c>
      <c r="J294" s="3">
        <v>1</v>
      </c>
      <c r="K294" s="5">
        <v>54068.06</v>
      </c>
      <c r="L294" s="5">
        <v>37847.64</v>
      </c>
      <c r="M294" s="6">
        <v>30</v>
      </c>
      <c r="N294" s="5">
        <v>-4365.21</v>
      </c>
      <c r="O294" s="5">
        <v>331.08</v>
      </c>
      <c r="P294" s="3" t="s">
        <v>35</v>
      </c>
      <c r="Q294" s="3" t="s">
        <v>57</v>
      </c>
      <c r="R294" s="30">
        <f t="shared" si="4"/>
        <v>-0.11533638557120074</v>
      </c>
    </row>
    <row r="295" spans="1:18" x14ac:dyDescent="0.35">
      <c r="A295" s="7" t="s">
        <v>691</v>
      </c>
      <c r="B295" s="8">
        <v>45559</v>
      </c>
      <c r="C295" s="7" t="s">
        <v>671</v>
      </c>
      <c r="D295" s="7" t="s">
        <v>39</v>
      </c>
      <c r="E295" s="7" t="s">
        <v>20</v>
      </c>
      <c r="F295" s="7" t="s">
        <v>54</v>
      </c>
      <c r="G295" s="7" t="s">
        <v>134</v>
      </c>
      <c r="H295" s="7" t="s">
        <v>244</v>
      </c>
      <c r="I295" s="7" t="s">
        <v>411</v>
      </c>
      <c r="J295" s="7">
        <v>1</v>
      </c>
      <c r="K295" s="9">
        <v>1357.49</v>
      </c>
      <c r="L295" s="9">
        <v>950.24</v>
      </c>
      <c r="M295" s="10">
        <v>30</v>
      </c>
      <c r="N295" s="9">
        <v>-53.16</v>
      </c>
      <c r="O295" s="9">
        <v>121.15</v>
      </c>
      <c r="P295" s="7" t="s">
        <v>64</v>
      </c>
      <c r="Q295" s="7" t="s">
        <v>57</v>
      </c>
      <c r="R295" s="30">
        <f t="shared" si="4"/>
        <v>-5.5943761576022898E-2</v>
      </c>
    </row>
    <row r="296" spans="1:18" x14ac:dyDescent="0.35">
      <c r="A296" s="3" t="s">
        <v>692</v>
      </c>
      <c r="B296" s="4">
        <v>45559</v>
      </c>
      <c r="C296" s="3" t="s">
        <v>293</v>
      </c>
      <c r="D296" s="3" t="s">
        <v>39</v>
      </c>
      <c r="E296" s="3" t="s">
        <v>30</v>
      </c>
      <c r="F296" s="3" t="s">
        <v>48</v>
      </c>
      <c r="G296" s="3" t="s">
        <v>134</v>
      </c>
      <c r="H296" s="3" t="s">
        <v>91</v>
      </c>
      <c r="I296" s="3" t="s">
        <v>188</v>
      </c>
      <c r="J296" s="3">
        <v>1</v>
      </c>
      <c r="K296" s="5">
        <v>3731.29</v>
      </c>
      <c r="L296" s="5">
        <v>3544.73</v>
      </c>
      <c r="M296" s="6">
        <v>5</v>
      </c>
      <c r="N296" s="5">
        <v>637.01</v>
      </c>
      <c r="O296" s="5">
        <v>52.73</v>
      </c>
      <c r="P296" s="3" t="s">
        <v>25</v>
      </c>
      <c r="Q296" s="3" t="s">
        <v>26</v>
      </c>
      <c r="R296" s="30">
        <f t="shared" si="4"/>
        <v>0.1797062117566077</v>
      </c>
    </row>
    <row r="297" spans="1:18" x14ac:dyDescent="0.35">
      <c r="A297" s="7" t="s">
        <v>693</v>
      </c>
      <c r="B297" s="8">
        <v>45561</v>
      </c>
      <c r="C297" s="7" t="s">
        <v>286</v>
      </c>
      <c r="D297" s="7" t="s">
        <v>39</v>
      </c>
      <c r="E297" s="7" t="s">
        <v>40</v>
      </c>
      <c r="F297" s="7" t="s">
        <v>109</v>
      </c>
      <c r="G297" s="7" t="s">
        <v>22</v>
      </c>
      <c r="H297" s="7" t="s">
        <v>110</v>
      </c>
      <c r="I297" s="7" t="s">
        <v>359</v>
      </c>
      <c r="J297" s="7">
        <v>1</v>
      </c>
      <c r="K297" s="9">
        <v>47599.95</v>
      </c>
      <c r="L297" s="9">
        <v>47599.95</v>
      </c>
      <c r="M297" s="10">
        <v>0</v>
      </c>
      <c r="N297" s="9">
        <v>6535.14</v>
      </c>
      <c r="O297" s="9">
        <v>196.67</v>
      </c>
      <c r="P297" s="7" t="s">
        <v>64</v>
      </c>
      <c r="Q297" s="7" t="s">
        <v>26</v>
      </c>
      <c r="R297" s="30">
        <f t="shared" si="4"/>
        <v>0.13729300135819472</v>
      </c>
    </row>
    <row r="298" spans="1:18" x14ac:dyDescent="0.35">
      <c r="A298" s="3" t="s">
        <v>694</v>
      </c>
      <c r="B298" s="4">
        <v>45562</v>
      </c>
      <c r="C298" s="3" t="s">
        <v>695</v>
      </c>
      <c r="D298" s="3" t="s">
        <v>39</v>
      </c>
      <c r="E298" s="3" t="s">
        <v>60</v>
      </c>
      <c r="F298" s="3" t="s">
        <v>104</v>
      </c>
      <c r="G298" s="3" t="s">
        <v>42</v>
      </c>
      <c r="H298" s="3" t="s">
        <v>81</v>
      </c>
      <c r="I298" s="3" t="s">
        <v>82</v>
      </c>
      <c r="J298" s="3">
        <v>1</v>
      </c>
      <c r="K298" s="5">
        <v>1073.47</v>
      </c>
      <c r="L298" s="5">
        <v>912.45</v>
      </c>
      <c r="M298" s="6">
        <v>15</v>
      </c>
      <c r="N298" s="5">
        <v>58.69</v>
      </c>
      <c r="O298" s="5">
        <v>177.2</v>
      </c>
      <c r="P298" s="3" t="s">
        <v>64</v>
      </c>
      <c r="Q298" s="3" t="s">
        <v>65</v>
      </c>
      <c r="R298" s="30">
        <f t="shared" si="4"/>
        <v>6.4321332675763052E-2</v>
      </c>
    </row>
    <row r="299" spans="1:18" x14ac:dyDescent="0.35">
      <c r="A299" s="7" t="s">
        <v>696</v>
      </c>
      <c r="B299" s="8">
        <v>45564</v>
      </c>
      <c r="C299" s="7" t="s">
        <v>515</v>
      </c>
      <c r="D299" s="7" t="s">
        <v>29</v>
      </c>
      <c r="E299" s="7" t="s">
        <v>30</v>
      </c>
      <c r="F299" s="7" t="s">
        <v>226</v>
      </c>
      <c r="G299" s="7" t="s">
        <v>49</v>
      </c>
      <c r="H299" s="7" t="s">
        <v>98</v>
      </c>
      <c r="I299" s="7" t="s">
        <v>299</v>
      </c>
      <c r="J299" s="7">
        <v>1</v>
      </c>
      <c r="K299" s="9">
        <v>4656.3500000000004</v>
      </c>
      <c r="L299" s="9">
        <v>3957.9</v>
      </c>
      <c r="M299" s="10">
        <v>15</v>
      </c>
      <c r="N299" s="9">
        <v>261.94</v>
      </c>
      <c r="O299" s="9">
        <v>105.87</v>
      </c>
      <c r="P299" s="7" t="s">
        <v>83</v>
      </c>
      <c r="Q299" s="7" t="s">
        <v>57</v>
      </c>
      <c r="R299" s="30">
        <f t="shared" si="4"/>
        <v>6.6181560928775363E-2</v>
      </c>
    </row>
    <row r="300" spans="1:18" x14ac:dyDescent="0.35">
      <c r="A300" s="3" t="s">
        <v>697</v>
      </c>
      <c r="B300" s="4">
        <v>45564</v>
      </c>
      <c r="C300" s="3" t="s">
        <v>698</v>
      </c>
      <c r="D300" s="3" t="s">
        <v>39</v>
      </c>
      <c r="E300" s="3" t="s">
        <v>60</v>
      </c>
      <c r="F300" s="3" t="s">
        <v>61</v>
      </c>
      <c r="G300" s="3" t="s">
        <v>49</v>
      </c>
      <c r="H300" s="3" t="s">
        <v>62</v>
      </c>
      <c r="I300" s="3" t="s">
        <v>122</v>
      </c>
      <c r="J300" s="3">
        <v>2</v>
      </c>
      <c r="K300" s="5">
        <v>14415.99</v>
      </c>
      <c r="L300" s="5">
        <v>23065.58</v>
      </c>
      <c r="M300" s="6">
        <v>20</v>
      </c>
      <c r="N300" s="5">
        <v>2721.03</v>
      </c>
      <c r="O300" s="5">
        <v>211.87</v>
      </c>
      <c r="P300" s="3" t="s">
        <v>64</v>
      </c>
      <c r="Q300" s="3" t="s">
        <v>65</v>
      </c>
      <c r="R300" s="30">
        <f t="shared" si="4"/>
        <v>0.11796928583629807</v>
      </c>
    </row>
    <row r="301" spans="1:18" x14ac:dyDescent="0.35">
      <c r="A301" s="7" t="s">
        <v>699</v>
      </c>
      <c r="B301" s="8">
        <v>45565</v>
      </c>
      <c r="C301" s="7" t="s">
        <v>614</v>
      </c>
      <c r="D301" s="7" t="s">
        <v>19</v>
      </c>
      <c r="E301" s="7" t="s">
        <v>40</v>
      </c>
      <c r="F301" s="7" t="s">
        <v>41</v>
      </c>
      <c r="G301" s="7" t="s">
        <v>117</v>
      </c>
      <c r="H301" s="7" t="s">
        <v>130</v>
      </c>
      <c r="I301" s="7" t="s">
        <v>391</v>
      </c>
      <c r="J301" s="7">
        <v>2</v>
      </c>
      <c r="K301" s="9">
        <v>1229.05</v>
      </c>
      <c r="L301" s="9">
        <v>2212.29</v>
      </c>
      <c r="M301" s="10">
        <v>10</v>
      </c>
      <c r="N301" s="9">
        <v>377.42</v>
      </c>
      <c r="O301" s="9">
        <v>215.44</v>
      </c>
      <c r="P301" s="7" t="s">
        <v>64</v>
      </c>
      <c r="Q301" s="7" t="s">
        <v>65</v>
      </c>
      <c r="R301" s="30">
        <f t="shared" si="4"/>
        <v>0.17060150341953362</v>
      </c>
    </row>
    <row r="302" spans="1:18" x14ac:dyDescent="0.35">
      <c r="A302" s="3" t="s">
        <v>700</v>
      </c>
      <c r="B302" s="4">
        <v>45565</v>
      </c>
      <c r="C302" s="3" t="s">
        <v>487</v>
      </c>
      <c r="D302" s="3" t="s">
        <v>29</v>
      </c>
      <c r="E302" s="3" t="s">
        <v>30</v>
      </c>
      <c r="F302" s="3" t="s">
        <v>48</v>
      </c>
      <c r="G302" s="3" t="s">
        <v>22</v>
      </c>
      <c r="H302" s="3" t="s">
        <v>55</v>
      </c>
      <c r="I302" s="3" t="s">
        <v>150</v>
      </c>
      <c r="J302" s="3">
        <v>1</v>
      </c>
      <c r="K302" s="5">
        <v>48226.76</v>
      </c>
      <c r="L302" s="5">
        <v>43404.08</v>
      </c>
      <c r="M302" s="6">
        <v>10</v>
      </c>
      <c r="N302" s="5">
        <v>3511.15</v>
      </c>
      <c r="O302" s="5">
        <v>341.87</v>
      </c>
      <c r="P302" s="3" t="s">
        <v>25</v>
      </c>
      <c r="Q302" s="3" t="s">
        <v>57</v>
      </c>
      <c r="R302" s="30">
        <f t="shared" si="4"/>
        <v>8.0894468907070485E-2</v>
      </c>
    </row>
    <row r="303" spans="1:18" x14ac:dyDescent="0.35">
      <c r="A303" s="7" t="s">
        <v>701</v>
      </c>
      <c r="B303" s="8">
        <v>45565</v>
      </c>
      <c r="C303" s="7" t="s">
        <v>702</v>
      </c>
      <c r="D303" s="7" t="s">
        <v>39</v>
      </c>
      <c r="E303" s="7" t="s">
        <v>30</v>
      </c>
      <c r="F303" s="7" t="s">
        <v>226</v>
      </c>
      <c r="G303" s="7" t="s">
        <v>42</v>
      </c>
      <c r="H303" s="7" t="s">
        <v>172</v>
      </c>
      <c r="I303" s="7" t="s">
        <v>302</v>
      </c>
      <c r="J303" s="7">
        <v>1</v>
      </c>
      <c r="K303" s="9">
        <v>447.45</v>
      </c>
      <c r="L303" s="9">
        <v>380.33</v>
      </c>
      <c r="M303" s="10">
        <v>15</v>
      </c>
      <c r="N303" s="9">
        <v>37.07</v>
      </c>
      <c r="O303" s="9">
        <v>158.1</v>
      </c>
      <c r="P303" s="7" t="s">
        <v>35</v>
      </c>
      <c r="Q303" s="7" t="s">
        <v>65</v>
      </c>
      <c r="R303" s="30">
        <f t="shared" si="4"/>
        <v>9.7467988325927485E-2</v>
      </c>
    </row>
    <row r="304" spans="1:18" x14ac:dyDescent="0.35">
      <c r="A304" s="3" t="s">
        <v>703</v>
      </c>
      <c r="B304" s="4">
        <v>45567</v>
      </c>
      <c r="C304" s="3" t="s">
        <v>544</v>
      </c>
      <c r="D304" s="3" t="s">
        <v>29</v>
      </c>
      <c r="E304" s="3" t="s">
        <v>40</v>
      </c>
      <c r="F304" s="3" t="s">
        <v>41</v>
      </c>
      <c r="G304" s="3" t="s">
        <v>134</v>
      </c>
      <c r="H304" s="3" t="s">
        <v>244</v>
      </c>
      <c r="I304" s="3" t="s">
        <v>411</v>
      </c>
      <c r="J304" s="3">
        <v>3</v>
      </c>
      <c r="K304" s="5">
        <v>531.92999999999995</v>
      </c>
      <c r="L304" s="5">
        <v>1595.79</v>
      </c>
      <c r="M304" s="6">
        <v>0</v>
      </c>
      <c r="N304" s="5">
        <v>291.5</v>
      </c>
      <c r="O304" s="5">
        <v>361.56</v>
      </c>
      <c r="P304" s="3" t="s">
        <v>83</v>
      </c>
      <c r="Q304" s="3" t="s">
        <v>26</v>
      </c>
      <c r="R304" s="30">
        <f t="shared" si="4"/>
        <v>0.18266814555799948</v>
      </c>
    </row>
    <row r="305" spans="1:18" x14ac:dyDescent="0.35">
      <c r="A305" s="7" t="s">
        <v>704</v>
      </c>
      <c r="B305" s="8">
        <v>45567</v>
      </c>
      <c r="C305" s="7" t="s">
        <v>705</v>
      </c>
      <c r="D305" s="7" t="s">
        <v>29</v>
      </c>
      <c r="E305" s="7" t="s">
        <v>40</v>
      </c>
      <c r="F305" s="7" t="s">
        <v>109</v>
      </c>
      <c r="G305" s="7" t="s">
        <v>32</v>
      </c>
      <c r="H305" s="7" t="s">
        <v>33</v>
      </c>
      <c r="I305" s="7" t="s">
        <v>69</v>
      </c>
      <c r="J305" s="7">
        <v>2</v>
      </c>
      <c r="K305" s="9">
        <v>7219.46</v>
      </c>
      <c r="L305" s="9">
        <v>11551.14</v>
      </c>
      <c r="M305" s="10">
        <v>20</v>
      </c>
      <c r="N305" s="9">
        <v>839.87</v>
      </c>
      <c r="O305" s="9">
        <v>348.55</v>
      </c>
      <c r="P305" s="7" t="s">
        <v>64</v>
      </c>
      <c r="Q305" s="7" t="s">
        <v>57</v>
      </c>
      <c r="R305" s="30">
        <f t="shared" si="4"/>
        <v>7.2708840858997467E-2</v>
      </c>
    </row>
    <row r="306" spans="1:18" x14ac:dyDescent="0.35">
      <c r="A306" s="3" t="s">
        <v>706</v>
      </c>
      <c r="B306" s="4">
        <v>45567</v>
      </c>
      <c r="C306" s="3" t="s">
        <v>707</v>
      </c>
      <c r="D306" s="3" t="s">
        <v>39</v>
      </c>
      <c r="E306" s="3" t="s">
        <v>40</v>
      </c>
      <c r="F306" s="3" t="s">
        <v>109</v>
      </c>
      <c r="G306" s="3" t="s">
        <v>32</v>
      </c>
      <c r="H306" s="3" t="s">
        <v>86</v>
      </c>
      <c r="I306" s="3" t="s">
        <v>233</v>
      </c>
      <c r="J306" s="3">
        <v>1</v>
      </c>
      <c r="K306" s="5">
        <v>4431.08</v>
      </c>
      <c r="L306" s="5">
        <v>3987.97</v>
      </c>
      <c r="M306" s="6">
        <v>10</v>
      </c>
      <c r="N306" s="5">
        <v>454.61</v>
      </c>
      <c r="O306" s="5">
        <v>169.33</v>
      </c>
      <c r="P306" s="3" t="s">
        <v>64</v>
      </c>
      <c r="Q306" s="3" t="s">
        <v>65</v>
      </c>
      <c r="R306" s="30">
        <f t="shared" si="4"/>
        <v>0.11399534098802148</v>
      </c>
    </row>
    <row r="307" spans="1:18" x14ac:dyDescent="0.35">
      <c r="A307" s="7" t="s">
        <v>708</v>
      </c>
      <c r="B307" s="8">
        <v>45567</v>
      </c>
      <c r="C307" s="7" t="s">
        <v>709</v>
      </c>
      <c r="D307" s="7" t="s">
        <v>39</v>
      </c>
      <c r="E307" s="7" t="s">
        <v>60</v>
      </c>
      <c r="F307" s="7" t="s">
        <v>68</v>
      </c>
      <c r="G307" s="7" t="s">
        <v>22</v>
      </c>
      <c r="H307" s="7" t="s">
        <v>55</v>
      </c>
      <c r="I307" s="7" t="s">
        <v>416</v>
      </c>
      <c r="J307" s="7">
        <v>1</v>
      </c>
      <c r="K307" s="9">
        <v>25222.63</v>
      </c>
      <c r="L307" s="9">
        <v>23961.5</v>
      </c>
      <c r="M307" s="10">
        <v>5</v>
      </c>
      <c r="N307" s="9">
        <v>757.88</v>
      </c>
      <c r="O307" s="9">
        <v>207.39</v>
      </c>
      <c r="P307" s="7" t="s">
        <v>64</v>
      </c>
      <c r="Q307" s="7" t="s">
        <v>26</v>
      </c>
      <c r="R307" s="30">
        <f t="shared" si="4"/>
        <v>3.1629071635749011E-2</v>
      </c>
    </row>
    <row r="308" spans="1:18" x14ac:dyDescent="0.35">
      <c r="A308" s="3" t="s">
        <v>710</v>
      </c>
      <c r="B308" s="4">
        <v>45568</v>
      </c>
      <c r="C308" s="3" t="s">
        <v>509</v>
      </c>
      <c r="D308" s="3" t="s">
        <v>29</v>
      </c>
      <c r="E308" s="3" t="s">
        <v>30</v>
      </c>
      <c r="F308" s="3" t="s">
        <v>226</v>
      </c>
      <c r="G308" s="3" t="s">
        <v>22</v>
      </c>
      <c r="H308" s="3" t="s">
        <v>110</v>
      </c>
      <c r="I308" s="3" t="s">
        <v>480</v>
      </c>
      <c r="J308" s="3">
        <v>3</v>
      </c>
      <c r="K308" s="5">
        <v>8405.7800000000007</v>
      </c>
      <c r="L308" s="5">
        <v>25217.34</v>
      </c>
      <c r="M308" s="6">
        <v>0</v>
      </c>
      <c r="N308" s="5">
        <v>2828.92</v>
      </c>
      <c r="O308" s="5">
        <v>194.44</v>
      </c>
      <c r="P308" s="3" t="s">
        <v>64</v>
      </c>
      <c r="Q308" s="3" t="s">
        <v>65</v>
      </c>
      <c r="R308" s="30">
        <f t="shared" si="4"/>
        <v>0.11218153857623366</v>
      </c>
    </row>
    <row r="309" spans="1:18" x14ac:dyDescent="0.35">
      <c r="A309" s="7" t="s">
        <v>711</v>
      </c>
      <c r="B309" s="8">
        <v>45568</v>
      </c>
      <c r="C309" s="7" t="s">
        <v>712</v>
      </c>
      <c r="D309" s="7" t="s">
        <v>39</v>
      </c>
      <c r="E309" s="7" t="s">
        <v>30</v>
      </c>
      <c r="F309" s="7" t="s">
        <v>31</v>
      </c>
      <c r="G309" s="7" t="s">
        <v>117</v>
      </c>
      <c r="H309" s="7" t="s">
        <v>130</v>
      </c>
      <c r="I309" s="7" t="s">
        <v>326</v>
      </c>
      <c r="J309" s="7">
        <v>1</v>
      </c>
      <c r="K309" s="9">
        <v>611.29</v>
      </c>
      <c r="L309" s="9">
        <v>611.29</v>
      </c>
      <c r="M309" s="10">
        <v>0</v>
      </c>
      <c r="N309" s="9">
        <v>212.21</v>
      </c>
      <c r="O309" s="9">
        <v>260.7</v>
      </c>
      <c r="P309" s="7" t="s">
        <v>35</v>
      </c>
      <c r="Q309" s="7" t="s">
        <v>26</v>
      </c>
      <c r="R309" s="30">
        <f t="shared" si="4"/>
        <v>0.34715110667604576</v>
      </c>
    </row>
    <row r="310" spans="1:18" x14ac:dyDescent="0.35">
      <c r="A310" s="3" t="s">
        <v>713</v>
      </c>
      <c r="B310" s="4">
        <v>45568</v>
      </c>
      <c r="C310" s="3" t="s">
        <v>714</v>
      </c>
      <c r="D310" s="3" t="s">
        <v>39</v>
      </c>
      <c r="E310" s="3" t="s">
        <v>20</v>
      </c>
      <c r="F310" s="3" t="s">
        <v>129</v>
      </c>
      <c r="G310" s="3" t="s">
        <v>42</v>
      </c>
      <c r="H310" s="3" t="s">
        <v>172</v>
      </c>
      <c r="I310" s="3" t="s">
        <v>223</v>
      </c>
      <c r="J310" s="3">
        <v>3</v>
      </c>
      <c r="K310" s="5">
        <v>677.77</v>
      </c>
      <c r="L310" s="5">
        <v>2033.31</v>
      </c>
      <c r="M310" s="6">
        <v>0</v>
      </c>
      <c r="N310" s="5">
        <v>280.64</v>
      </c>
      <c r="O310" s="5">
        <v>244.61</v>
      </c>
      <c r="P310" s="3" t="s">
        <v>35</v>
      </c>
      <c r="Q310" s="3" t="s">
        <v>65</v>
      </c>
      <c r="R310" s="30">
        <f t="shared" si="4"/>
        <v>0.13802125598162601</v>
      </c>
    </row>
    <row r="311" spans="1:18" x14ac:dyDescent="0.35">
      <c r="A311" s="7" t="s">
        <v>715</v>
      </c>
      <c r="B311" s="8">
        <v>45568</v>
      </c>
      <c r="C311" s="7" t="s">
        <v>384</v>
      </c>
      <c r="D311" s="7" t="s">
        <v>39</v>
      </c>
      <c r="E311" s="7" t="s">
        <v>40</v>
      </c>
      <c r="F311" s="7" t="s">
        <v>77</v>
      </c>
      <c r="G311" s="7" t="s">
        <v>42</v>
      </c>
      <c r="H311" s="7" t="s">
        <v>164</v>
      </c>
      <c r="I311" s="7" t="s">
        <v>329</v>
      </c>
      <c r="J311" s="7">
        <v>2</v>
      </c>
      <c r="K311" s="9">
        <v>1165.96</v>
      </c>
      <c r="L311" s="9">
        <v>2215.3200000000002</v>
      </c>
      <c r="M311" s="10">
        <v>5</v>
      </c>
      <c r="N311" s="9">
        <v>20.3</v>
      </c>
      <c r="O311" s="9">
        <v>226.93</v>
      </c>
      <c r="P311" s="7" t="s">
        <v>25</v>
      </c>
      <c r="Q311" s="7" t="s">
        <v>26</v>
      </c>
      <c r="R311" s="30">
        <f t="shared" si="4"/>
        <v>9.1634617120777122E-3</v>
      </c>
    </row>
    <row r="312" spans="1:18" x14ac:dyDescent="0.35">
      <c r="A312" s="3" t="s">
        <v>716</v>
      </c>
      <c r="B312" s="4">
        <v>45569</v>
      </c>
      <c r="C312" s="3" t="s">
        <v>599</v>
      </c>
      <c r="D312" s="3" t="s">
        <v>39</v>
      </c>
      <c r="E312" s="3" t="s">
        <v>60</v>
      </c>
      <c r="F312" s="3" t="s">
        <v>61</v>
      </c>
      <c r="G312" s="3" t="s">
        <v>22</v>
      </c>
      <c r="H312" s="3" t="s">
        <v>105</v>
      </c>
      <c r="I312" s="3" t="s">
        <v>157</v>
      </c>
      <c r="J312" s="3">
        <v>2</v>
      </c>
      <c r="K312" s="5">
        <v>35741.81</v>
      </c>
      <c r="L312" s="5">
        <v>60761.08</v>
      </c>
      <c r="M312" s="6">
        <v>15</v>
      </c>
      <c r="N312" s="5">
        <v>1609.68</v>
      </c>
      <c r="O312" s="5">
        <v>94.33</v>
      </c>
      <c r="P312" s="3" t="s">
        <v>83</v>
      </c>
      <c r="Q312" s="3" t="s">
        <v>65</v>
      </c>
      <c r="R312" s="30">
        <f t="shared" si="4"/>
        <v>2.6491958339121029E-2</v>
      </c>
    </row>
    <row r="313" spans="1:18" x14ac:dyDescent="0.35">
      <c r="A313" s="7" t="s">
        <v>717</v>
      </c>
      <c r="B313" s="8">
        <v>45569</v>
      </c>
      <c r="C313" s="7" t="s">
        <v>718</v>
      </c>
      <c r="D313" s="7" t="s">
        <v>19</v>
      </c>
      <c r="E313" s="7" t="s">
        <v>30</v>
      </c>
      <c r="F313" s="7" t="s">
        <v>226</v>
      </c>
      <c r="G313" s="7" t="s">
        <v>32</v>
      </c>
      <c r="H313" s="7" t="s">
        <v>73</v>
      </c>
      <c r="I313" s="7" t="s">
        <v>230</v>
      </c>
      <c r="J313" s="7">
        <v>2</v>
      </c>
      <c r="K313" s="9">
        <v>3027.65</v>
      </c>
      <c r="L313" s="9">
        <v>4541.4799999999996</v>
      </c>
      <c r="M313" s="10">
        <v>25</v>
      </c>
      <c r="N313" s="9">
        <v>-185.39</v>
      </c>
      <c r="O313" s="9">
        <v>229.84</v>
      </c>
      <c r="P313" s="7" t="s">
        <v>64</v>
      </c>
      <c r="Q313" s="7" t="s">
        <v>26</v>
      </c>
      <c r="R313" s="30">
        <f t="shared" si="4"/>
        <v>-4.0821494314628712E-2</v>
      </c>
    </row>
    <row r="314" spans="1:18" x14ac:dyDescent="0.35">
      <c r="A314" s="3" t="s">
        <v>719</v>
      </c>
      <c r="B314" s="4">
        <v>45569</v>
      </c>
      <c r="C314" s="3" t="s">
        <v>720</v>
      </c>
      <c r="D314" s="3" t="s">
        <v>29</v>
      </c>
      <c r="E314" s="3" t="s">
        <v>30</v>
      </c>
      <c r="F314" s="3" t="s">
        <v>48</v>
      </c>
      <c r="G314" s="3" t="s">
        <v>22</v>
      </c>
      <c r="H314" s="3" t="s">
        <v>23</v>
      </c>
      <c r="I314" s="3" t="s">
        <v>176</v>
      </c>
      <c r="J314" s="3">
        <v>2</v>
      </c>
      <c r="K314" s="5">
        <v>35794.730000000003</v>
      </c>
      <c r="L314" s="5">
        <v>60851.040000000001</v>
      </c>
      <c r="M314" s="6">
        <v>15</v>
      </c>
      <c r="N314" s="5">
        <v>1341.01</v>
      </c>
      <c r="O314" s="5">
        <v>140.22</v>
      </c>
      <c r="P314" s="3" t="s">
        <v>25</v>
      </c>
      <c r="Q314" s="3" t="s">
        <v>65</v>
      </c>
      <c r="R314" s="30">
        <f t="shared" si="4"/>
        <v>2.2037585553180358E-2</v>
      </c>
    </row>
    <row r="315" spans="1:18" x14ac:dyDescent="0.35">
      <c r="A315" s="7" t="s">
        <v>721</v>
      </c>
      <c r="B315" s="8">
        <v>45569</v>
      </c>
      <c r="C315" s="7" t="s">
        <v>261</v>
      </c>
      <c r="D315" s="7" t="s">
        <v>39</v>
      </c>
      <c r="E315" s="7" t="s">
        <v>20</v>
      </c>
      <c r="F315" s="7" t="s">
        <v>129</v>
      </c>
      <c r="G315" s="7" t="s">
        <v>42</v>
      </c>
      <c r="H315" s="7" t="s">
        <v>164</v>
      </c>
      <c r="I315" s="7" t="s">
        <v>329</v>
      </c>
      <c r="J315" s="7">
        <v>3</v>
      </c>
      <c r="K315" s="9">
        <v>1060.1099999999999</v>
      </c>
      <c r="L315" s="9">
        <v>2703.28</v>
      </c>
      <c r="M315" s="10">
        <v>15</v>
      </c>
      <c r="N315" s="9">
        <v>263.04000000000002</v>
      </c>
      <c r="O315" s="9">
        <v>150.38999999999999</v>
      </c>
      <c r="P315" s="7" t="s">
        <v>83</v>
      </c>
      <c r="Q315" s="7" t="s">
        <v>57</v>
      </c>
      <c r="R315" s="30">
        <f t="shared" si="4"/>
        <v>9.7304015862211837E-2</v>
      </c>
    </row>
    <row r="316" spans="1:18" x14ac:dyDescent="0.35">
      <c r="A316" s="3" t="s">
        <v>722</v>
      </c>
      <c r="B316" s="4">
        <v>45570</v>
      </c>
      <c r="C316" s="3" t="s">
        <v>723</v>
      </c>
      <c r="D316" s="3" t="s">
        <v>19</v>
      </c>
      <c r="E316" s="3" t="s">
        <v>30</v>
      </c>
      <c r="F316" s="3" t="s">
        <v>48</v>
      </c>
      <c r="G316" s="3" t="s">
        <v>22</v>
      </c>
      <c r="H316" s="3" t="s">
        <v>23</v>
      </c>
      <c r="I316" s="3" t="s">
        <v>24</v>
      </c>
      <c r="J316" s="3">
        <v>2</v>
      </c>
      <c r="K316" s="5">
        <v>40815.24</v>
      </c>
      <c r="L316" s="5">
        <v>69385.91</v>
      </c>
      <c r="M316" s="6">
        <v>15</v>
      </c>
      <c r="N316" s="5">
        <v>4157.29</v>
      </c>
      <c r="O316" s="5">
        <v>195.81</v>
      </c>
      <c r="P316" s="3" t="s">
        <v>35</v>
      </c>
      <c r="Q316" s="3" t="s">
        <v>26</v>
      </c>
      <c r="R316" s="30">
        <f t="shared" si="4"/>
        <v>5.9915478517180217E-2</v>
      </c>
    </row>
    <row r="317" spans="1:18" x14ac:dyDescent="0.35">
      <c r="A317" s="7" t="s">
        <v>724</v>
      </c>
      <c r="B317" s="8">
        <v>45570</v>
      </c>
      <c r="C317" s="7" t="s">
        <v>725</v>
      </c>
      <c r="D317" s="7" t="s">
        <v>29</v>
      </c>
      <c r="E317" s="7" t="s">
        <v>20</v>
      </c>
      <c r="F317" s="7" t="s">
        <v>21</v>
      </c>
      <c r="G317" s="7" t="s">
        <v>32</v>
      </c>
      <c r="H317" s="7" t="s">
        <v>33</v>
      </c>
      <c r="I317" s="7" t="s">
        <v>34</v>
      </c>
      <c r="J317" s="7">
        <v>3</v>
      </c>
      <c r="K317" s="9">
        <v>9152.7000000000007</v>
      </c>
      <c r="L317" s="9">
        <v>19220.669999999998</v>
      </c>
      <c r="M317" s="10">
        <v>30</v>
      </c>
      <c r="N317" s="9">
        <v>348.92</v>
      </c>
      <c r="O317" s="9">
        <v>93</v>
      </c>
      <c r="P317" s="7" t="s">
        <v>83</v>
      </c>
      <c r="Q317" s="7" t="s">
        <v>65</v>
      </c>
      <c r="R317" s="30">
        <f t="shared" si="4"/>
        <v>1.8153373425588183E-2</v>
      </c>
    </row>
    <row r="318" spans="1:18" x14ac:dyDescent="0.35">
      <c r="A318" s="3" t="s">
        <v>726</v>
      </c>
      <c r="B318" s="4">
        <v>45571</v>
      </c>
      <c r="C318" s="3" t="s">
        <v>727</v>
      </c>
      <c r="D318" s="3" t="s">
        <v>29</v>
      </c>
      <c r="E318" s="3" t="s">
        <v>30</v>
      </c>
      <c r="F318" s="3" t="s">
        <v>31</v>
      </c>
      <c r="G318" s="3" t="s">
        <v>22</v>
      </c>
      <c r="H318" s="3" t="s">
        <v>55</v>
      </c>
      <c r="I318" s="3" t="s">
        <v>150</v>
      </c>
      <c r="J318" s="3">
        <v>1</v>
      </c>
      <c r="K318" s="5">
        <v>53946.44</v>
      </c>
      <c r="L318" s="5">
        <v>53946.44</v>
      </c>
      <c r="M318" s="6">
        <v>0</v>
      </c>
      <c r="N318" s="5">
        <v>3633.41</v>
      </c>
      <c r="O318" s="5">
        <v>293.93</v>
      </c>
      <c r="P318" s="3" t="s">
        <v>64</v>
      </c>
      <c r="Q318" s="3" t="s">
        <v>65</v>
      </c>
      <c r="R318" s="30">
        <f t="shared" si="4"/>
        <v>6.7352173748629188E-2</v>
      </c>
    </row>
    <row r="319" spans="1:18" x14ac:dyDescent="0.35">
      <c r="A319" s="7" t="s">
        <v>728</v>
      </c>
      <c r="B319" s="8">
        <v>45571</v>
      </c>
      <c r="C319" s="7" t="s">
        <v>729</v>
      </c>
      <c r="D319" s="7" t="s">
        <v>19</v>
      </c>
      <c r="E319" s="7" t="s">
        <v>60</v>
      </c>
      <c r="F319" s="7" t="s">
        <v>68</v>
      </c>
      <c r="G319" s="7" t="s">
        <v>134</v>
      </c>
      <c r="H319" s="7" t="s">
        <v>135</v>
      </c>
      <c r="I319" s="7" t="s">
        <v>287</v>
      </c>
      <c r="J319" s="7">
        <v>1</v>
      </c>
      <c r="K319" s="9">
        <v>4498.8</v>
      </c>
      <c r="L319" s="9">
        <v>4498.8</v>
      </c>
      <c r="M319" s="10">
        <v>0</v>
      </c>
      <c r="N319" s="9">
        <v>1157.97</v>
      </c>
      <c r="O319" s="9">
        <v>78.17</v>
      </c>
      <c r="P319" s="7" t="s">
        <v>64</v>
      </c>
      <c r="Q319" s="7" t="s">
        <v>26</v>
      </c>
      <c r="R319" s="30">
        <f t="shared" si="4"/>
        <v>0.25739530541477729</v>
      </c>
    </row>
    <row r="320" spans="1:18" x14ac:dyDescent="0.35">
      <c r="A320" s="3" t="s">
        <v>730</v>
      </c>
      <c r="B320" s="4">
        <v>45572</v>
      </c>
      <c r="C320" s="3" t="s">
        <v>731</v>
      </c>
      <c r="D320" s="3" t="s">
        <v>19</v>
      </c>
      <c r="E320" s="3" t="s">
        <v>60</v>
      </c>
      <c r="F320" s="3" t="s">
        <v>68</v>
      </c>
      <c r="G320" s="3" t="s">
        <v>117</v>
      </c>
      <c r="H320" s="3" t="s">
        <v>118</v>
      </c>
      <c r="I320" s="3" t="s">
        <v>279</v>
      </c>
      <c r="J320" s="3">
        <v>3</v>
      </c>
      <c r="K320" s="5">
        <v>793.14</v>
      </c>
      <c r="L320" s="5">
        <v>1665.59</v>
      </c>
      <c r="M320" s="6">
        <v>30</v>
      </c>
      <c r="N320" s="5">
        <v>173.86</v>
      </c>
      <c r="O320" s="5">
        <v>104.59</v>
      </c>
      <c r="P320" s="3" t="s">
        <v>25</v>
      </c>
      <c r="Q320" s="3" t="s">
        <v>26</v>
      </c>
      <c r="R320" s="30">
        <f t="shared" si="4"/>
        <v>0.10438343169687619</v>
      </c>
    </row>
    <row r="321" spans="1:18" x14ac:dyDescent="0.35">
      <c r="A321" s="7" t="s">
        <v>732</v>
      </c>
      <c r="B321" s="8">
        <v>45573</v>
      </c>
      <c r="C321" s="7" t="s">
        <v>733</v>
      </c>
      <c r="D321" s="7" t="s">
        <v>29</v>
      </c>
      <c r="E321" s="7" t="s">
        <v>20</v>
      </c>
      <c r="F321" s="7" t="s">
        <v>129</v>
      </c>
      <c r="G321" s="7" t="s">
        <v>134</v>
      </c>
      <c r="H321" s="7" t="s">
        <v>244</v>
      </c>
      <c r="I321" s="7" t="s">
        <v>245</v>
      </c>
      <c r="J321" s="7">
        <v>1</v>
      </c>
      <c r="K321" s="9">
        <v>2451.6</v>
      </c>
      <c r="L321" s="9">
        <v>1961.28</v>
      </c>
      <c r="M321" s="10">
        <v>20</v>
      </c>
      <c r="N321" s="9">
        <v>195.39</v>
      </c>
      <c r="O321" s="9">
        <v>66.569999999999993</v>
      </c>
      <c r="P321" s="7" t="s">
        <v>83</v>
      </c>
      <c r="Q321" s="7" t="s">
        <v>65</v>
      </c>
      <c r="R321" s="30">
        <f t="shared" si="4"/>
        <v>9.9623715124816437E-2</v>
      </c>
    </row>
    <row r="322" spans="1:18" x14ac:dyDescent="0.35">
      <c r="A322" s="3" t="s">
        <v>734</v>
      </c>
      <c r="B322" s="4">
        <v>45573</v>
      </c>
      <c r="C322" s="3" t="s">
        <v>291</v>
      </c>
      <c r="D322" s="3" t="s">
        <v>29</v>
      </c>
      <c r="E322" s="3" t="s">
        <v>30</v>
      </c>
      <c r="F322" s="3" t="s">
        <v>48</v>
      </c>
      <c r="G322" s="3" t="s">
        <v>32</v>
      </c>
      <c r="H322" s="3" t="s">
        <v>86</v>
      </c>
      <c r="I322" s="3" t="s">
        <v>233</v>
      </c>
      <c r="J322" s="3">
        <v>1</v>
      </c>
      <c r="K322" s="5">
        <v>10140.049999999999</v>
      </c>
      <c r="L322" s="5">
        <v>8112.04</v>
      </c>
      <c r="M322" s="6">
        <v>20</v>
      </c>
      <c r="N322" s="5">
        <v>-147.74</v>
      </c>
      <c r="O322" s="5">
        <v>76.02</v>
      </c>
      <c r="P322" s="3" t="s">
        <v>64</v>
      </c>
      <c r="Q322" s="3" t="s">
        <v>65</v>
      </c>
      <c r="R322" s="30">
        <f t="shared" si="4"/>
        <v>-1.8212434849926778E-2</v>
      </c>
    </row>
    <row r="323" spans="1:18" x14ac:dyDescent="0.35">
      <c r="A323" s="7" t="s">
        <v>735</v>
      </c>
      <c r="B323" s="8">
        <v>45573</v>
      </c>
      <c r="C323" s="7" t="s">
        <v>509</v>
      </c>
      <c r="D323" s="7" t="s">
        <v>39</v>
      </c>
      <c r="E323" s="7" t="s">
        <v>20</v>
      </c>
      <c r="F323" s="7" t="s">
        <v>21</v>
      </c>
      <c r="G323" s="7" t="s">
        <v>117</v>
      </c>
      <c r="H323" s="7" t="s">
        <v>130</v>
      </c>
      <c r="I323" s="7" t="s">
        <v>310</v>
      </c>
      <c r="J323" s="7">
        <v>1</v>
      </c>
      <c r="K323" s="9">
        <v>1689.29</v>
      </c>
      <c r="L323" s="9">
        <v>1520.36</v>
      </c>
      <c r="M323" s="10">
        <v>10</v>
      </c>
      <c r="N323" s="9">
        <v>273.97000000000003</v>
      </c>
      <c r="O323" s="9">
        <v>124.17</v>
      </c>
      <c r="P323" s="7" t="s">
        <v>35</v>
      </c>
      <c r="Q323" s="7" t="s">
        <v>26</v>
      </c>
      <c r="R323" s="30">
        <f t="shared" ref="R323:R386" si="5">N323/L323</f>
        <v>0.18020074192954302</v>
      </c>
    </row>
    <row r="324" spans="1:18" x14ac:dyDescent="0.35">
      <c r="A324" s="3" t="s">
        <v>736</v>
      </c>
      <c r="B324" s="4">
        <v>45573</v>
      </c>
      <c r="C324" s="3" t="s">
        <v>265</v>
      </c>
      <c r="D324" s="3" t="s">
        <v>39</v>
      </c>
      <c r="E324" s="3" t="s">
        <v>40</v>
      </c>
      <c r="F324" s="3" t="s">
        <v>77</v>
      </c>
      <c r="G324" s="3" t="s">
        <v>49</v>
      </c>
      <c r="H324" s="3" t="s">
        <v>91</v>
      </c>
      <c r="I324" s="3" t="s">
        <v>188</v>
      </c>
      <c r="J324" s="3">
        <v>1</v>
      </c>
      <c r="K324" s="5">
        <v>5930.05</v>
      </c>
      <c r="L324" s="5">
        <v>5633.55</v>
      </c>
      <c r="M324" s="6">
        <v>5</v>
      </c>
      <c r="N324" s="5">
        <v>925.44</v>
      </c>
      <c r="O324" s="5">
        <v>162.74</v>
      </c>
      <c r="P324" s="3" t="s">
        <v>25</v>
      </c>
      <c r="Q324" s="3" t="s">
        <v>36</v>
      </c>
      <c r="R324" s="30">
        <f t="shared" si="5"/>
        <v>0.16427297174960726</v>
      </c>
    </row>
    <row r="325" spans="1:18" x14ac:dyDescent="0.35">
      <c r="A325" s="7" t="s">
        <v>737</v>
      </c>
      <c r="B325" s="8">
        <v>45574</v>
      </c>
      <c r="C325" s="7" t="s">
        <v>686</v>
      </c>
      <c r="D325" s="7" t="s">
        <v>39</v>
      </c>
      <c r="E325" s="7" t="s">
        <v>40</v>
      </c>
      <c r="F325" s="7" t="s">
        <v>90</v>
      </c>
      <c r="G325" s="7" t="s">
        <v>32</v>
      </c>
      <c r="H325" s="7" t="s">
        <v>143</v>
      </c>
      <c r="I325" s="7" t="s">
        <v>144</v>
      </c>
      <c r="J325" s="7">
        <v>3</v>
      </c>
      <c r="K325" s="9">
        <v>8241.9</v>
      </c>
      <c r="L325" s="9">
        <v>22253.13</v>
      </c>
      <c r="M325" s="10">
        <v>10</v>
      </c>
      <c r="N325" s="9">
        <v>3733.27</v>
      </c>
      <c r="O325" s="9">
        <v>286.12</v>
      </c>
      <c r="P325" s="7" t="s">
        <v>35</v>
      </c>
      <c r="Q325" s="7" t="s">
        <v>26</v>
      </c>
      <c r="R325" s="30">
        <f t="shared" si="5"/>
        <v>0.16776381569693791</v>
      </c>
    </row>
    <row r="326" spans="1:18" x14ac:dyDescent="0.35">
      <c r="A326" s="3" t="s">
        <v>738</v>
      </c>
      <c r="B326" s="4">
        <v>45574</v>
      </c>
      <c r="C326" s="3" t="s">
        <v>491</v>
      </c>
      <c r="D326" s="3" t="s">
        <v>19</v>
      </c>
      <c r="E326" s="3" t="s">
        <v>20</v>
      </c>
      <c r="F326" s="3" t="s">
        <v>54</v>
      </c>
      <c r="G326" s="3" t="s">
        <v>32</v>
      </c>
      <c r="H326" s="3" t="s">
        <v>73</v>
      </c>
      <c r="I326" s="3" t="s">
        <v>74</v>
      </c>
      <c r="J326" s="3">
        <v>4</v>
      </c>
      <c r="K326" s="5">
        <v>7276.14</v>
      </c>
      <c r="L326" s="5">
        <v>29104.560000000001</v>
      </c>
      <c r="M326" s="6">
        <v>0</v>
      </c>
      <c r="N326" s="5">
        <v>4846.1400000000003</v>
      </c>
      <c r="O326" s="5">
        <v>356.21</v>
      </c>
      <c r="P326" s="3" t="s">
        <v>45</v>
      </c>
      <c r="Q326" s="3" t="s">
        <v>65</v>
      </c>
      <c r="R326" s="30">
        <f t="shared" si="5"/>
        <v>0.16650792865447889</v>
      </c>
    </row>
    <row r="327" spans="1:18" x14ac:dyDescent="0.35">
      <c r="A327" s="7" t="s">
        <v>739</v>
      </c>
      <c r="B327" s="8">
        <v>45574</v>
      </c>
      <c r="C327" s="7" t="s">
        <v>301</v>
      </c>
      <c r="D327" s="7" t="s">
        <v>39</v>
      </c>
      <c r="E327" s="7" t="s">
        <v>60</v>
      </c>
      <c r="F327" s="7" t="s">
        <v>61</v>
      </c>
      <c r="G327" s="7" t="s">
        <v>22</v>
      </c>
      <c r="H327" s="7" t="s">
        <v>105</v>
      </c>
      <c r="I327" s="7" t="s">
        <v>629</v>
      </c>
      <c r="J327" s="7">
        <v>5</v>
      </c>
      <c r="K327" s="9">
        <v>27463.62</v>
      </c>
      <c r="L327" s="9">
        <v>116720.38</v>
      </c>
      <c r="M327" s="10">
        <v>15</v>
      </c>
      <c r="N327" s="9">
        <v>512.13</v>
      </c>
      <c r="O327" s="9">
        <v>370.96</v>
      </c>
      <c r="P327" s="7" t="s">
        <v>35</v>
      </c>
      <c r="Q327" s="7" t="s">
        <v>26</v>
      </c>
      <c r="R327" s="30">
        <f t="shared" si="5"/>
        <v>4.3876656330282676E-3</v>
      </c>
    </row>
    <row r="328" spans="1:18" x14ac:dyDescent="0.35">
      <c r="A328" s="3" t="s">
        <v>740</v>
      </c>
      <c r="B328" s="4">
        <v>45574</v>
      </c>
      <c r="C328" s="3" t="s">
        <v>351</v>
      </c>
      <c r="D328" s="3" t="s">
        <v>19</v>
      </c>
      <c r="E328" s="3" t="s">
        <v>60</v>
      </c>
      <c r="F328" s="3" t="s">
        <v>68</v>
      </c>
      <c r="G328" s="3" t="s">
        <v>49</v>
      </c>
      <c r="H328" s="3" t="s">
        <v>62</v>
      </c>
      <c r="I328" s="3" t="s">
        <v>122</v>
      </c>
      <c r="J328" s="3">
        <v>2</v>
      </c>
      <c r="K328" s="5">
        <v>1164.6199999999999</v>
      </c>
      <c r="L328" s="5">
        <v>2329.2399999999998</v>
      </c>
      <c r="M328" s="6">
        <v>0</v>
      </c>
      <c r="N328" s="5">
        <v>400.67</v>
      </c>
      <c r="O328" s="5">
        <v>47.2</v>
      </c>
      <c r="P328" s="3" t="s">
        <v>64</v>
      </c>
      <c r="Q328" s="3" t="s">
        <v>26</v>
      </c>
      <c r="R328" s="30">
        <f t="shared" si="5"/>
        <v>0.17201748209716478</v>
      </c>
    </row>
    <row r="329" spans="1:18" x14ac:dyDescent="0.35">
      <c r="A329" s="7" t="s">
        <v>741</v>
      </c>
      <c r="B329" s="8">
        <v>45574</v>
      </c>
      <c r="C329" s="7" t="s">
        <v>742</v>
      </c>
      <c r="D329" s="7" t="s">
        <v>39</v>
      </c>
      <c r="E329" s="7" t="s">
        <v>30</v>
      </c>
      <c r="F329" s="7" t="s">
        <v>226</v>
      </c>
      <c r="G329" s="7" t="s">
        <v>22</v>
      </c>
      <c r="H329" s="7" t="s">
        <v>55</v>
      </c>
      <c r="I329" s="7" t="s">
        <v>56</v>
      </c>
      <c r="J329" s="7">
        <v>2</v>
      </c>
      <c r="K329" s="9">
        <v>18866.509999999998</v>
      </c>
      <c r="L329" s="9">
        <v>37733.019999999997</v>
      </c>
      <c r="M329" s="10">
        <v>0</v>
      </c>
      <c r="N329" s="9">
        <v>4174.68</v>
      </c>
      <c r="O329" s="9">
        <v>359.73</v>
      </c>
      <c r="P329" s="7" t="s">
        <v>64</v>
      </c>
      <c r="Q329" s="7" t="s">
        <v>65</v>
      </c>
      <c r="R329" s="30">
        <f t="shared" si="5"/>
        <v>0.11063731447946654</v>
      </c>
    </row>
    <row r="330" spans="1:18" x14ac:dyDescent="0.35">
      <c r="A330" s="3" t="s">
        <v>743</v>
      </c>
      <c r="B330" s="4">
        <v>45575</v>
      </c>
      <c r="C330" s="3" t="s">
        <v>744</v>
      </c>
      <c r="D330" s="3" t="s">
        <v>19</v>
      </c>
      <c r="E330" s="3" t="s">
        <v>20</v>
      </c>
      <c r="F330" s="3" t="s">
        <v>54</v>
      </c>
      <c r="G330" s="3" t="s">
        <v>42</v>
      </c>
      <c r="H330" s="3" t="s">
        <v>172</v>
      </c>
      <c r="I330" s="3" t="s">
        <v>302</v>
      </c>
      <c r="J330" s="3">
        <v>4</v>
      </c>
      <c r="K330" s="5">
        <v>1045.19</v>
      </c>
      <c r="L330" s="5">
        <v>3135.57</v>
      </c>
      <c r="M330" s="6">
        <v>25</v>
      </c>
      <c r="N330" s="5">
        <v>82.11</v>
      </c>
      <c r="O330" s="5">
        <v>117.36</v>
      </c>
      <c r="P330" s="3" t="s">
        <v>45</v>
      </c>
      <c r="Q330" s="3" t="s">
        <v>26</v>
      </c>
      <c r="R330" s="30">
        <f t="shared" si="5"/>
        <v>2.6186626355016791E-2</v>
      </c>
    </row>
    <row r="331" spans="1:18" x14ac:dyDescent="0.35">
      <c r="A331" s="7" t="s">
        <v>745</v>
      </c>
      <c r="B331" s="8">
        <v>45576</v>
      </c>
      <c r="C331" s="7" t="s">
        <v>746</v>
      </c>
      <c r="D331" s="7" t="s">
        <v>29</v>
      </c>
      <c r="E331" s="7" t="s">
        <v>40</v>
      </c>
      <c r="F331" s="7" t="s">
        <v>41</v>
      </c>
      <c r="G331" s="7" t="s">
        <v>42</v>
      </c>
      <c r="H331" s="7" t="s">
        <v>164</v>
      </c>
      <c r="I331" s="7" t="s">
        <v>329</v>
      </c>
      <c r="J331" s="7">
        <v>1</v>
      </c>
      <c r="K331" s="9">
        <v>632.15</v>
      </c>
      <c r="L331" s="9">
        <v>632.15</v>
      </c>
      <c r="M331" s="10">
        <v>0</v>
      </c>
      <c r="N331" s="9">
        <v>145.22999999999999</v>
      </c>
      <c r="O331" s="9">
        <v>153.13999999999999</v>
      </c>
      <c r="P331" s="7" t="s">
        <v>45</v>
      </c>
      <c r="Q331" s="7" t="s">
        <v>57</v>
      </c>
      <c r="R331" s="30">
        <f t="shared" si="5"/>
        <v>0.22973977695167286</v>
      </c>
    </row>
    <row r="332" spans="1:18" x14ac:dyDescent="0.35">
      <c r="A332" s="3" t="s">
        <v>747</v>
      </c>
      <c r="B332" s="4">
        <v>45576</v>
      </c>
      <c r="C332" s="3" t="s">
        <v>748</v>
      </c>
      <c r="D332" s="3" t="s">
        <v>19</v>
      </c>
      <c r="E332" s="3" t="s">
        <v>20</v>
      </c>
      <c r="F332" s="3" t="s">
        <v>21</v>
      </c>
      <c r="G332" s="3" t="s">
        <v>117</v>
      </c>
      <c r="H332" s="3" t="s">
        <v>153</v>
      </c>
      <c r="I332" s="3" t="s">
        <v>356</v>
      </c>
      <c r="J332" s="3">
        <v>1</v>
      </c>
      <c r="K332" s="5">
        <v>1535.35</v>
      </c>
      <c r="L332" s="5">
        <v>1381.82</v>
      </c>
      <c r="M332" s="6">
        <v>10</v>
      </c>
      <c r="N332" s="5">
        <v>323.14999999999998</v>
      </c>
      <c r="O332" s="5">
        <v>232.32</v>
      </c>
      <c r="P332" s="3" t="s">
        <v>35</v>
      </c>
      <c r="Q332" s="3" t="s">
        <v>36</v>
      </c>
      <c r="R332" s="30">
        <f t="shared" si="5"/>
        <v>0.23385824492336194</v>
      </c>
    </row>
    <row r="333" spans="1:18" x14ac:dyDescent="0.35">
      <c r="A333" s="7" t="s">
        <v>749</v>
      </c>
      <c r="B333" s="8">
        <v>45577</v>
      </c>
      <c r="C333" s="7" t="s">
        <v>750</v>
      </c>
      <c r="D333" s="7" t="s">
        <v>19</v>
      </c>
      <c r="E333" s="7" t="s">
        <v>30</v>
      </c>
      <c r="F333" s="7" t="s">
        <v>48</v>
      </c>
      <c r="G333" s="7" t="s">
        <v>42</v>
      </c>
      <c r="H333" s="7" t="s">
        <v>43</v>
      </c>
      <c r="I333" s="7" t="s">
        <v>751</v>
      </c>
      <c r="J333" s="7">
        <v>3</v>
      </c>
      <c r="K333" s="9">
        <v>198.43</v>
      </c>
      <c r="L333" s="9">
        <v>595.29</v>
      </c>
      <c r="M333" s="10">
        <v>0</v>
      </c>
      <c r="N333" s="9">
        <v>38.69</v>
      </c>
      <c r="O333" s="9">
        <v>323.85000000000002</v>
      </c>
      <c r="P333" s="7" t="s">
        <v>25</v>
      </c>
      <c r="Q333" s="7" t="s">
        <v>36</v>
      </c>
      <c r="R333" s="30">
        <f t="shared" si="5"/>
        <v>6.4993532563960427E-2</v>
      </c>
    </row>
    <row r="334" spans="1:18" x14ac:dyDescent="0.35">
      <c r="A334" s="3" t="s">
        <v>752</v>
      </c>
      <c r="B334" s="4">
        <v>45578</v>
      </c>
      <c r="C334" s="3" t="s">
        <v>753</v>
      </c>
      <c r="D334" s="3" t="s">
        <v>39</v>
      </c>
      <c r="E334" s="3" t="s">
        <v>40</v>
      </c>
      <c r="F334" s="3" t="s">
        <v>90</v>
      </c>
      <c r="G334" s="3" t="s">
        <v>117</v>
      </c>
      <c r="H334" s="3" t="s">
        <v>130</v>
      </c>
      <c r="I334" s="3" t="s">
        <v>131</v>
      </c>
      <c r="J334" s="3">
        <v>2</v>
      </c>
      <c r="K334" s="5">
        <v>546.09</v>
      </c>
      <c r="L334" s="5">
        <v>982.96</v>
      </c>
      <c r="M334" s="6">
        <v>10</v>
      </c>
      <c r="N334" s="5">
        <v>213.54</v>
      </c>
      <c r="O334" s="5">
        <v>205.49</v>
      </c>
      <c r="P334" s="3" t="s">
        <v>45</v>
      </c>
      <c r="Q334" s="3" t="s">
        <v>26</v>
      </c>
      <c r="R334" s="30">
        <f t="shared" si="5"/>
        <v>0.21724180027671522</v>
      </c>
    </row>
    <row r="335" spans="1:18" x14ac:dyDescent="0.35">
      <c r="A335" s="7" t="s">
        <v>754</v>
      </c>
      <c r="B335" s="8">
        <v>45578</v>
      </c>
      <c r="C335" s="7" t="s">
        <v>755</v>
      </c>
      <c r="D335" s="7" t="s">
        <v>29</v>
      </c>
      <c r="E335" s="7" t="s">
        <v>20</v>
      </c>
      <c r="F335" s="7" t="s">
        <v>21</v>
      </c>
      <c r="G335" s="7" t="s">
        <v>32</v>
      </c>
      <c r="H335" s="7" t="s">
        <v>33</v>
      </c>
      <c r="I335" s="7" t="s">
        <v>449</v>
      </c>
      <c r="J335" s="7">
        <v>1</v>
      </c>
      <c r="K335" s="9">
        <v>4143.63</v>
      </c>
      <c r="L335" s="9">
        <v>3936.45</v>
      </c>
      <c r="M335" s="10">
        <v>5</v>
      </c>
      <c r="N335" s="9">
        <v>363.69</v>
      </c>
      <c r="O335" s="9">
        <v>59.47</v>
      </c>
      <c r="P335" s="7" t="s">
        <v>35</v>
      </c>
      <c r="Q335" s="7" t="s">
        <v>26</v>
      </c>
      <c r="R335" s="30">
        <f t="shared" si="5"/>
        <v>9.2390351712837715E-2</v>
      </c>
    </row>
    <row r="336" spans="1:18" x14ac:dyDescent="0.35">
      <c r="A336" s="3" t="s">
        <v>756</v>
      </c>
      <c r="B336" s="4">
        <v>45578</v>
      </c>
      <c r="C336" s="3" t="s">
        <v>757</v>
      </c>
      <c r="D336" s="3" t="s">
        <v>39</v>
      </c>
      <c r="E336" s="3" t="s">
        <v>40</v>
      </c>
      <c r="F336" s="3" t="s">
        <v>41</v>
      </c>
      <c r="G336" s="3" t="s">
        <v>117</v>
      </c>
      <c r="H336" s="3" t="s">
        <v>125</v>
      </c>
      <c r="I336" s="3" t="s">
        <v>217</v>
      </c>
      <c r="J336" s="3">
        <v>4</v>
      </c>
      <c r="K336" s="5">
        <v>341.1</v>
      </c>
      <c r="L336" s="5">
        <v>1227.96</v>
      </c>
      <c r="M336" s="6">
        <v>10</v>
      </c>
      <c r="N336" s="5">
        <v>255.99</v>
      </c>
      <c r="O336" s="5">
        <v>324.83999999999997</v>
      </c>
      <c r="P336" s="3" t="s">
        <v>35</v>
      </c>
      <c r="Q336" s="3" t="s">
        <v>26</v>
      </c>
      <c r="R336" s="30">
        <f t="shared" si="5"/>
        <v>0.20846770253102706</v>
      </c>
    </row>
    <row r="337" spans="1:18" x14ac:dyDescent="0.35">
      <c r="A337" s="7" t="s">
        <v>758</v>
      </c>
      <c r="B337" s="8">
        <v>45578</v>
      </c>
      <c r="C337" s="7" t="s">
        <v>491</v>
      </c>
      <c r="D337" s="7" t="s">
        <v>29</v>
      </c>
      <c r="E337" s="7" t="s">
        <v>40</v>
      </c>
      <c r="F337" s="7" t="s">
        <v>77</v>
      </c>
      <c r="G337" s="7" t="s">
        <v>22</v>
      </c>
      <c r="H337" s="7" t="s">
        <v>23</v>
      </c>
      <c r="I337" s="7" t="s">
        <v>238</v>
      </c>
      <c r="J337" s="7">
        <v>1</v>
      </c>
      <c r="K337" s="9">
        <v>48031.1</v>
      </c>
      <c r="L337" s="9">
        <v>43227.99</v>
      </c>
      <c r="M337" s="10">
        <v>10</v>
      </c>
      <c r="N337" s="9">
        <v>-4626.2299999999996</v>
      </c>
      <c r="O337" s="9">
        <v>274.02999999999997</v>
      </c>
      <c r="P337" s="7" t="s">
        <v>64</v>
      </c>
      <c r="Q337" s="7" t="s">
        <v>65</v>
      </c>
      <c r="R337" s="30">
        <f t="shared" si="5"/>
        <v>-0.10701931780774447</v>
      </c>
    </row>
    <row r="338" spans="1:18" x14ac:dyDescent="0.35">
      <c r="A338" s="3" t="s">
        <v>759</v>
      </c>
      <c r="B338" s="4">
        <v>45579</v>
      </c>
      <c r="C338" s="3" t="s">
        <v>760</v>
      </c>
      <c r="D338" s="3" t="s">
        <v>29</v>
      </c>
      <c r="E338" s="3" t="s">
        <v>60</v>
      </c>
      <c r="F338" s="3" t="s">
        <v>68</v>
      </c>
      <c r="G338" s="3" t="s">
        <v>134</v>
      </c>
      <c r="H338" s="3" t="s">
        <v>244</v>
      </c>
      <c r="I338" s="3" t="s">
        <v>245</v>
      </c>
      <c r="J338" s="3">
        <v>3</v>
      </c>
      <c r="K338" s="5">
        <v>2889.3</v>
      </c>
      <c r="L338" s="5">
        <v>7801.11</v>
      </c>
      <c r="M338" s="6">
        <v>10</v>
      </c>
      <c r="N338" s="5">
        <v>1221.97</v>
      </c>
      <c r="O338" s="5">
        <v>110.12</v>
      </c>
      <c r="P338" s="3" t="s">
        <v>64</v>
      </c>
      <c r="Q338" s="3" t="s">
        <v>65</v>
      </c>
      <c r="R338" s="30">
        <f t="shared" si="5"/>
        <v>0.15664052936056536</v>
      </c>
    </row>
    <row r="339" spans="1:18" x14ac:dyDescent="0.35">
      <c r="A339" s="7" t="s">
        <v>761</v>
      </c>
      <c r="B339" s="8">
        <v>45579</v>
      </c>
      <c r="C339" s="7" t="s">
        <v>762</v>
      </c>
      <c r="D339" s="7" t="s">
        <v>29</v>
      </c>
      <c r="E339" s="7" t="s">
        <v>20</v>
      </c>
      <c r="F339" s="7" t="s">
        <v>54</v>
      </c>
      <c r="G339" s="7" t="s">
        <v>49</v>
      </c>
      <c r="H339" s="7" t="s">
        <v>98</v>
      </c>
      <c r="I339" s="7" t="s">
        <v>763</v>
      </c>
      <c r="J339" s="7">
        <v>1</v>
      </c>
      <c r="K339" s="9">
        <v>6704.74</v>
      </c>
      <c r="L339" s="9">
        <v>4693.32</v>
      </c>
      <c r="M339" s="10">
        <v>30</v>
      </c>
      <c r="N339" s="9">
        <v>165.58</v>
      </c>
      <c r="O339" s="9">
        <v>117.8</v>
      </c>
      <c r="P339" s="7" t="s">
        <v>64</v>
      </c>
      <c r="Q339" s="7" t="s">
        <v>65</v>
      </c>
      <c r="R339" s="30">
        <f t="shared" si="5"/>
        <v>3.5279929772527766E-2</v>
      </c>
    </row>
    <row r="340" spans="1:18" x14ac:dyDescent="0.35">
      <c r="A340" s="3" t="s">
        <v>764</v>
      </c>
      <c r="B340" s="4">
        <v>45580</v>
      </c>
      <c r="C340" s="3" t="s">
        <v>765</v>
      </c>
      <c r="D340" s="3" t="s">
        <v>39</v>
      </c>
      <c r="E340" s="3" t="s">
        <v>30</v>
      </c>
      <c r="F340" s="3" t="s">
        <v>31</v>
      </c>
      <c r="G340" s="3" t="s">
        <v>49</v>
      </c>
      <c r="H340" s="3" t="s">
        <v>98</v>
      </c>
      <c r="I340" s="3" t="s">
        <v>763</v>
      </c>
      <c r="J340" s="3">
        <v>2</v>
      </c>
      <c r="K340" s="5">
        <v>5407.62</v>
      </c>
      <c r="L340" s="5">
        <v>9733.7199999999993</v>
      </c>
      <c r="M340" s="6">
        <v>10</v>
      </c>
      <c r="N340" s="5">
        <v>1441.1</v>
      </c>
      <c r="O340" s="5">
        <v>177.54</v>
      </c>
      <c r="P340" s="3" t="s">
        <v>35</v>
      </c>
      <c r="Q340" s="3" t="s">
        <v>26</v>
      </c>
      <c r="R340" s="30">
        <f t="shared" si="5"/>
        <v>0.1480523376468606</v>
      </c>
    </row>
    <row r="341" spans="1:18" x14ac:dyDescent="0.35">
      <c r="A341" s="7" t="s">
        <v>766</v>
      </c>
      <c r="B341" s="8">
        <v>45580</v>
      </c>
      <c r="C341" s="7" t="s">
        <v>116</v>
      </c>
      <c r="D341" s="7" t="s">
        <v>39</v>
      </c>
      <c r="E341" s="7" t="s">
        <v>30</v>
      </c>
      <c r="F341" s="7" t="s">
        <v>48</v>
      </c>
      <c r="G341" s="7" t="s">
        <v>32</v>
      </c>
      <c r="H341" s="7" t="s">
        <v>143</v>
      </c>
      <c r="I341" s="7" t="s">
        <v>144</v>
      </c>
      <c r="J341" s="7">
        <v>3</v>
      </c>
      <c r="K341" s="9">
        <v>1864.67</v>
      </c>
      <c r="L341" s="9">
        <v>5594.01</v>
      </c>
      <c r="M341" s="10">
        <v>0</v>
      </c>
      <c r="N341" s="9">
        <v>886.2</v>
      </c>
      <c r="O341" s="9">
        <v>276.38</v>
      </c>
      <c r="P341" s="7" t="s">
        <v>25</v>
      </c>
      <c r="Q341" s="7" t="s">
        <v>65</v>
      </c>
      <c r="R341" s="30">
        <f t="shared" si="5"/>
        <v>0.15841945223551621</v>
      </c>
    </row>
    <row r="342" spans="1:18" x14ac:dyDescent="0.35">
      <c r="A342" s="3" t="s">
        <v>767</v>
      </c>
      <c r="B342" s="4">
        <v>45580</v>
      </c>
      <c r="C342" s="3" t="s">
        <v>768</v>
      </c>
      <c r="D342" s="3" t="s">
        <v>39</v>
      </c>
      <c r="E342" s="3" t="s">
        <v>40</v>
      </c>
      <c r="F342" s="3" t="s">
        <v>90</v>
      </c>
      <c r="G342" s="3" t="s">
        <v>32</v>
      </c>
      <c r="H342" s="3" t="s">
        <v>73</v>
      </c>
      <c r="I342" s="3" t="s">
        <v>74</v>
      </c>
      <c r="J342" s="3">
        <v>1</v>
      </c>
      <c r="K342" s="5">
        <v>6588.15</v>
      </c>
      <c r="L342" s="5">
        <v>5270.52</v>
      </c>
      <c r="M342" s="6">
        <v>20</v>
      </c>
      <c r="N342" s="5">
        <v>364.16</v>
      </c>
      <c r="O342" s="5">
        <v>78.540000000000006</v>
      </c>
      <c r="P342" s="3" t="s">
        <v>64</v>
      </c>
      <c r="Q342" s="3" t="s">
        <v>65</v>
      </c>
      <c r="R342" s="30">
        <f t="shared" si="5"/>
        <v>6.9093751660177741E-2</v>
      </c>
    </row>
    <row r="343" spans="1:18" x14ac:dyDescent="0.35">
      <c r="A343" s="7" t="s">
        <v>769</v>
      </c>
      <c r="B343" s="8">
        <v>45580</v>
      </c>
      <c r="C343" s="7" t="s">
        <v>770</v>
      </c>
      <c r="D343" s="7" t="s">
        <v>29</v>
      </c>
      <c r="E343" s="7" t="s">
        <v>40</v>
      </c>
      <c r="F343" s="7" t="s">
        <v>109</v>
      </c>
      <c r="G343" s="7" t="s">
        <v>134</v>
      </c>
      <c r="H343" s="7" t="s">
        <v>244</v>
      </c>
      <c r="I343" s="7" t="s">
        <v>334</v>
      </c>
      <c r="J343" s="7">
        <v>2</v>
      </c>
      <c r="K343" s="9">
        <v>2498.2399999999998</v>
      </c>
      <c r="L343" s="9">
        <v>4996.4799999999996</v>
      </c>
      <c r="M343" s="10">
        <v>0</v>
      </c>
      <c r="N343" s="9">
        <v>1058.21</v>
      </c>
      <c r="O343" s="9">
        <v>81.73</v>
      </c>
      <c r="P343" s="7" t="s">
        <v>35</v>
      </c>
      <c r="Q343" s="7" t="s">
        <v>65</v>
      </c>
      <c r="R343" s="30">
        <f t="shared" si="5"/>
        <v>0.21179110093505832</v>
      </c>
    </row>
    <row r="344" spans="1:18" x14ac:dyDescent="0.35">
      <c r="A344" s="3" t="s">
        <v>771</v>
      </c>
      <c r="B344" s="4">
        <v>45580</v>
      </c>
      <c r="C344" s="3" t="s">
        <v>707</v>
      </c>
      <c r="D344" s="3" t="s">
        <v>39</v>
      </c>
      <c r="E344" s="3" t="s">
        <v>30</v>
      </c>
      <c r="F344" s="3" t="s">
        <v>48</v>
      </c>
      <c r="G344" s="3" t="s">
        <v>32</v>
      </c>
      <c r="H344" s="3" t="s">
        <v>73</v>
      </c>
      <c r="I344" s="3" t="s">
        <v>114</v>
      </c>
      <c r="J344" s="3">
        <v>3</v>
      </c>
      <c r="K344" s="5">
        <v>7844.12</v>
      </c>
      <c r="L344" s="5">
        <v>16472.650000000001</v>
      </c>
      <c r="M344" s="6">
        <v>30</v>
      </c>
      <c r="N344" s="5">
        <v>-134.52000000000001</v>
      </c>
      <c r="O344" s="5">
        <v>274.87</v>
      </c>
      <c r="P344" s="3" t="s">
        <v>64</v>
      </c>
      <c r="Q344" s="3" t="s">
        <v>26</v>
      </c>
      <c r="R344" s="30">
        <f t="shared" si="5"/>
        <v>-8.1662634730902441E-3</v>
      </c>
    </row>
    <row r="345" spans="1:18" x14ac:dyDescent="0.35">
      <c r="A345" s="7" t="s">
        <v>772</v>
      </c>
      <c r="B345" s="8">
        <v>45580</v>
      </c>
      <c r="C345" s="7" t="s">
        <v>773</v>
      </c>
      <c r="D345" s="7" t="s">
        <v>19</v>
      </c>
      <c r="E345" s="7" t="s">
        <v>30</v>
      </c>
      <c r="F345" s="7" t="s">
        <v>31</v>
      </c>
      <c r="G345" s="7" t="s">
        <v>117</v>
      </c>
      <c r="H345" s="7" t="s">
        <v>153</v>
      </c>
      <c r="I345" s="7" t="s">
        <v>154</v>
      </c>
      <c r="J345" s="7">
        <v>1</v>
      </c>
      <c r="K345" s="9">
        <v>2322.34</v>
      </c>
      <c r="L345" s="9">
        <v>2206.2199999999998</v>
      </c>
      <c r="M345" s="10">
        <v>5</v>
      </c>
      <c r="N345" s="9">
        <v>823.46</v>
      </c>
      <c r="O345" s="9">
        <v>274.74</v>
      </c>
      <c r="P345" s="7" t="s">
        <v>64</v>
      </c>
      <c r="Q345" s="7" t="s">
        <v>57</v>
      </c>
      <c r="R345" s="30">
        <f t="shared" si="5"/>
        <v>0.37324473533917746</v>
      </c>
    </row>
    <row r="346" spans="1:18" x14ac:dyDescent="0.35">
      <c r="A346" s="3" t="s">
        <v>774</v>
      </c>
      <c r="B346" s="4">
        <v>45581</v>
      </c>
      <c r="C346" s="3" t="s">
        <v>406</v>
      </c>
      <c r="D346" s="3" t="s">
        <v>39</v>
      </c>
      <c r="E346" s="3" t="s">
        <v>60</v>
      </c>
      <c r="F346" s="3" t="s">
        <v>72</v>
      </c>
      <c r="G346" s="3" t="s">
        <v>22</v>
      </c>
      <c r="H346" s="3" t="s">
        <v>110</v>
      </c>
      <c r="I346" s="3" t="s">
        <v>111</v>
      </c>
      <c r="J346" s="3">
        <v>1</v>
      </c>
      <c r="K346" s="5">
        <v>9738.25</v>
      </c>
      <c r="L346" s="5">
        <v>8764.43</v>
      </c>
      <c r="M346" s="6">
        <v>10</v>
      </c>
      <c r="N346" s="5">
        <v>740.56</v>
      </c>
      <c r="O346" s="5">
        <v>231.46</v>
      </c>
      <c r="P346" s="3" t="s">
        <v>45</v>
      </c>
      <c r="Q346" s="3" t="s">
        <v>26</v>
      </c>
      <c r="R346" s="30">
        <f t="shared" si="5"/>
        <v>8.4496082460582142E-2</v>
      </c>
    </row>
    <row r="347" spans="1:18" x14ac:dyDescent="0.35">
      <c r="A347" s="7" t="s">
        <v>775</v>
      </c>
      <c r="B347" s="8">
        <v>45581</v>
      </c>
      <c r="C347" s="7" t="s">
        <v>776</v>
      </c>
      <c r="D347" s="7" t="s">
        <v>39</v>
      </c>
      <c r="E347" s="7" t="s">
        <v>40</v>
      </c>
      <c r="F347" s="7" t="s">
        <v>77</v>
      </c>
      <c r="G347" s="7" t="s">
        <v>22</v>
      </c>
      <c r="H347" s="7" t="s">
        <v>55</v>
      </c>
      <c r="I347" s="7" t="s">
        <v>416</v>
      </c>
      <c r="J347" s="7">
        <v>2</v>
      </c>
      <c r="K347" s="9">
        <v>57081.34</v>
      </c>
      <c r="L347" s="9">
        <v>97038.28</v>
      </c>
      <c r="M347" s="10">
        <v>15</v>
      </c>
      <c r="N347" s="9">
        <v>6857.61</v>
      </c>
      <c r="O347" s="9">
        <v>217.51</v>
      </c>
      <c r="P347" s="7" t="s">
        <v>35</v>
      </c>
      <c r="Q347" s="7" t="s">
        <v>65</v>
      </c>
      <c r="R347" s="30">
        <f t="shared" si="5"/>
        <v>7.0669121505451252E-2</v>
      </c>
    </row>
    <row r="348" spans="1:18" x14ac:dyDescent="0.35">
      <c r="A348" s="3" t="s">
        <v>777</v>
      </c>
      <c r="B348" s="4">
        <v>45582</v>
      </c>
      <c r="C348" s="3" t="s">
        <v>778</v>
      </c>
      <c r="D348" s="3" t="s">
        <v>39</v>
      </c>
      <c r="E348" s="3" t="s">
        <v>60</v>
      </c>
      <c r="F348" s="3" t="s">
        <v>72</v>
      </c>
      <c r="G348" s="3" t="s">
        <v>49</v>
      </c>
      <c r="H348" s="3" t="s">
        <v>98</v>
      </c>
      <c r="I348" s="3" t="s">
        <v>99</v>
      </c>
      <c r="J348" s="3">
        <v>2</v>
      </c>
      <c r="K348" s="5">
        <v>13517.24</v>
      </c>
      <c r="L348" s="5">
        <v>27034.48</v>
      </c>
      <c r="M348" s="6">
        <v>0</v>
      </c>
      <c r="N348" s="5">
        <v>5647.54</v>
      </c>
      <c r="O348" s="5">
        <v>222</v>
      </c>
      <c r="P348" s="3" t="s">
        <v>64</v>
      </c>
      <c r="Q348" s="3" t="s">
        <v>65</v>
      </c>
      <c r="R348" s="30">
        <f t="shared" si="5"/>
        <v>0.20890137335728301</v>
      </c>
    </row>
    <row r="349" spans="1:18" x14ac:dyDescent="0.35">
      <c r="A349" s="7" t="s">
        <v>779</v>
      </c>
      <c r="B349" s="8">
        <v>45582</v>
      </c>
      <c r="C349" s="7" t="s">
        <v>780</v>
      </c>
      <c r="D349" s="7" t="s">
        <v>29</v>
      </c>
      <c r="E349" s="7" t="s">
        <v>30</v>
      </c>
      <c r="F349" s="7" t="s">
        <v>48</v>
      </c>
      <c r="G349" s="7" t="s">
        <v>49</v>
      </c>
      <c r="H349" s="7" t="s">
        <v>91</v>
      </c>
      <c r="I349" s="7" t="s">
        <v>188</v>
      </c>
      <c r="J349" s="7">
        <v>3</v>
      </c>
      <c r="K349" s="9">
        <v>6905.41</v>
      </c>
      <c r="L349" s="9">
        <v>15537.17</v>
      </c>
      <c r="M349" s="10">
        <v>25</v>
      </c>
      <c r="N349" s="9">
        <v>-414.28</v>
      </c>
      <c r="O349" s="9">
        <v>211.77</v>
      </c>
      <c r="P349" s="7" t="s">
        <v>45</v>
      </c>
      <c r="Q349" s="7" t="s">
        <v>57</v>
      </c>
      <c r="R349" s="30">
        <f t="shared" si="5"/>
        <v>-2.6663800421827141E-2</v>
      </c>
    </row>
    <row r="350" spans="1:18" x14ac:dyDescent="0.35">
      <c r="A350" s="3" t="s">
        <v>781</v>
      </c>
      <c r="B350" s="4">
        <v>45583</v>
      </c>
      <c r="C350" s="3" t="s">
        <v>782</v>
      </c>
      <c r="D350" s="3" t="s">
        <v>39</v>
      </c>
      <c r="E350" s="3" t="s">
        <v>40</v>
      </c>
      <c r="F350" s="3" t="s">
        <v>90</v>
      </c>
      <c r="G350" s="3" t="s">
        <v>49</v>
      </c>
      <c r="H350" s="3" t="s">
        <v>98</v>
      </c>
      <c r="I350" s="3" t="s">
        <v>258</v>
      </c>
      <c r="J350" s="3">
        <v>1</v>
      </c>
      <c r="K350" s="5">
        <v>8265.09</v>
      </c>
      <c r="L350" s="5">
        <v>8265.09</v>
      </c>
      <c r="M350" s="6">
        <v>0</v>
      </c>
      <c r="N350" s="5">
        <v>2077.42</v>
      </c>
      <c r="O350" s="5">
        <v>55.37</v>
      </c>
      <c r="P350" s="3" t="s">
        <v>64</v>
      </c>
      <c r="Q350" s="3" t="s">
        <v>26</v>
      </c>
      <c r="R350" s="30">
        <f t="shared" si="5"/>
        <v>0.25134874514373107</v>
      </c>
    </row>
    <row r="351" spans="1:18" x14ac:dyDescent="0.35">
      <c r="A351" s="7" t="s">
        <v>783</v>
      </c>
      <c r="B351" s="8">
        <v>45583</v>
      </c>
      <c r="C351" s="7" t="s">
        <v>370</v>
      </c>
      <c r="D351" s="7" t="s">
        <v>19</v>
      </c>
      <c r="E351" s="7" t="s">
        <v>60</v>
      </c>
      <c r="F351" s="7" t="s">
        <v>61</v>
      </c>
      <c r="G351" s="7" t="s">
        <v>49</v>
      </c>
      <c r="H351" s="7" t="s">
        <v>50</v>
      </c>
      <c r="I351" s="7" t="s">
        <v>193</v>
      </c>
      <c r="J351" s="7">
        <v>1</v>
      </c>
      <c r="K351" s="9">
        <v>10842.02</v>
      </c>
      <c r="L351" s="9">
        <v>7589.41</v>
      </c>
      <c r="M351" s="10">
        <v>30</v>
      </c>
      <c r="N351" s="9">
        <v>600.30999999999995</v>
      </c>
      <c r="O351" s="9">
        <v>336.9</v>
      </c>
      <c r="P351" s="7" t="s">
        <v>45</v>
      </c>
      <c r="Q351" s="7" t="s">
        <v>57</v>
      </c>
      <c r="R351" s="30">
        <f t="shared" si="5"/>
        <v>7.9098375236019661E-2</v>
      </c>
    </row>
    <row r="352" spans="1:18" x14ac:dyDescent="0.35">
      <c r="A352" s="3" t="s">
        <v>784</v>
      </c>
      <c r="B352" s="4">
        <v>45584</v>
      </c>
      <c r="C352" s="3" t="s">
        <v>776</v>
      </c>
      <c r="D352" s="3" t="s">
        <v>19</v>
      </c>
      <c r="E352" s="3" t="s">
        <v>30</v>
      </c>
      <c r="F352" s="3" t="s">
        <v>48</v>
      </c>
      <c r="G352" s="3" t="s">
        <v>117</v>
      </c>
      <c r="H352" s="3" t="s">
        <v>118</v>
      </c>
      <c r="I352" s="3" t="s">
        <v>438</v>
      </c>
      <c r="J352" s="3">
        <v>2</v>
      </c>
      <c r="K352" s="5">
        <v>2235.17</v>
      </c>
      <c r="L352" s="5">
        <v>4023.31</v>
      </c>
      <c r="M352" s="6">
        <v>10</v>
      </c>
      <c r="N352" s="5">
        <v>706.24</v>
      </c>
      <c r="O352" s="5">
        <v>135.12</v>
      </c>
      <c r="P352" s="3" t="s">
        <v>83</v>
      </c>
      <c r="Q352" s="3" t="s">
        <v>26</v>
      </c>
      <c r="R352" s="30">
        <f t="shared" si="5"/>
        <v>0.17553705779569559</v>
      </c>
    </row>
    <row r="353" spans="1:18" x14ac:dyDescent="0.35">
      <c r="A353" s="7" t="s">
        <v>785</v>
      </c>
      <c r="B353" s="8">
        <v>45585</v>
      </c>
      <c r="C353" s="7" t="s">
        <v>786</v>
      </c>
      <c r="D353" s="7" t="s">
        <v>19</v>
      </c>
      <c r="E353" s="7" t="s">
        <v>60</v>
      </c>
      <c r="F353" s="7" t="s">
        <v>68</v>
      </c>
      <c r="G353" s="7" t="s">
        <v>22</v>
      </c>
      <c r="H353" s="7" t="s">
        <v>23</v>
      </c>
      <c r="I353" s="7" t="s">
        <v>238</v>
      </c>
      <c r="J353" s="7">
        <v>2</v>
      </c>
      <c r="K353" s="9">
        <v>44721.37</v>
      </c>
      <c r="L353" s="9">
        <v>89442.74</v>
      </c>
      <c r="M353" s="10">
        <v>0</v>
      </c>
      <c r="N353" s="9">
        <v>12413.61</v>
      </c>
      <c r="O353" s="9">
        <v>231.75</v>
      </c>
      <c r="P353" s="7" t="s">
        <v>64</v>
      </c>
      <c r="Q353" s="7" t="s">
        <v>65</v>
      </c>
      <c r="R353" s="30">
        <f t="shared" si="5"/>
        <v>0.13878834660029421</v>
      </c>
    </row>
    <row r="354" spans="1:18" x14ac:dyDescent="0.35">
      <c r="A354" s="3" t="s">
        <v>787</v>
      </c>
      <c r="B354" s="4">
        <v>45585</v>
      </c>
      <c r="C354" s="3" t="s">
        <v>788</v>
      </c>
      <c r="D354" s="3" t="s">
        <v>29</v>
      </c>
      <c r="E354" s="3" t="s">
        <v>30</v>
      </c>
      <c r="F354" s="3" t="s">
        <v>226</v>
      </c>
      <c r="G354" s="3" t="s">
        <v>134</v>
      </c>
      <c r="H354" s="3" t="s">
        <v>91</v>
      </c>
      <c r="I354" s="3" t="s">
        <v>206</v>
      </c>
      <c r="J354" s="3">
        <v>1</v>
      </c>
      <c r="K354" s="5">
        <v>3851.54</v>
      </c>
      <c r="L354" s="5">
        <v>3273.81</v>
      </c>
      <c r="M354" s="6">
        <v>15</v>
      </c>
      <c r="N354" s="5">
        <v>182.51</v>
      </c>
      <c r="O354" s="5">
        <v>251.6</v>
      </c>
      <c r="P354" s="3" t="s">
        <v>25</v>
      </c>
      <c r="Q354" s="3" t="s">
        <v>65</v>
      </c>
      <c r="R354" s="30">
        <f t="shared" si="5"/>
        <v>5.5748500982036216E-2</v>
      </c>
    </row>
    <row r="355" spans="1:18" x14ac:dyDescent="0.35">
      <c r="A355" s="7" t="s">
        <v>789</v>
      </c>
      <c r="B355" s="8">
        <v>45585</v>
      </c>
      <c r="C355" s="7" t="s">
        <v>790</v>
      </c>
      <c r="D355" s="7" t="s">
        <v>39</v>
      </c>
      <c r="E355" s="7" t="s">
        <v>60</v>
      </c>
      <c r="F355" s="7" t="s">
        <v>104</v>
      </c>
      <c r="G355" s="7" t="s">
        <v>134</v>
      </c>
      <c r="H355" s="7" t="s">
        <v>139</v>
      </c>
      <c r="I355" s="7" t="s">
        <v>147</v>
      </c>
      <c r="J355" s="7">
        <v>2</v>
      </c>
      <c r="K355" s="9">
        <v>3686.9</v>
      </c>
      <c r="L355" s="9">
        <v>7373.8</v>
      </c>
      <c r="M355" s="10">
        <v>0</v>
      </c>
      <c r="N355" s="9">
        <v>1383.6</v>
      </c>
      <c r="O355" s="9">
        <v>296.61</v>
      </c>
      <c r="P355" s="7" t="s">
        <v>25</v>
      </c>
      <c r="Q355" s="7" t="s">
        <v>26</v>
      </c>
      <c r="R355" s="30">
        <f t="shared" si="5"/>
        <v>0.18763731047763701</v>
      </c>
    </row>
    <row r="356" spans="1:18" x14ac:dyDescent="0.35">
      <c r="A356" s="3" t="s">
        <v>791</v>
      </c>
      <c r="B356" s="4">
        <v>45585</v>
      </c>
      <c r="C356" s="3" t="s">
        <v>792</v>
      </c>
      <c r="D356" s="3" t="s">
        <v>39</v>
      </c>
      <c r="E356" s="3" t="s">
        <v>40</v>
      </c>
      <c r="F356" s="3" t="s">
        <v>41</v>
      </c>
      <c r="G356" s="3" t="s">
        <v>117</v>
      </c>
      <c r="H356" s="3" t="s">
        <v>125</v>
      </c>
      <c r="I356" s="3" t="s">
        <v>217</v>
      </c>
      <c r="J356" s="3">
        <v>1</v>
      </c>
      <c r="K356" s="5">
        <v>1045.9000000000001</v>
      </c>
      <c r="L356" s="5">
        <v>993.61</v>
      </c>
      <c r="M356" s="6">
        <v>5</v>
      </c>
      <c r="N356" s="5">
        <v>190.34</v>
      </c>
      <c r="O356" s="5">
        <v>232.34</v>
      </c>
      <c r="P356" s="3" t="s">
        <v>25</v>
      </c>
      <c r="Q356" s="3" t="s">
        <v>65</v>
      </c>
      <c r="R356" s="30">
        <f t="shared" si="5"/>
        <v>0.19156409456426565</v>
      </c>
    </row>
    <row r="357" spans="1:18" x14ac:dyDescent="0.35">
      <c r="A357" s="7" t="s">
        <v>793</v>
      </c>
      <c r="B357" s="8">
        <v>45585</v>
      </c>
      <c r="C357" s="7" t="s">
        <v>269</v>
      </c>
      <c r="D357" s="7" t="s">
        <v>39</v>
      </c>
      <c r="E357" s="7" t="s">
        <v>30</v>
      </c>
      <c r="F357" s="7" t="s">
        <v>226</v>
      </c>
      <c r="G357" s="7" t="s">
        <v>22</v>
      </c>
      <c r="H357" s="7" t="s">
        <v>105</v>
      </c>
      <c r="I357" s="7" t="s">
        <v>157</v>
      </c>
      <c r="J357" s="7">
        <v>1</v>
      </c>
      <c r="K357" s="9">
        <v>26894.78</v>
      </c>
      <c r="L357" s="9">
        <v>21515.82</v>
      </c>
      <c r="M357" s="10">
        <v>20</v>
      </c>
      <c r="N357" s="9">
        <v>-824.32</v>
      </c>
      <c r="O357" s="9">
        <v>196.28</v>
      </c>
      <c r="P357" s="7" t="s">
        <v>35</v>
      </c>
      <c r="Q357" s="7" t="s">
        <v>65</v>
      </c>
      <c r="R357" s="30">
        <f t="shared" si="5"/>
        <v>-3.831227441017819E-2</v>
      </c>
    </row>
    <row r="358" spans="1:18" x14ac:dyDescent="0.35">
      <c r="A358" s="3" t="s">
        <v>794</v>
      </c>
      <c r="B358" s="4">
        <v>45585</v>
      </c>
      <c r="C358" s="3" t="s">
        <v>413</v>
      </c>
      <c r="D358" s="3" t="s">
        <v>29</v>
      </c>
      <c r="E358" s="3" t="s">
        <v>20</v>
      </c>
      <c r="F358" s="3" t="s">
        <v>21</v>
      </c>
      <c r="G358" s="3" t="s">
        <v>32</v>
      </c>
      <c r="H358" s="3" t="s">
        <v>73</v>
      </c>
      <c r="I358" s="3" t="s">
        <v>214</v>
      </c>
      <c r="J358" s="3">
        <v>2</v>
      </c>
      <c r="K358" s="5">
        <v>3831.56</v>
      </c>
      <c r="L358" s="5">
        <v>6896.81</v>
      </c>
      <c r="M358" s="6">
        <v>10</v>
      </c>
      <c r="N358" s="5">
        <v>1052.68</v>
      </c>
      <c r="O358" s="5">
        <v>247.79</v>
      </c>
      <c r="P358" s="3" t="s">
        <v>25</v>
      </c>
      <c r="Q358" s="3" t="s">
        <v>65</v>
      </c>
      <c r="R358" s="30">
        <f t="shared" si="5"/>
        <v>0.152632883898498</v>
      </c>
    </row>
    <row r="359" spans="1:18" x14ac:dyDescent="0.35">
      <c r="A359" s="7" t="s">
        <v>795</v>
      </c>
      <c r="B359" s="8">
        <v>45586</v>
      </c>
      <c r="C359" s="7" t="s">
        <v>796</v>
      </c>
      <c r="D359" s="7" t="s">
        <v>39</v>
      </c>
      <c r="E359" s="7" t="s">
        <v>60</v>
      </c>
      <c r="F359" s="7" t="s">
        <v>68</v>
      </c>
      <c r="G359" s="7" t="s">
        <v>22</v>
      </c>
      <c r="H359" s="7" t="s">
        <v>23</v>
      </c>
      <c r="I359" s="7" t="s">
        <v>24</v>
      </c>
      <c r="J359" s="7">
        <v>1</v>
      </c>
      <c r="K359" s="9">
        <v>18861.61</v>
      </c>
      <c r="L359" s="9">
        <v>17918.53</v>
      </c>
      <c r="M359" s="10">
        <v>5</v>
      </c>
      <c r="N359" s="9">
        <v>1219.8</v>
      </c>
      <c r="O359" s="9">
        <v>219.55</v>
      </c>
      <c r="P359" s="7" t="s">
        <v>35</v>
      </c>
      <c r="Q359" s="7" t="s">
        <v>57</v>
      </c>
      <c r="R359" s="30">
        <f t="shared" si="5"/>
        <v>6.8074780687924732E-2</v>
      </c>
    </row>
    <row r="360" spans="1:18" x14ac:dyDescent="0.35">
      <c r="A360" s="3" t="s">
        <v>797</v>
      </c>
      <c r="B360" s="4">
        <v>45586</v>
      </c>
      <c r="C360" s="3" t="s">
        <v>798</v>
      </c>
      <c r="D360" s="3" t="s">
        <v>39</v>
      </c>
      <c r="E360" s="3" t="s">
        <v>40</v>
      </c>
      <c r="F360" s="3" t="s">
        <v>77</v>
      </c>
      <c r="G360" s="3" t="s">
        <v>22</v>
      </c>
      <c r="H360" s="3" t="s">
        <v>23</v>
      </c>
      <c r="I360" s="3" t="s">
        <v>78</v>
      </c>
      <c r="J360" s="3">
        <v>2</v>
      </c>
      <c r="K360" s="5">
        <v>32874.22</v>
      </c>
      <c r="L360" s="5">
        <v>65748.44</v>
      </c>
      <c r="M360" s="6">
        <v>0</v>
      </c>
      <c r="N360" s="5">
        <v>11269.39</v>
      </c>
      <c r="O360" s="5">
        <v>184.79</v>
      </c>
      <c r="P360" s="3" t="s">
        <v>83</v>
      </c>
      <c r="Q360" s="3" t="s">
        <v>26</v>
      </c>
      <c r="R360" s="30">
        <f t="shared" si="5"/>
        <v>0.17140163325548102</v>
      </c>
    </row>
    <row r="361" spans="1:18" x14ac:dyDescent="0.35">
      <c r="A361" s="7" t="s">
        <v>799</v>
      </c>
      <c r="B361" s="8">
        <v>45586</v>
      </c>
      <c r="C361" s="7" t="s">
        <v>229</v>
      </c>
      <c r="D361" s="7" t="s">
        <v>39</v>
      </c>
      <c r="E361" s="7" t="s">
        <v>30</v>
      </c>
      <c r="F361" s="7" t="s">
        <v>31</v>
      </c>
      <c r="G361" s="7" t="s">
        <v>49</v>
      </c>
      <c r="H361" s="7" t="s">
        <v>62</v>
      </c>
      <c r="I361" s="7" t="s">
        <v>341</v>
      </c>
      <c r="J361" s="7">
        <v>1</v>
      </c>
      <c r="K361" s="9">
        <v>4288.7</v>
      </c>
      <c r="L361" s="9">
        <v>4288.7</v>
      </c>
      <c r="M361" s="10">
        <v>0</v>
      </c>
      <c r="N361" s="9">
        <v>784.92</v>
      </c>
      <c r="O361" s="9">
        <v>147.9</v>
      </c>
      <c r="P361" s="7" t="s">
        <v>35</v>
      </c>
      <c r="Q361" s="7" t="s">
        <v>65</v>
      </c>
      <c r="R361" s="30">
        <f t="shared" si="5"/>
        <v>0.18302049572131415</v>
      </c>
    </row>
    <row r="362" spans="1:18" x14ac:dyDescent="0.35">
      <c r="A362" s="3" t="s">
        <v>800</v>
      </c>
      <c r="B362" s="4">
        <v>45586</v>
      </c>
      <c r="C362" s="3" t="s">
        <v>801</v>
      </c>
      <c r="D362" s="3" t="s">
        <v>19</v>
      </c>
      <c r="E362" s="3" t="s">
        <v>60</v>
      </c>
      <c r="F362" s="3" t="s">
        <v>104</v>
      </c>
      <c r="G362" s="3" t="s">
        <v>22</v>
      </c>
      <c r="H362" s="3" t="s">
        <v>105</v>
      </c>
      <c r="I362" s="3" t="s">
        <v>251</v>
      </c>
      <c r="J362" s="3">
        <v>2</v>
      </c>
      <c r="K362" s="5">
        <v>12180.66</v>
      </c>
      <c r="L362" s="5">
        <v>20707.12</v>
      </c>
      <c r="M362" s="6">
        <v>15</v>
      </c>
      <c r="N362" s="5">
        <v>713.63</v>
      </c>
      <c r="O362" s="5">
        <v>341.17</v>
      </c>
      <c r="P362" s="3" t="s">
        <v>35</v>
      </c>
      <c r="Q362" s="3" t="s">
        <v>57</v>
      </c>
      <c r="R362" s="30">
        <f t="shared" si="5"/>
        <v>3.4463025278261776E-2</v>
      </c>
    </row>
    <row r="363" spans="1:18" x14ac:dyDescent="0.35">
      <c r="A363" s="7" t="s">
        <v>802</v>
      </c>
      <c r="B363" s="8">
        <v>45587</v>
      </c>
      <c r="C363" s="7" t="s">
        <v>393</v>
      </c>
      <c r="D363" s="7" t="s">
        <v>39</v>
      </c>
      <c r="E363" s="7" t="s">
        <v>30</v>
      </c>
      <c r="F363" s="7" t="s">
        <v>31</v>
      </c>
      <c r="G363" s="7" t="s">
        <v>117</v>
      </c>
      <c r="H363" s="7" t="s">
        <v>118</v>
      </c>
      <c r="I363" s="7" t="s">
        <v>279</v>
      </c>
      <c r="J363" s="7">
        <v>2</v>
      </c>
      <c r="K363" s="9">
        <v>1239.48</v>
      </c>
      <c r="L363" s="9">
        <v>1859.22</v>
      </c>
      <c r="M363" s="10">
        <v>25</v>
      </c>
      <c r="N363" s="9">
        <v>293.06</v>
      </c>
      <c r="O363" s="9">
        <v>244.71</v>
      </c>
      <c r="P363" s="7" t="s">
        <v>83</v>
      </c>
      <c r="Q363" s="7" t="s">
        <v>26</v>
      </c>
      <c r="R363" s="30">
        <f t="shared" si="5"/>
        <v>0.15762524069233333</v>
      </c>
    </row>
    <row r="364" spans="1:18" x14ac:dyDescent="0.35">
      <c r="A364" s="3" t="s">
        <v>803</v>
      </c>
      <c r="B364" s="4">
        <v>45587</v>
      </c>
      <c r="C364" s="3" t="s">
        <v>804</v>
      </c>
      <c r="D364" s="3" t="s">
        <v>19</v>
      </c>
      <c r="E364" s="3" t="s">
        <v>20</v>
      </c>
      <c r="F364" s="3" t="s">
        <v>21</v>
      </c>
      <c r="G364" s="3" t="s">
        <v>22</v>
      </c>
      <c r="H364" s="3" t="s">
        <v>110</v>
      </c>
      <c r="I364" s="3" t="s">
        <v>542</v>
      </c>
      <c r="J364" s="3">
        <v>2</v>
      </c>
      <c r="K364" s="5">
        <v>1755.45</v>
      </c>
      <c r="L364" s="5">
        <v>2808.72</v>
      </c>
      <c r="M364" s="6">
        <v>20</v>
      </c>
      <c r="N364" s="5">
        <v>-113.95</v>
      </c>
      <c r="O364" s="5">
        <v>246.79</v>
      </c>
      <c r="P364" s="3" t="s">
        <v>35</v>
      </c>
      <c r="Q364" s="3" t="s">
        <v>65</v>
      </c>
      <c r="R364" s="30">
        <f t="shared" si="5"/>
        <v>-4.0570081745421406E-2</v>
      </c>
    </row>
    <row r="365" spans="1:18" x14ac:dyDescent="0.35">
      <c r="A365" s="7" t="s">
        <v>805</v>
      </c>
      <c r="B365" s="8">
        <v>45587</v>
      </c>
      <c r="C365" s="7" t="s">
        <v>163</v>
      </c>
      <c r="D365" s="7" t="s">
        <v>39</v>
      </c>
      <c r="E365" s="7" t="s">
        <v>40</v>
      </c>
      <c r="F365" s="7" t="s">
        <v>77</v>
      </c>
      <c r="G365" s="7" t="s">
        <v>42</v>
      </c>
      <c r="H365" s="7" t="s">
        <v>172</v>
      </c>
      <c r="I365" s="7" t="s">
        <v>223</v>
      </c>
      <c r="J365" s="7">
        <v>3</v>
      </c>
      <c r="K365" s="9">
        <v>247.94</v>
      </c>
      <c r="L365" s="9">
        <v>706.63</v>
      </c>
      <c r="M365" s="10">
        <v>5</v>
      </c>
      <c r="N365" s="9">
        <v>114.13</v>
      </c>
      <c r="O365" s="9">
        <v>368.42</v>
      </c>
      <c r="P365" s="7" t="s">
        <v>35</v>
      </c>
      <c r="Q365" s="7" t="s">
        <v>57</v>
      </c>
      <c r="R365" s="30">
        <f t="shared" si="5"/>
        <v>0.16151309737769412</v>
      </c>
    </row>
    <row r="366" spans="1:18" x14ac:dyDescent="0.35">
      <c r="A366" s="3" t="s">
        <v>806</v>
      </c>
      <c r="B366" s="4">
        <v>45587</v>
      </c>
      <c r="C366" s="3" t="s">
        <v>807</v>
      </c>
      <c r="D366" s="3" t="s">
        <v>19</v>
      </c>
      <c r="E366" s="3" t="s">
        <v>60</v>
      </c>
      <c r="F366" s="3" t="s">
        <v>68</v>
      </c>
      <c r="G366" s="3" t="s">
        <v>32</v>
      </c>
      <c r="H366" s="3" t="s">
        <v>73</v>
      </c>
      <c r="I366" s="3" t="s">
        <v>114</v>
      </c>
      <c r="J366" s="3">
        <v>4</v>
      </c>
      <c r="K366" s="5">
        <v>10196.59</v>
      </c>
      <c r="L366" s="5">
        <v>36707.72</v>
      </c>
      <c r="M366" s="6">
        <v>10</v>
      </c>
      <c r="N366" s="5">
        <v>1034.0899999999999</v>
      </c>
      <c r="O366" s="5">
        <v>314.14</v>
      </c>
      <c r="P366" s="3" t="s">
        <v>35</v>
      </c>
      <c r="Q366" s="3" t="s">
        <v>65</v>
      </c>
      <c r="R366" s="30">
        <f t="shared" si="5"/>
        <v>2.8170913366452614E-2</v>
      </c>
    </row>
    <row r="367" spans="1:18" x14ac:dyDescent="0.35">
      <c r="A367" s="7" t="s">
        <v>808</v>
      </c>
      <c r="B367" s="8">
        <v>45591</v>
      </c>
      <c r="C367" s="7" t="s">
        <v>809</v>
      </c>
      <c r="D367" s="7" t="s">
        <v>19</v>
      </c>
      <c r="E367" s="7" t="s">
        <v>40</v>
      </c>
      <c r="F367" s="7" t="s">
        <v>41</v>
      </c>
      <c r="G367" s="7" t="s">
        <v>32</v>
      </c>
      <c r="H367" s="7" t="s">
        <v>33</v>
      </c>
      <c r="I367" s="7" t="s">
        <v>470</v>
      </c>
      <c r="J367" s="7">
        <v>2</v>
      </c>
      <c r="K367" s="9">
        <v>1342.26</v>
      </c>
      <c r="L367" s="9">
        <v>2550.29</v>
      </c>
      <c r="M367" s="10">
        <v>5</v>
      </c>
      <c r="N367" s="9">
        <v>459.72</v>
      </c>
      <c r="O367" s="9">
        <v>229.9</v>
      </c>
      <c r="P367" s="7" t="s">
        <v>64</v>
      </c>
      <c r="Q367" s="7" t="s">
        <v>57</v>
      </c>
      <c r="R367" s="30">
        <f t="shared" si="5"/>
        <v>0.18026185257362889</v>
      </c>
    </row>
    <row r="368" spans="1:18" x14ac:dyDescent="0.35">
      <c r="A368" s="3" t="s">
        <v>810</v>
      </c>
      <c r="B368" s="4">
        <v>45592</v>
      </c>
      <c r="C368" s="3" t="s">
        <v>811</v>
      </c>
      <c r="D368" s="3" t="s">
        <v>39</v>
      </c>
      <c r="E368" s="3" t="s">
        <v>30</v>
      </c>
      <c r="F368" s="3" t="s">
        <v>226</v>
      </c>
      <c r="G368" s="3" t="s">
        <v>42</v>
      </c>
      <c r="H368" s="3" t="s">
        <v>172</v>
      </c>
      <c r="I368" s="3" t="s">
        <v>223</v>
      </c>
      <c r="J368" s="3">
        <v>1</v>
      </c>
      <c r="K368" s="5">
        <v>879.17</v>
      </c>
      <c r="L368" s="5">
        <v>879.17</v>
      </c>
      <c r="M368" s="6">
        <v>0</v>
      </c>
      <c r="N368" s="5">
        <v>82.62</v>
      </c>
      <c r="O368" s="5">
        <v>139.06</v>
      </c>
      <c r="P368" s="3" t="s">
        <v>83</v>
      </c>
      <c r="Q368" s="3" t="s">
        <v>26</v>
      </c>
      <c r="R368" s="30">
        <f t="shared" si="5"/>
        <v>9.3974999146922672E-2</v>
      </c>
    </row>
    <row r="369" spans="1:18" x14ac:dyDescent="0.35">
      <c r="A369" s="7" t="s">
        <v>812</v>
      </c>
      <c r="B369" s="8">
        <v>45592</v>
      </c>
      <c r="C369" s="7" t="s">
        <v>408</v>
      </c>
      <c r="D369" s="7" t="s">
        <v>29</v>
      </c>
      <c r="E369" s="7" t="s">
        <v>60</v>
      </c>
      <c r="F369" s="7" t="s">
        <v>72</v>
      </c>
      <c r="G369" s="7" t="s">
        <v>117</v>
      </c>
      <c r="H369" s="7" t="s">
        <v>125</v>
      </c>
      <c r="I369" s="7" t="s">
        <v>126</v>
      </c>
      <c r="J369" s="7">
        <v>3</v>
      </c>
      <c r="K369" s="9">
        <v>1852.39</v>
      </c>
      <c r="L369" s="9">
        <v>4167.88</v>
      </c>
      <c r="M369" s="10">
        <v>25</v>
      </c>
      <c r="N369" s="9">
        <v>710.77</v>
      </c>
      <c r="O369" s="9">
        <v>72.98</v>
      </c>
      <c r="P369" s="7" t="s">
        <v>25</v>
      </c>
      <c r="Q369" s="7" t="s">
        <v>57</v>
      </c>
      <c r="R369" s="30">
        <f t="shared" si="5"/>
        <v>0.1705351401671833</v>
      </c>
    </row>
    <row r="370" spans="1:18" x14ac:dyDescent="0.35">
      <c r="A370" s="3" t="s">
        <v>813</v>
      </c>
      <c r="B370" s="4">
        <v>45592</v>
      </c>
      <c r="C370" s="3" t="s">
        <v>814</v>
      </c>
      <c r="D370" s="3" t="s">
        <v>39</v>
      </c>
      <c r="E370" s="3" t="s">
        <v>40</v>
      </c>
      <c r="F370" s="3" t="s">
        <v>41</v>
      </c>
      <c r="G370" s="3" t="s">
        <v>117</v>
      </c>
      <c r="H370" s="3" t="s">
        <v>125</v>
      </c>
      <c r="I370" s="3" t="s">
        <v>217</v>
      </c>
      <c r="J370" s="3">
        <v>4</v>
      </c>
      <c r="K370" s="5">
        <v>1932.77</v>
      </c>
      <c r="L370" s="5">
        <v>7344.53</v>
      </c>
      <c r="M370" s="6">
        <v>5</v>
      </c>
      <c r="N370" s="5">
        <v>1660.83</v>
      </c>
      <c r="O370" s="5">
        <v>195.4</v>
      </c>
      <c r="P370" s="3" t="s">
        <v>64</v>
      </c>
      <c r="Q370" s="3" t="s">
        <v>65</v>
      </c>
      <c r="R370" s="30">
        <f t="shared" si="5"/>
        <v>0.22613155641000854</v>
      </c>
    </row>
    <row r="371" spans="1:18" x14ac:dyDescent="0.35">
      <c r="A371" s="7" t="s">
        <v>815</v>
      </c>
      <c r="B371" s="8">
        <v>45593</v>
      </c>
      <c r="C371" s="7" t="s">
        <v>338</v>
      </c>
      <c r="D371" s="7" t="s">
        <v>19</v>
      </c>
      <c r="E371" s="7" t="s">
        <v>30</v>
      </c>
      <c r="F371" s="7" t="s">
        <v>48</v>
      </c>
      <c r="G371" s="7" t="s">
        <v>32</v>
      </c>
      <c r="H371" s="7" t="s">
        <v>86</v>
      </c>
      <c r="I371" s="7" t="s">
        <v>87</v>
      </c>
      <c r="J371" s="7">
        <v>2</v>
      </c>
      <c r="K371" s="9">
        <v>7533.42</v>
      </c>
      <c r="L371" s="9">
        <v>14313.5</v>
      </c>
      <c r="M371" s="10">
        <v>5</v>
      </c>
      <c r="N371" s="9">
        <v>1954.63</v>
      </c>
      <c r="O371" s="9">
        <v>277.35000000000002</v>
      </c>
      <c r="P371" s="7" t="s">
        <v>64</v>
      </c>
      <c r="Q371" s="7" t="s">
        <v>57</v>
      </c>
      <c r="R371" s="30">
        <f t="shared" si="5"/>
        <v>0.13655849372969575</v>
      </c>
    </row>
    <row r="372" spans="1:18" x14ac:dyDescent="0.35">
      <c r="A372" s="3" t="s">
        <v>816</v>
      </c>
      <c r="B372" s="4">
        <v>45593</v>
      </c>
      <c r="C372" s="3" t="s">
        <v>817</v>
      </c>
      <c r="D372" s="3" t="s">
        <v>39</v>
      </c>
      <c r="E372" s="3" t="s">
        <v>20</v>
      </c>
      <c r="F372" s="3" t="s">
        <v>54</v>
      </c>
      <c r="G372" s="3" t="s">
        <v>22</v>
      </c>
      <c r="H372" s="3" t="s">
        <v>105</v>
      </c>
      <c r="I372" s="3" t="s">
        <v>251</v>
      </c>
      <c r="J372" s="3">
        <v>2</v>
      </c>
      <c r="K372" s="5">
        <v>47677.71</v>
      </c>
      <c r="L372" s="5">
        <v>85819.88</v>
      </c>
      <c r="M372" s="6">
        <v>10</v>
      </c>
      <c r="N372" s="5">
        <v>6277.21</v>
      </c>
      <c r="O372" s="5">
        <v>101.78</v>
      </c>
      <c r="P372" s="3" t="s">
        <v>35</v>
      </c>
      <c r="Q372" s="3" t="s">
        <v>36</v>
      </c>
      <c r="R372" s="30">
        <f t="shared" si="5"/>
        <v>7.314400812492397E-2</v>
      </c>
    </row>
    <row r="373" spans="1:18" x14ac:dyDescent="0.35">
      <c r="A373" s="7" t="s">
        <v>818</v>
      </c>
      <c r="B373" s="8">
        <v>45593</v>
      </c>
      <c r="C373" s="7" t="s">
        <v>819</v>
      </c>
      <c r="D373" s="7" t="s">
        <v>29</v>
      </c>
      <c r="E373" s="7" t="s">
        <v>60</v>
      </c>
      <c r="F373" s="7" t="s">
        <v>61</v>
      </c>
      <c r="G373" s="7" t="s">
        <v>117</v>
      </c>
      <c r="H373" s="7" t="s">
        <v>118</v>
      </c>
      <c r="I373" s="7" t="s">
        <v>279</v>
      </c>
      <c r="J373" s="7">
        <v>1</v>
      </c>
      <c r="K373" s="9">
        <v>718.75</v>
      </c>
      <c r="L373" s="9">
        <v>718.75</v>
      </c>
      <c r="M373" s="10">
        <v>0</v>
      </c>
      <c r="N373" s="9">
        <v>195.95</v>
      </c>
      <c r="O373" s="9">
        <v>150.61000000000001</v>
      </c>
      <c r="P373" s="7" t="s">
        <v>35</v>
      </c>
      <c r="Q373" s="7" t="s">
        <v>26</v>
      </c>
      <c r="R373" s="30">
        <f t="shared" si="5"/>
        <v>0.27262608695652174</v>
      </c>
    </row>
    <row r="374" spans="1:18" x14ac:dyDescent="0.35">
      <c r="A374" s="3" t="s">
        <v>820</v>
      </c>
      <c r="B374" s="4">
        <v>45594</v>
      </c>
      <c r="C374" s="3" t="s">
        <v>790</v>
      </c>
      <c r="D374" s="3" t="s">
        <v>29</v>
      </c>
      <c r="E374" s="3" t="s">
        <v>60</v>
      </c>
      <c r="F374" s="3" t="s">
        <v>72</v>
      </c>
      <c r="G374" s="3" t="s">
        <v>22</v>
      </c>
      <c r="H374" s="3" t="s">
        <v>624</v>
      </c>
      <c r="I374" s="3" t="s">
        <v>640</v>
      </c>
      <c r="J374" s="3">
        <v>1</v>
      </c>
      <c r="K374" s="5">
        <v>2807.7</v>
      </c>
      <c r="L374" s="5">
        <v>2246.16</v>
      </c>
      <c r="M374" s="6">
        <v>20</v>
      </c>
      <c r="N374" s="5">
        <v>-125.14</v>
      </c>
      <c r="O374" s="5">
        <v>143.55000000000001</v>
      </c>
      <c r="P374" s="3" t="s">
        <v>35</v>
      </c>
      <c r="Q374" s="3" t="s">
        <v>26</v>
      </c>
      <c r="R374" s="30">
        <f t="shared" si="5"/>
        <v>-5.571286106065463E-2</v>
      </c>
    </row>
    <row r="375" spans="1:18" x14ac:dyDescent="0.35">
      <c r="A375" s="7" t="s">
        <v>821</v>
      </c>
      <c r="B375" s="8">
        <v>45594</v>
      </c>
      <c r="C375" s="7" t="s">
        <v>822</v>
      </c>
      <c r="D375" s="7" t="s">
        <v>19</v>
      </c>
      <c r="E375" s="7" t="s">
        <v>40</v>
      </c>
      <c r="F375" s="7" t="s">
        <v>109</v>
      </c>
      <c r="G375" s="7" t="s">
        <v>117</v>
      </c>
      <c r="H375" s="7" t="s">
        <v>125</v>
      </c>
      <c r="I375" s="7" t="s">
        <v>454</v>
      </c>
      <c r="J375" s="7">
        <v>4</v>
      </c>
      <c r="K375" s="9">
        <v>337.87</v>
      </c>
      <c r="L375" s="9">
        <v>1148.76</v>
      </c>
      <c r="M375" s="10">
        <v>15</v>
      </c>
      <c r="N375" s="9">
        <v>215.08</v>
      </c>
      <c r="O375" s="9">
        <v>116.91</v>
      </c>
      <c r="P375" s="7" t="s">
        <v>64</v>
      </c>
      <c r="Q375" s="7" t="s">
        <v>57</v>
      </c>
      <c r="R375" s="30">
        <f t="shared" si="5"/>
        <v>0.18722796754761659</v>
      </c>
    </row>
    <row r="376" spans="1:18" x14ac:dyDescent="0.35">
      <c r="A376" s="3" t="s">
        <v>823</v>
      </c>
      <c r="B376" s="4">
        <v>45594</v>
      </c>
      <c r="C376" s="3" t="s">
        <v>824</v>
      </c>
      <c r="D376" s="3" t="s">
        <v>39</v>
      </c>
      <c r="E376" s="3" t="s">
        <v>30</v>
      </c>
      <c r="F376" s="3" t="s">
        <v>226</v>
      </c>
      <c r="G376" s="3" t="s">
        <v>32</v>
      </c>
      <c r="H376" s="3" t="s">
        <v>143</v>
      </c>
      <c r="I376" s="3" t="s">
        <v>516</v>
      </c>
      <c r="J376" s="3">
        <v>1</v>
      </c>
      <c r="K376" s="5">
        <v>3122.22</v>
      </c>
      <c r="L376" s="5">
        <v>2966.11</v>
      </c>
      <c r="M376" s="6">
        <v>5</v>
      </c>
      <c r="N376" s="5">
        <v>672.95</v>
      </c>
      <c r="O376" s="5">
        <v>312.79000000000002</v>
      </c>
      <c r="P376" s="3" t="s">
        <v>35</v>
      </c>
      <c r="Q376" s="3" t="s">
        <v>26</v>
      </c>
      <c r="R376" s="30">
        <f t="shared" si="5"/>
        <v>0.22687965045126446</v>
      </c>
    </row>
    <row r="377" spans="1:18" x14ac:dyDescent="0.35">
      <c r="A377" s="7" t="s">
        <v>825</v>
      </c>
      <c r="B377" s="8">
        <v>45594</v>
      </c>
      <c r="C377" s="7" t="s">
        <v>826</v>
      </c>
      <c r="D377" s="7" t="s">
        <v>29</v>
      </c>
      <c r="E377" s="7" t="s">
        <v>60</v>
      </c>
      <c r="F377" s="7" t="s">
        <v>61</v>
      </c>
      <c r="G377" s="7" t="s">
        <v>22</v>
      </c>
      <c r="H377" s="7" t="s">
        <v>105</v>
      </c>
      <c r="I377" s="7" t="s">
        <v>629</v>
      </c>
      <c r="J377" s="7">
        <v>1</v>
      </c>
      <c r="K377" s="9">
        <v>44911.57</v>
      </c>
      <c r="L377" s="9">
        <v>44911.57</v>
      </c>
      <c r="M377" s="10">
        <v>0</v>
      </c>
      <c r="N377" s="9">
        <v>3747.18</v>
      </c>
      <c r="O377" s="9">
        <v>129.13999999999999</v>
      </c>
      <c r="P377" s="7" t="s">
        <v>35</v>
      </c>
      <c r="Q377" s="7" t="s">
        <v>26</v>
      </c>
      <c r="R377" s="30">
        <f t="shared" si="5"/>
        <v>8.343462497525693E-2</v>
      </c>
    </row>
    <row r="378" spans="1:18" x14ac:dyDescent="0.35">
      <c r="A378" s="3" t="s">
        <v>827</v>
      </c>
      <c r="B378" s="4">
        <v>45595</v>
      </c>
      <c r="C378" s="3" t="s">
        <v>828</v>
      </c>
      <c r="D378" s="3" t="s">
        <v>39</v>
      </c>
      <c r="E378" s="3" t="s">
        <v>30</v>
      </c>
      <c r="F378" s="3" t="s">
        <v>48</v>
      </c>
      <c r="G378" s="3" t="s">
        <v>134</v>
      </c>
      <c r="H378" s="3" t="s">
        <v>139</v>
      </c>
      <c r="I378" s="3" t="s">
        <v>587</v>
      </c>
      <c r="J378" s="3">
        <v>1</v>
      </c>
      <c r="K378" s="5">
        <v>693.42</v>
      </c>
      <c r="L378" s="5">
        <v>485.39</v>
      </c>
      <c r="M378" s="6">
        <v>30</v>
      </c>
      <c r="N378" s="5">
        <v>18.149999999999999</v>
      </c>
      <c r="O378" s="5">
        <v>126.78</v>
      </c>
      <c r="P378" s="3" t="s">
        <v>25</v>
      </c>
      <c r="Q378" s="3" t="s">
        <v>26</v>
      </c>
      <c r="R378" s="30">
        <f t="shared" si="5"/>
        <v>3.7392612126331402E-2</v>
      </c>
    </row>
    <row r="379" spans="1:18" x14ac:dyDescent="0.35">
      <c r="A379" s="7" t="s">
        <v>829</v>
      </c>
      <c r="B379" s="8">
        <v>45595</v>
      </c>
      <c r="C379" s="7" t="s">
        <v>557</v>
      </c>
      <c r="D379" s="7" t="s">
        <v>39</v>
      </c>
      <c r="E379" s="7" t="s">
        <v>20</v>
      </c>
      <c r="F379" s="7" t="s">
        <v>129</v>
      </c>
      <c r="G379" s="7" t="s">
        <v>32</v>
      </c>
      <c r="H379" s="7" t="s">
        <v>33</v>
      </c>
      <c r="I379" s="7" t="s">
        <v>449</v>
      </c>
      <c r="J379" s="7">
        <v>3</v>
      </c>
      <c r="K379" s="9">
        <v>7954.3</v>
      </c>
      <c r="L379" s="9">
        <v>22669.759999999998</v>
      </c>
      <c r="M379" s="10">
        <v>5</v>
      </c>
      <c r="N379" s="9">
        <v>3560.33</v>
      </c>
      <c r="O379" s="9">
        <v>94.11</v>
      </c>
      <c r="P379" s="7" t="s">
        <v>25</v>
      </c>
      <c r="Q379" s="7" t="s">
        <v>26</v>
      </c>
      <c r="R379" s="30">
        <f t="shared" si="5"/>
        <v>0.15705194938102565</v>
      </c>
    </row>
    <row r="380" spans="1:18" x14ac:dyDescent="0.35">
      <c r="A380" s="3" t="s">
        <v>830</v>
      </c>
      <c r="B380" s="4">
        <v>45595</v>
      </c>
      <c r="C380" s="3" t="s">
        <v>608</v>
      </c>
      <c r="D380" s="3" t="s">
        <v>39</v>
      </c>
      <c r="E380" s="3" t="s">
        <v>30</v>
      </c>
      <c r="F380" s="3" t="s">
        <v>226</v>
      </c>
      <c r="G380" s="3" t="s">
        <v>49</v>
      </c>
      <c r="H380" s="3" t="s">
        <v>98</v>
      </c>
      <c r="I380" s="3" t="s">
        <v>763</v>
      </c>
      <c r="J380" s="3">
        <v>1</v>
      </c>
      <c r="K380" s="5">
        <v>4923.68</v>
      </c>
      <c r="L380" s="5">
        <v>4923.68</v>
      </c>
      <c r="M380" s="6">
        <v>0</v>
      </c>
      <c r="N380" s="5">
        <v>837.62</v>
      </c>
      <c r="O380" s="5">
        <v>35.04</v>
      </c>
      <c r="P380" s="3" t="s">
        <v>35</v>
      </c>
      <c r="Q380" s="3" t="s">
        <v>26</v>
      </c>
      <c r="R380" s="30">
        <f t="shared" si="5"/>
        <v>0.17012072271146783</v>
      </c>
    </row>
    <row r="381" spans="1:18" x14ac:dyDescent="0.35">
      <c r="A381" s="7" t="s">
        <v>831</v>
      </c>
      <c r="B381" s="8">
        <v>45596</v>
      </c>
      <c r="C381" s="7" t="s">
        <v>832</v>
      </c>
      <c r="D381" s="7" t="s">
        <v>19</v>
      </c>
      <c r="E381" s="7" t="s">
        <v>40</v>
      </c>
      <c r="F381" s="7" t="s">
        <v>109</v>
      </c>
      <c r="G381" s="7" t="s">
        <v>32</v>
      </c>
      <c r="H381" s="7" t="s">
        <v>86</v>
      </c>
      <c r="I381" s="7" t="s">
        <v>211</v>
      </c>
      <c r="J381" s="7">
        <v>3</v>
      </c>
      <c r="K381" s="9">
        <v>8242.82</v>
      </c>
      <c r="L381" s="9">
        <v>21019.19</v>
      </c>
      <c r="M381" s="10">
        <v>15</v>
      </c>
      <c r="N381" s="9">
        <v>863.41</v>
      </c>
      <c r="O381" s="9">
        <v>236.15</v>
      </c>
      <c r="P381" s="7" t="s">
        <v>64</v>
      </c>
      <c r="Q381" s="7" t="s">
        <v>36</v>
      </c>
      <c r="R381" s="30">
        <f t="shared" si="5"/>
        <v>4.1077225145212545E-2</v>
      </c>
    </row>
    <row r="382" spans="1:18" x14ac:dyDescent="0.35">
      <c r="A382" s="3" t="s">
        <v>833</v>
      </c>
      <c r="B382" s="4">
        <v>45596</v>
      </c>
      <c r="C382" s="3" t="s">
        <v>620</v>
      </c>
      <c r="D382" s="3" t="s">
        <v>39</v>
      </c>
      <c r="E382" s="3" t="s">
        <v>30</v>
      </c>
      <c r="F382" s="3" t="s">
        <v>31</v>
      </c>
      <c r="G382" s="3" t="s">
        <v>42</v>
      </c>
      <c r="H382" s="3" t="s">
        <v>43</v>
      </c>
      <c r="I382" s="3" t="s">
        <v>44</v>
      </c>
      <c r="J382" s="3">
        <v>4</v>
      </c>
      <c r="K382" s="5">
        <v>189.22</v>
      </c>
      <c r="L382" s="5">
        <v>605.5</v>
      </c>
      <c r="M382" s="6">
        <v>20</v>
      </c>
      <c r="N382" s="5">
        <v>28.98</v>
      </c>
      <c r="O382" s="5">
        <v>338.23</v>
      </c>
      <c r="P382" s="3" t="s">
        <v>45</v>
      </c>
      <c r="Q382" s="3" t="s">
        <v>26</v>
      </c>
      <c r="R382" s="30">
        <f t="shared" si="5"/>
        <v>4.7861271676300582E-2</v>
      </c>
    </row>
    <row r="383" spans="1:18" x14ac:dyDescent="0.35">
      <c r="A383" s="7" t="s">
        <v>834</v>
      </c>
      <c r="B383" s="8">
        <v>45596</v>
      </c>
      <c r="C383" s="7" t="s">
        <v>835</v>
      </c>
      <c r="D383" s="7" t="s">
        <v>29</v>
      </c>
      <c r="E383" s="7" t="s">
        <v>60</v>
      </c>
      <c r="F383" s="7" t="s">
        <v>61</v>
      </c>
      <c r="G383" s="7" t="s">
        <v>49</v>
      </c>
      <c r="H383" s="7" t="s">
        <v>91</v>
      </c>
      <c r="I383" s="7" t="s">
        <v>206</v>
      </c>
      <c r="J383" s="7">
        <v>1</v>
      </c>
      <c r="K383" s="9">
        <v>8147.57</v>
      </c>
      <c r="L383" s="9">
        <v>7740.19</v>
      </c>
      <c r="M383" s="10">
        <v>5</v>
      </c>
      <c r="N383" s="9">
        <v>1116.04</v>
      </c>
      <c r="O383" s="9">
        <v>298.33999999999997</v>
      </c>
      <c r="P383" s="7" t="s">
        <v>64</v>
      </c>
      <c r="Q383" s="7" t="s">
        <v>26</v>
      </c>
      <c r="R383" s="30">
        <f t="shared" si="5"/>
        <v>0.14418767497955476</v>
      </c>
    </row>
    <row r="384" spans="1:18" x14ac:dyDescent="0.35">
      <c r="A384" s="3" t="s">
        <v>836</v>
      </c>
      <c r="B384" s="4">
        <v>45596</v>
      </c>
      <c r="C384" s="3" t="s">
        <v>571</v>
      </c>
      <c r="D384" s="3" t="s">
        <v>39</v>
      </c>
      <c r="E384" s="3" t="s">
        <v>60</v>
      </c>
      <c r="F384" s="3" t="s">
        <v>68</v>
      </c>
      <c r="G384" s="3" t="s">
        <v>117</v>
      </c>
      <c r="H384" s="3" t="s">
        <v>125</v>
      </c>
      <c r="I384" s="3" t="s">
        <v>454</v>
      </c>
      <c r="J384" s="3">
        <v>3</v>
      </c>
      <c r="K384" s="5">
        <v>1761.46</v>
      </c>
      <c r="L384" s="5">
        <v>4755.9399999999996</v>
      </c>
      <c r="M384" s="6">
        <v>10</v>
      </c>
      <c r="N384" s="5">
        <v>1174.08</v>
      </c>
      <c r="O384" s="5">
        <v>334.34</v>
      </c>
      <c r="P384" s="3" t="s">
        <v>45</v>
      </c>
      <c r="Q384" s="3" t="s">
        <v>57</v>
      </c>
      <c r="R384" s="30">
        <f t="shared" si="5"/>
        <v>0.24686602438214109</v>
      </c>
    </row>
    <row r="385" spans="1:18" x14ac:dyDescent="0.35">
      <c r="A385" s="7" t="s">
        <v>837</v>
      </c>
      <c r="B385" s="8">
        <v>45597</v>
      </c>
      <c r="C385" s="7" t="s">
        <v>582</v>
      </c>
      <c r="D385" s="7" t="s">
        <v>29</v>
      </c>
      <c r="E385" s="7" t="s">
        <v>20</v>
      </c>
      <c r="F385" s="7" t="s">
        <v>21</v>
      </c>
      <c r="G385" s="7" t="s">
        <v>42</v>
      </c>
      <c r="H385" s="7" t="s">
        <v>43</v>
      </c>
      <c r="I385" s="7" t="s">
        <v>44</v>
      </c>
      <c r="J385" s="7">
        <v>3</v>
      </c>
      <c r="K385" s="9">
        <v>1090.8399999999999</v>
      </c>
      <c r="L385" s="9">
        <v>2454.39</v>
      </c>
      <c r="M385" s="10">
        <v>25</v>
      </c>
      <c r="N385" s="9">
        <v>-140.97999999999999</v>
      </c>
      <c r="O385" s="9">
        <v>321.77</v>
      </c>
      <c r="P385" s="7" t="s">
        <v>64</v>
      </c>
      <c r="Q385" s="7" t="s">
        <v>65</v>
      </c>
      <c r="R385" s="30">
        <f t="shared" si="5"/>
        <v>-5.7439934158793018E-2</v>
      </c>
    </row>
    <row r="386" spans="1:18" x14ac:dyDescent="0.35">
      <c r="A386" s="3" t="s">
        <v>838</v>
      </c>
      <c r="B386" s="4">
        <v>45597</v>
      </c>
      <c r="C386" s="3" t="s">
        <v>839</v>
      </c>
      <c r="D386" s="3" t="s">
        <v>39</v>
      </c>
      <c r="E386" s="3" t="s">
        <v>30</v>
      </c>
      <c r="F386" s="3" t="s">
        <v>48</v>
      </c>
      <c r="G386" s="3" t="s">
        <v>49</v>
      </c>
      <c r="H386" s="3" t="s">
        <v>50</v>
      </c>
      <c r="I386" s="3" t="s">
        <v>95</v>
      </c>
      <c r="J386" s="3">
        <v>2</v>
      </c>
      <c r="K386" s="5">
        <v>6231.42</v>
      </c>
      <c r="L386" s="5">
        <v>11216.56</v>
      </c>
      <c r="M386" s="6">
        <v>10</v>
      </c>
      <c r="N386" s="5">
        <v>1102.94</v>
      </c>
      <c r="O386" s="5">
        <v>170.36</v>
      </c>
      <c r="P386" s="3" t="s">
        <v>35</v>
      </c>
      <c r="Q386" s="3" t="s">
        <v>26</v>
      </c>
      <c r="R386" s="30">
        <f t="shared" si="5"/>
        <v>9.8331395722039569E-2</v>
      </c>
    </row>
    <row r="387" spans="1:18" x14ac:dyDescent="0.35">
      <c r="A387" s="7" t="s">
        <v>840</v>
      </c>
      <c r="B387" s="8">
        <v>45597</v>
      </c>
      <c r="C387" s="7" t="s">
        <v>623</v>
      </c>
      <c r="D387" s="7" t="s">
        <v>19</v>
      </c>
      <c r="E387" s="7" t="s">
        <v>30</v>
      </c>
      <c r="F387" s="7" t="s">
        <v>48</v>
      </c>
      <c r="G387" s="7" t="s">
        <v>32</v>
      </c>
      <c r="H387" s="7" t="s">
        <v>86</v>
      </c>
      <c r="I387" s="7" t="s">
        <v>211</v>
      </c>
      <c r="J387" s="7">
        <v>1</v>
      </c>
      <c r="K387" s="9">
        <v>11885.72</v>
      </c>
      <c r="L387" s="9">
        <v>10697.15</v>
      </c>
      <c r="M387" s="10">
        <v>10</v>
      </c>
      <c r="N387" s="9">
        <v>969.94</v>
      </c>
      <c r="O387" s="9">
        <v>237.22</v>
      </c>
      <c r="P387" s="7" t="s">
        <v>35</v>
      </c>
      <c r="Q387" s="7" t="s">
        <v>26</v>
      </c>
      <c r="R387" s="30">
        <f t="shared" ref="R387:R450" si="6">N387/L387</f>
        <v>9.0672749283687723E-2</v>
      </c>
    </row>
    <row r="388" spans="1:18" x14ac:dyDescent="0.35">
      <c r="A388" s="3" t="s">
        <v>841</v>
      </c>
      <c r="B388" s="4">
        <v>45598</v>
      </c>
      <c r="C388" s="3" t="s">
        <v>768</v>
      </c>
      <c r="D388" s="3" t="s">
        <v>39</v>
      </c>
      <c r="E388" s="3" t="s">
        <v>30</v>
      </c>
      <c r="F388" s="3" t="s">
        <v>31</v>
      </c>
      <c r="G388" s="3" t="s">
        <v>42</v>
      </c>
      <c r="H388" s="3" t="s">
        <v>164</v>
      </c>
      <c r="I388" s="3" t="s">
        <v>165</v>
      </c>
      <c r="J388" s="3">
        <v>5</v>
      </c>
      <c r="K388" s="5">
        <v>622.87</v>
      </c>
      <c r="L388" s="5">
        <v>2802.91</v>
      </c>
      <c r="M388" s="6">
        <v>10</v>
      </c>
      <c r="N388" s="5">
        <v>187.92</v>
      </c>
      <c r="O388" s="5">
        <v>329.62</v>
      </c>
      <c r="P388" s="3" t="s">
        <v>25</v>
      </c>
      <c r="Q388" s="3" t="s">
        <v>36</v>
      </c>
      <c r="R388" s="30">
        <f t="shared" si="6"/>
        <v>6.7044607211790605E-2</v>
      </c>
    </row>
    <row r="389" spans="1:18" x14ac:dyDescent="0.35">
      <c r="A389" s="7" t="s">
        <v>842</v>
      </c>
      <c r="B389" s="8">
        <v>45598</v>
      </c>
      <c r="C389" s="7" t="s">
        <v>843</v>
      </c>
      <c r="D389" s="7" t="s">
        <v>19</v>
      </c>
      <c r="E389" s="7" t="s">
        <v>60</v>
      </c>
      <c r="F389" s="7" t="s">
        <v>104</v>
      </c>
      <c r="G389" s="7" t="s">
        <v>49</v>
      </c>
      <c r="H389" s="7" t="s">
        <v>62</v>
      </c>
      <c r="I389" s="7" t="s">
        <v>63</v>
      </c>
      <c r="J389" s="7">
        <v>2</v>
      </c>
      <c r="K389" s="9">
        <v>3215.68</v>
      </c>
      <c r="L389" s="9">
        <v>5788.22</v>
      </c>
      <c r="M389" s="10">
        <v>10</v>
      </c>
      <c r="N389" s="9">
        <v>1178.0899999999999</v>
      </c>
      <c r="O389" s="9">
        <v>133.46</v>
      </c>
      <c r="P389" s="7" t="s">
        <v>64</v>
      </c>
      <c r="Q389" s="7" t="s">
        <v>26</v>
      </c>
      <c r="R389" s="30">
        <f t="shared" si="6"/>
        <v>0.20353234673181045</v>
      </c>
    </row>
    <row r="390" spans="1:18" x14ac:dyDescent="0.35">
      <c r="A390" s="3" t="s">
        <v>844</v>
      </c>
      <c r="B390" s="4">
        <v>45598</v>
      </c>
      <c r="C390" s="3" t="s">
        <v>403</v>
      </c>
      <c r="D390" s="3" t="s">
        <v>39</v>
      </c>
      <c r="E390" s="3" t="s">
        <v>60</v>
      </c>
      <c r="F390" s="3" t="s">
        <v>68</v>
      </c>
      <c r="G390" s="3" t="s">
        <v>117</v>
      </c>
      <c r="H390" s="3" t="s">
        <v>125</v>
      </c>
      <c r="I390" s="3" t="s">
        <v>196</v>
      </c>
      <c r="J390" s="3">
        <v>1</v>
      </c>
      <c r="K390" s="5">
        <v>254.27</v>
      </c>
      <c r="L390" s="5">
        <v>241.56</v>
      </c>
      <c r="M390" s="6">
        <v>5</v>
      </c>
      <c r="N390" s="5">
        <v>84.44</v>
      </c>
      <c r="O390" s="5">
        <v>317.54000000000002</v>
      </c>
      <c r="P390" s="3" t="s">
        <v>64</v>
      </c>
      <c r="Q390" s="3" t="s">
        <v>57</v>
      </c>
      <c r="R390" s="30">
        <f t="shared" si="6"/>
        <v>0.34956118562675936</v>
      </c>
    </row>
    <row r="391" spans="1:18" x14ac:dyDescent="0.35">
      <c r="A391" s="7" t="s">
        <v>845</v>
      </c>
      <c r="B391" s="8">
        <v>45599</v>
      </c>
      <c r="C391" s="7" t="s">
        <v>631</v>
      </c>
      <c r="D391" s="7" t="s">
        <v>19</v>
      </c>
      <c r="E391" s="7" t="s">
        <v>30</v>
      </c>
      <c r="F391" s="7" t="s">
        <v>226</v>
      </c>
      <c r="G391" s="7" t="s">
        <v>134</v>
      </c>
      <c r="H391" s="7" t="s">
        <v>139</v>
      </c>
      <c r="I391" s="7" t="s">
        <v>147</v>
      </c>
      <c r="J391" s="7">
        <v>3</v>
      </c>
      <c r="K391" s="9">
        <v>3259.66</v>
      </c>
      <c r="L391" s="9">
        <v>9778.98</v>
      </c>
      <c r="M391" s="10">
        <v>0</v>
      </c>
      <c r="N391" s="9">
        <v>2450.9899999999998</v>
      </c>
      <c r="O391" s="9">
        <v>370.37</v>
      </c>
      <c r="P391" s="7" t="s">
        <v>64</v>
      </c>
      <c r="Q391" s="7" t="s">
        <v>26</v>
      </c>
      <c r="R391" s="30">
        <f t="shared" si="6"/>
        <v>0.25063861466124276</v>
      </c>
    </row>
    <row r="392" spans="1:18" x14ac:dyDescent="0.35">
      <c r="A392" s="3" t="s">
        <v>846</v>
      </c>
      <c r="B392" s="4">
        <v>45599</v>
      </c>
      <c r="C392" s="3" t="s">
        <v>654</v>
      </c>
      <c r="D392" s="3" t="s">
        <v>29</v>
      </c>
      <c r="E392" s="3" t="s">
        <v>40</v>
      </c>
      <c r="F392" s="3" t="s">
        <v>90</v>
      </c>
      <c r="G392" s="3" t="s">
        <v>134</v>
      </c>
      <c r="H392" s="3" t="s">
        <v>91</v>
      </c>
      <c r="I392" s="3" t="s">
        <v>168</v>
      </c>
      <c r="J392" s="3">
        <v>4</v>
      </c>
      <c r="K392" s="5">
        <v>1417.28</v>
      </c>
      <c r="L392" s="5">
        <v>5385.66</v>
      </c>
      <c r="M392" s="6">
        <v>5</v>
      </c>
      <c r="N392" s="5">
        <v>818.02</v>
      </c>
      <c r="O392" s="5">
        <v>122.76</v>
      </c>
      <c r="P392" s="3" t="s">
        <v>83</v>
      </c>
      <c r="Q392" s="3" t="s">
        <v>65</v>
      </c>
      <c r="R392" s="30">
        <f t="shared" si="6"/>
        <v>0.15188853362447685</v>
      </c>
    </row>
    <row r="393" spans="1:18" x14ac:dyDescent="0.35">
      <c r="A393" s="7" t="s">
        <v>847</v>
      </c>
      <c r="B393" s="8">
        <v>45601</v>
      </c>
      <c r="C393" s="7" t="s">
        <v>848</v>
      </c>
      <c r="D393" s="7" t="s">
        <v>19</v>
      </c>
      <c r="E393" s="7" t="s">
        <v>20</v>
      </c>
      <c r="F393" s="7" t="s">
        <v>21</v>
      </c>
      <c r="G393" s="7" t="s">
        <v>42</v>
      </c>
      <c r="H393" s="7" t="s">
        <v>164</v>
      </c>
      <c r="I393" s="7" t="s">
        <v>329</v>
      </c>
      <c r="J393" s="7">
        <v>1</v>
      </c>
      <c r="K393" s="9">
        <v>770.17</v>
      </c>
      <c r="L393" s="9">
        <v>577.63</v>
      </c>
      <c r="M393" s="10">
        <v>25</v>
      </c>
      <c r="N393" s="9">
        <v>-17.28</v>
      </c>
      <c r="O393" s="9">
        <v>204.24</v>
      </c>
      <c r="P393" s="7" t="s">
        <v>45</v>
      </c>
      <c r="Q393" s="7" t="s">
        <v>65</v>
      </c>
      <c r="R393" s="30">
        <f t="shared" si="6"/>
        <v>-2.9915343732146878E-2</v>
      </c>
    </row>
    <row r="394" spans="1:18" x14ac:dyDescent="0.35">
      <c r="A394" s="3" t="s">
        <v>849</v>
      </c>
      <c r="B394" s="4">
        <v>45601</v>
      </c>
      <c r="C394" s="3" t="s">
        <v>582</v>
      </c>
      <c r="D394" s="3" t="s">
        <v>29</v>
      </c>
      <c r="E394" s="3" t="s">
        <v>30</v>
      </c>
      <c r="F394" s="3" t="s">
        <v>31</v>
      </c>
      <c r="G394" s="3" t="s">
        <v>49</v>
      </c>
      <c r="H394" s="3" t="s">
        <v>98</v>
      </c>
      <c r="I394" s="3" t="s">
        <v>299</v>
      </c>
      <c r="J394" s="3">
        <v>2</v>
      </c>
      <c r="K394" s="5">
        <v>1216.94</v>
      </c>
      <c r="L394" s="5">
        <v>2068.8000000000002</v>
      </c>
      <c r="M394" s="6">
        <v>15</v>
      </c>
      <c r="N394" s="5">
        <v>360.18</v>
      </c>
      <c r="O394" s="5">
        <v>363.11</v>
      </c>
      <c r="P394" s="3" t="s">
        <v>64</v>
      </c>
      <c r="Q394" s="3" t="s">
        <v>57</v>
      </c>
      <c r="R394" s="30">
        <f t="shared" si="6"/>
        <v>0.17410092807424593</v>
      </c>
    </row>
    <row r="395" spans="1:18" x14ac:dyDescent="0.35">
      <c r="A395" s="7" t="s">
        <v>850</v>
      </c>
      <c r="B395" s="8">
        <v>45601</v>
      </c>
      <c r="C395" s="7" t="s">
        <v>493</v>
      </c>
      <c r="D395" s="7" t="s">
        <v>39</v>
      </c>
      <c r="E395" s="7" t="s">
        <v>20</v>
      </c>
      <c r="F395" s="7" t="s">
        <v>21</v>
      </c>
      <c r="G395" s="7" t="s">
        <v>32</v>
      </c>
      <c r="H395" s="7" t="s">
        <v>143</v>
      </c>
      <c r="I395" s="7" t="s">
        <v>516</v>
      </c>
      <c r="J395" s="7">
        <v>2</v>
      </c>
      <c r="K395" s="9">
        <v>7449.75</v>
      </c>
      <c r="L395" s="9">
        <v>13409.55</v>
      </c>
      <c r="M395" s="10">
        <v>10</v>
      </c>
      <c r="N395" s="9">
        <v>556.52</v>
      </c>
      <c r="O395" s="9">
        <v>101.49</v>
      </c>
      <c r="P395" s="7" t="s">
        <v>35</v>
      </c>
      <c r="Q395" s="7" t="s">
        <v>26</v>
      </c>
      <c r="R395" s="30">
        <f t="shared" si="6"/>
        <v>4.1501765532773287E-2</v>
      </c>
    </row>
    <row r="396" spans="1:18" x14ac:dyDescent="0.35">
      <c r="A396" s="3" t="s">
        <v>851</v>
      </c>
      <c r="B396" s="4">
        <v>45602</v>
      </c>
      <c r="C396" s="3" t="s">
        <v>852</v>
      </c>
      <c r="D396" s="3" t="s">
        <v>39</v>
      </c>
      <c r="E396" s="3" t="s">
        <v>40</v>
      </c>
      <c r="F396" s="3" t="s">
        <v>90</v>
      </c>
      <c r="G396" s="3" t="s">
        <v>42</v>
      </c>
      <c r="H396" s="3" t="s">
        <v>164</v>
      </c>
      <c r="I396" s="3" t="s">
        <v>853</v>
      </c>
      <c r="J396" s="3">
        <v>2</v>
      </c>
      <c r="K396" s="5">
        <v>756.06</v>
      </c>
      <c r="L396" s="5">
        <v>1360.91</v>
      </c>
      <c r="M396" s="6">
        <v>10</v>
      </c>
      <c r="N396" s="5">
        <v>108.32</v>
      </c>
      <c r="O396" s="5">
        <v>59</v>
      </c>
      <c r="P396" s="3" t="s">
        <v>35</v>
      </c>
      <c r="Q396" s="3" t="s">
        <v>36</v>
      </c>
      <c r="R396" s="30">
        <f t="shared" si="6"/>
        <v>7.9593801206545606E-2</v>
      </c>
    </row>
    <row r="397" spans="1:18" x14ac:dyDescent="0.35">
      <c r="A397" s="7" t="s">
        <v>854</v>
      </c>
      <c r="B397" s="8">
        <v>45602</v>
      </c>
      <c r="C397" s="7" t="s">
        <v>634</v>
      </c>
      <c r="D397" s="7" t="s">
        <v>19</v>
      </c>
      <c r="E397" s="7" t="s">
        <v>20</v>
      </c>
      <c r="F397" s="7" t="s">
        <v>129</v>
      </c>
      <c r="G397" s="7" t="s">
        <v>49</v>
      </c>
      <c r="H397" s="7" t="s">
        <v>91</v>
      </c>
      <c r="I397" s="7" t="s">
        <v>188</v>
      </c>
      <c r="J397" s="7">
        <v>1</v>
      </c>
      <c r="K397" s="9">
        <v>2719.85</v>
      </c>
      <c r="L397" s="9">
        <v>2311.87</v>
      </c>
      <c r="M397" s="10">
        <v>15</v>
      </c>
      <c r="N397" s="9">
        <v>296.52999999999997</v>
      </c>
      <c r="O397" s="9">
        <v>211.3</v>
      </c>
      <c r="P397" s="7" t="s">
        <v>45</v>
      </c>
      <c r="Q397" s="7" t="s">
        <v>26</v>
      </c>
      <c r="R397" s="30">
        <f t="shared" si="6"/>
        <v>0.12826413249879967</v>
      </c>
    </row>
    <row r="398" spans="1:18" x14ac:dyDescent="0.35">
      <c r="A398" s="3" t="s">
        <v>855</v>
      </c>
      <c r="B398" s="4">
        <v>45602</v>
      </c>
      <c r="C398" s="3" t="s">
        <v>180</v>
      </c>
      <c r="D398" s="3" t="s">
        <v>39</v>
      </c>
      <c r="E398" s="3" t="s">
        <v>40</v>
      </c>
      <c r="F398" s="3" t="s">
        <v>77</v>
      </c>
      <c r="G398" s="3" t="s">
        <v>134</v>
      </c>
      <c r="H398" s="3" t="s">
        <v>91</v>
      </c>
      <c r="I398" s="3" t="s">
        <v>188</v>
      </c>
      <c r="J398" s="3">
        <v>1</v>
      </c>
      <c r="K398" s="5">
        <v>1198.6199999999999</v>
      </c>
      <c r="L398" s="5">
        <v>1198.6199999999999</v>
      </c>
      <c r="M398" s="6">
        <v>0</v>
      </c>
      <c r="N398" s="5">
        <v>295.77</v>
      </c>
      <c r="O398" s="5">
        <v>143.61000000000001</v>
      </c>
      <c r="P398" s="3" t="s">
        <v>25</v>
      </c>
      <c r="Q398" s="3" t="s">
        <v>65</v>
      </c>
      <c r="R398" s="30">
        <f t="shared" si="6"/>
        <v>0.24675877258847675</v>
      </c>
    </row>
    <row r="399" spans="1:18" x14ac:dyDescent="0.35">
      <c r="A399" s="7" t="s">
        <v>856</v>
      </c>
      <c r="B399" s="8">
        <v>45602</v>
      </c>
      <c r="C399" s="7" t="s">
        <v>857</v>
      </c>
      <c r="D399" s="7" t="s">
        <v>19</v>
      </c>
      <c r="E399" s="7" t="s">
        <v>20</v>
      </c>
      <c r="F399" s="7" t="s">
        <v>21</v>
      </c>
      <c r="G399" s="7" t="s">
        <v>32</v>
      </c>
      <c r="H399" s="7" t="s">
        <v>143</v>
      </c>
      <c r="I399" s="7" t="s">
        <v>385</v>
      </c>
      <c r="J399" s="7">
        <v>4</v>
      </c>
      <c r="K399" s="9">
        <v>2906.3</v>
      </c>
      <c r="L399" s="9">
        <v>9300.16</v>
      </c>
      <c r="M399" s="10">
        <v>20</v>
      </c>
      <c r="N399" s="9">
        <v>340.94</v>
      </c>
      <c r="O399" s="9">
        <v>333.98</v>
      </c>
      <c r="P399" s="7" t="s">
        <v>64</v>
      </c>
      <c r="Q399" s="7" t="s">
        <v>26</v>
      </c>
      <c r="R399" s="30">
        <f t="shared" si="6"/>
        <v>3.6659584351236965E-2</v>
      </c>
    </row>
    <row r="400" spans="1:18" x14ac:dyDescent="0.35">
      <c r="A400" s="3" t="s">
        <v>858</v>
      </c>
      <c r="B400" s="4">
        <v>45603</v>
      </c>
      <c r="C400" s="3" t="s">
        <v>859</v>
      </c>
      <c r="D400" s="3" t="s">
        <v>19</v>
      </c>
      <c r="E400" s="3" t="s">
        <v>20</v>
      </c>
      <c r="F400" s="3" t="s">
        <v>54</v>
      </c>
      <c r="G400" s="3" t="s">
        <v>42</v>
      </c>
      <c r="H400" s="3" t="s">
        <v>164</v>
      </c>
      <c r="I400" s="3" t="s">
        <v>853</v>
      </c>
      <c r="J400" s="3">
        <v>4</v>
      </c>
      <c r="K400" s="5">
        <v>375.69</v>
      </c>
      <c r="L400" s="5">
        <v>1277.3499999999999</v>
      </c>
      <c r="M400" s="6">
        <v>15</v>
      </c>
      <c r="N400" s="5">
        <v>39.880000000000003</v>
      </c>
      <c r="O400" s="5">
        <v>233.84</v>
      </c>
      <c r="P400" s="3" t="s">
        <v>35</v>
      </c>
      <c r="Q400" s="3" t="s">
        <v>57</v>
      </c>
      <c r="R400" s="30">
        <f t="shared" si="6"/>
        <v>3.1220886992601875E-2</v>
      </c>
    </row>
    <row r="401" spans="1:18" x14ac:dyDescent="0.35">
      <c r="A401" s="7" t="s">
        <v>860</v>
      </c>
      <c r="B401" s="8">
        <v>45603</v>
      </c>
      <c r="C401" s="7" t="s">
        <v>301</v>
      </c>
      <c r="D401" s="7" t="s">
        <v>19</v>
      </c>
      <c r="E401" s="7" t="s">
        <v>30</v>
      </c>
      <c r="F401" s="7" t="s">
        <v>31</v>
      </c>
      <c r="G401" s="7" t="s">
        <v>32</v>
      </c>
      <c r="H401" s="7" t="s">
        <v>143</v>
      </c>
      <c r="I401" s="7" t="s">
        <v>321</v>
      </c>
      <c r="J401" s="7">
        <v>3</v>
      </c>
      <c r="K401" s="9">
        <v>9603.52</v>
      </c>
      <c r="L401" s="9">
        <v>27370.03</v>
      </c>
      <c r="M401" s="10">
        <v>5</v>
      </c>
      <c r="N401" s="9">
        <v>2979.75</v>
      </c>
      <c r="O401" s="9">
        <v>321.04000000000002</v>
      </c>
      <c r="P401" s="7" t="s">
        <v>25</v>
      </c>
      <c r="Q401" s="7" t="s">
        <v>65</v>
      </c>
      <c r="R401" s="30">
        <f t="shared" si="6"/>
        <v>0.10886908052347768</v>
      </c>
    </row>
    <row r="402" spans="1:18" x14ac:dyDescent="0.35">
      <c r="A402" s="3" t="s">
        <v>861</v>
      </c>
      <c r="B402" s="4">
        <v>45604</v>
      </c>
      <c r="C402" s="3" t="s">
        <v>862</v>
      </c>
      <c r="D402" s="3" t="s">
        <v>39</v>
      </c>
      <c r="E402" s="3" t="s">
        <v>60</v>
      </c>
      <c r="F402" s="3" t="s">
        <v>72</v>
      </c>
      <c r="G402" s="3" t="s">
        <v>117</v>
      </c>
      <c r="H402" s="3" t="s">
        <v>125</v>
      </c>
      <c r="I402" s="3" t="s">
        <v>217</v>
      </c>
      <c r="J402" s="3">
        <v>3</v>
      </c>
      <c r="K402" s="5">
        <v>584.20000000000005</v>
      </c>
      <c r="L402" s="5">
        <v>1489.71</v>
      </c>
      <c r="M402" s="6">
        <v>15</v>
      </c>
      <c r="N402" s="5">
        <v>346.14</v>
      </c>
      <c r="O402" s="5">
        <v>211.88</v>
      </c>
      <c r="P402" s="3" t="s">
        <v>25</v>
      </c>
      <c r="Q402" s="3" t="s">
        <v>65</v>
      </c>
      <c r="R402" s="30">
        <f t="shared" si="6"/>
        <v>0.23235394808385523</v>
      </c>
    </row>
    <row r="403" spans="1:18" x14ac:dyDescent="0.35">
      <c r="A403" s="7" t="s">
        <v>863</v>
      </c>
      <c r="B403" s="8">
        <v>45604</v>
      </c>
      <c r="C403" s="7" t="s">
        <v>152</v>
      </c>
      <c r="D403" s="7" t="s">
        <v>19</v>
      </c>
      <c r="E403" s="7" t="s">
        <v>30</v>
      </c>
      <c r="F403" s="7" t="s">
        <v>31</v>
      </c>
      <c r="G403" s="7" t="s">
        <v>32</v>
      </c>
      <c r="H403" s="7" t="s">
        <v>33</v>
      </c>
      <c r="I403" s="7" t="s">
        <v>69</v>
      </c>
      <c r="J403" s="7">
        <v>1</v>
      </c>
      <c r="K403" s="9">
        <v>481.54</v>
      </c>
      <c r="L403" s="9">
        <v>457.46</v>
      </c>
      <c r="M403" s="10">
        <v>5</v>
      </c>
      <c r="N403" s="9">
        <v>62.35</v>
      </c>
      <c r="O403" s="9">
        <v>325.24</v>
      </c>
      <c r="P403" s="7" t="s">
        <v>45</v>
      </c>
      <c r="Q403" s="7" t="s">
        <v>26</v>
      </c>
      <c r="R403" s="30">
        <f t="shared" si="6"/>
        <v>0.13629606960171381</v>
      </c>
    </row>
    <row r="404" spans="1:18" x14ac:dyDescent="0.35">
      <c r="A404" s="3" t="s">
        <v>864</v>
      </c>
      <c r="B404" s="4">
        <v>45604</v>
      </c>
      <c r="C404" s="3" t="s">
        <v>865</v>
      </c>
      <c r="D404" s="3" t="s">
        <v>29</v>
      </c>
      <c r="E404" s="3" t="s">
        <v>30</v>
      </c>
      <c r="F404" s="3" t="s">
        <v>226</v>
      </c>
      <c r="G404" s="3" t="s">
        <v>49</v>
      </c>
      <c r="H404" s="3" t="s">
        <v>98</v>
      </c>
      <c r="I404" s="3" t="s">
        <v>99</v>
      </c>
      <c r="J404" s="3">
        <v>2</v>
      </c>
      <c r="K404" s="5">
        <v>12021.38</v>
      </c>
      <c r="L404" s="5">
        <v>22840.62</v>
      </c>
      <c r="M404" s="6">
        <v>5</v>
      </c>
      <c r="N404" s="5">
        <v>5041.97</v>
      </c>
      <c r="O404" s="5">
        <v>125.15</v>
      </c>
      <c r="P404" s="3" t="s">
        <v>35</v>
      </c>
      <c r="Q404" s="3" t="s">
        <v>26</v>
      </c>
      <c r="R404" s="30">
        <f t="shared" si="6"/>
        <v>0.22074575909060265</v>
      </c>
    </row>
    <row r="405" spans="1:18" x14ac:dyDescent="0.35">
      <c r="A405" s="7" t="s">
        <v>866</v>
      </c>
      <c r="B405" s="8">
        <v>45604</v>
      </c>
      <c r="C405" s="7" t="s">
        <v>867</v>
      </c>
      <c r="D405" s="7" t="s">
        <v>39</v>
      </c>
      <c r="E405" s="7" t="s">
        <v>40</v>
      </c>
      <c r="F405" s="7" t="s">
        <v>109</v>
      </c>
      <c r="G405" s="7" t="s">
        <v>49</v>
      </c>
      <c r="H405" s="7" t="s">
        <v>62</v>
      </c>
      <c r="I405" s="7" t="s">
        <v>63</v>
      </c>
      <c r="J405" s="7">
        <v>2</v>
      </c>
      <c r="K405" s="9">
        <v>3262.63</v>
      </c>
      <c r="L405" s="9">
        <v>5872.73</v>
      </c>
      <c r="M405" s="10">
        <v>10</v>
      </c>
      <c r="N405" s="9">
        <v>509.95</v>
      </c>
      <c r="O405" s="9">
        <v>67.13</v>
      </c>
      <c r="P405" s="7" t="s">
        <v>35</v>
      </c>
      <c r="Q405" s="7" t="s">
        <v>65</v>
      </c>
      <c r="R405" s="30">
        <f t="shared" si="6"/>
        <v>8.6833551006090873E-2</v>
      </c>
    </row>
    <row r="406" spans="1:18" x14ac:dyDescent="0.35">
      <c r="A406" s="3" t="s">
        <v>868</v>
      </c>
      <c r="B406" s="4">
        <v>45604</v>
      </c>
      <c r="C406" s="3" t="s">
        <v>727</v>
      </c>
      <c r="D406" s="3" t="s">
        <v>19</v>
      </c>
      <c r="E406" s="3" t="s">
        <v>60</v>
      </c>
      <c r="F406" s="3" t="s">
        <v>68</v>
      </c>
      <c r="G406" s="3" t="s">
        <v>42</v>
      </c>
      <c r="H406" s="3" t="s">
        <v>172</v>
      </c>
      <c r="I406" s="3" t="s">
        <v>223</v>
      </c>
      <c r="J406" s="3">
        <v>4</v>
      </c>
      <c r="K406" s="5">
        <v>437.78</v>
      </c>
      <c r="L406" s="5">
        <v>1751.12</v>
      </c>
      <c r="M406" s="6">
        <v>0</v>
      </c>
      <c r="N406" s="5">
        <v>215.74</v>
      </c>
      <c r="O406" s="5">
        <v>185.51</v>
      </c>
      <c r="P406" s="3" t="s">
        <v>64</v>
      </c>
      <c r="Q406" s="3" t="s">
        <v>65</v>
      </c>
      <c r="R406" s="30">
        <f t="shared" si="6"/>
        <v>0.12320115126319157</v>
      </c>
    </row>
    <row r="407" spans="1:18" x14ac:dyDescent="0.35">
      <c r="A407" s="7" t="s">
        <v>869</v>
      </c>
      <c r="B407" s="8">
        <v>45605</v>
      </c>
      <c r="C407" s="7" t="s">
        <v>523</v>
      </c>
      <c r="D407" s="7" t="s">
        <v>29</v>
      </c>
      <c r="E407" s="7" t="s">
        <v>60</v>
      </c>
      <c r="F407" s="7" t="s">
        <v>61</v>
      </c>
      <c r="G407" s="7" t="s">
        <v>117</v>
      </c>
      <c r="H407" s="7" t="s">
        <v>125</v>
      </c>
      <c r="I407" s="7" t="s">
        <v>454</v>
      </c>
      <c r="J407" s="7">
        <v>1</v>
      </c>
      <c r="K407" s="9">
        <v>1998.51</v>
      </c>
      <c r="L407" s="9">
        <v>1898.58</v>
      </c>
      <c r="M407" s="10">
        <v>5</v>
      </c>
      <c r="N407" s="9">
        <v>419.68</v>
      </c>
      <c r="O407" s="9">
        <v>270.56</v>
      </c>
      <c r="P407" s="7" t="s">
        <v>64</v>
      </c>
      <c r="Q407" s="7" t="s">
        <v>26</v>
      </c>
      <c r="R407" s="30">
        <f t="shared" si="6"/>
        <v>0.22104941587923607</v>
      </c>
    </row>
    <row r="408" spans="1:18" x14ac:dyDescent="0.35">
      <c r="A408" s="3" t="s">
        <v>870</v>
      </c>
      <c r="B408" s="4">
        <v>45605</v>
      </c>
      <c r="C408" s="3" t="s">
        <v>28</v>
      </c>
      <c r="D408" s="3" t="s">
        <v>19</v>
      </c>
      <c r="E408" s="3" t="s">
        <v>40</v>
      </c>
      <c r="F408" s="3" t="s">
        <v>41</v>
      </c>
      <c r="G408" s="3" t="s">
        <v>117</v>
      </c>
      <c r="H408" s="3" t="s">
        <v>130</v>
      </c>
      <c r="I408" s="3" t="s">
        <v>326</v>
      </c>
      <c r="J408" s="3">
        <v>1</v>
      </c>
      <c r="K408" s="5">
        <v>1135.1600000000001</v>
      </c>
      <c r="L408" s="5">
        <v>964.89</v>
      </c>
      <c r="M408" s="6">
        <v>15</v>
      </c>
      <c r="N408" s="5">
        <v>204.62</v>
      </c>
      <c r="O408" s="5">
        <v>123.87</v>
      </c>
      <c r="P408" s="3" t="s">
        <v>64</v>
      </c>
      <c r="Q408" s="3" t="s">
        <v>26</v>
      </c>
      <c r="R408" s="30">
        <f t="shared" si="6"/>
        <v>0.21206562406077378</v>
      </c>
    </row>
    <row r="409" spans="1:18" x14ac:dyDescent="0.35">
      <c r="A409" s="7" t="s">
        <v>871</v>
      </c>
      <c r="B409" s="8">
        <v>45606</v>
      </c>
      <c r="C409" s="7" t="s">
        <v>723</v>
      </c>
      <c r="D409" s="7" t="s">
        <v>39</v>
      </c>
      <c r="E409" s="7" t="s">
        <v>30</v>
      </c>
      <c r="F409" s="7" t="s">
        <v>226</v>
      </c>
      <c r="G409" s="7" t="s">
        <v>32</v>
      </c>
      <c r="H409" s="7" t="s">
        <v>143</v>
      </c>
      <c r="I409" s="7" t="s">
        <v>321</v>
      </c>
      <c r="J409" s="7">
        <v>1</v>
      </c>
      <c r="K409" s="9">
        <v>8943.81</v>
      </c>
      <c r="L409" s="9">
        <v>6260.67</v>
      </c>
      <c r="M409" s="10">
        <v>30</v>
      </c>
      <c r="N409" s="9">
        <v>-67.27</v>
      </c>
      <c r="O409" s="9">
        <v>218.03</v>
      </c>
      <c r="P409" s="7" t="s">
        <v>64</v>
      </c>
      <c r="Q409" s="7" t="s">
        <v>65</v>
      </c>
      <c r="R409" s="30">
        <f t="shared" si="6"/>
        <v>-1.0744856381186038E-2</v>
      </c>
    </row>
    <row r="410" spans="1:18" x14ac:dyDescent="0.35">
      <c r="A410" s="3" t="s">
        <v>872</v>
      </c>
      <c r="B410" s="4">
        <v>45606</v>
      </c>
      <c r="C410" s="3" t="s">
        <v>591</v>
      </c>
      <c r="D410" s="3" t="s">
        <v>39</v>
      </c>
      <c r="E410" s="3" t="s">
        <v>40</v>
      </c>
      <c r="F410" s="3" t="s">
        <v>109</v>
      </c>
      <c r="G410" s="3" t="s">
        <v>42</v>
      </c>
      <c r="H410" s="3" t="s">
        <v>172</v>
      </c>
      <c r="I410" s="3" t="s">
        <v>223</v>
      </c>
      <c r="J410" s="3">
        <v>3</v>
      </c>
      <c r="K410" s="5">
        <v>676.14</v>
      </c>
      <c r="L410" s="5">
        <v>2028.42</v>
      </c>
      <c r="M410" s="6">
        <v>0</v>
      </c>
      <c r="N410" s="5">
        <v>350.39</v>
      </c>
      <c r="O410" s="5">
        <v>285.98</v>
      </c>
      <c r="P410" s="3" t="s">
        <v>64</v>
      </c>
      <c r="Q410" s="3" t="s">
        <v>65</v>
      </c>
      <c r="R410" s="30">
        <f t="shared" si="6"/>
        <v>0.172740359491624</v>
      </c>
    </row>
    <row r="411" spans="1:18" x14ac:dyDescent="0.35">
      <c r="A411" s="7" t="s">
        <v>873</v>
      </c>
      <c r="B411" s="8">
        <v>45607</v>
      </c>
      <c r="C411" s="7" t="s">
        <v>669</v>
      </c>
      <c r="D411" s="7" t="s">
        <v>29</v>
      </c>
      <c r="E411" s="7" t="s">
        <v>40</v>
      </c>
      <c r="F411" s="7" t="s">
        <v>41</v>
      </c>
      <c r="G411" s="7" t="s">
        <v>42</v>
      </c>
      <c r="H411" s="7" t="s">
        <v>164</v>
      </c>
      <c r="I411" s="7" t="s">
        <v>329</v>
      </c>
      <c r="J411" s="7">
        <v>1</v>
      </c>
      <c r="K411" s="9">
        <v>264.94</v>
      </c>
      <c r="L411" s="9">
        <v>264.94</v>
      </c>
      <c r="M411" s="10">
        <v>0</v>
      </c>
      <c r="N411" s="9">
        <v>51.76</v>
      </c>
      <c r="O411" s="9">
        <v>212.82</v>
      </c>
      <c r="P411" s="7" t="s">
        <v>64</v>
      </c>
      <c r="Q411" s="7" t="s">
        <v>36</v>
      </c>
      <c r="R411" s="30">
        <f t="shared" si="6"/>
        <v>0.19536498829923757</v>
      </c>
    </row>
    <row r="412" spans="1:18" x14ac:dyDescent="0.35">
      <c r="A412" s="3" t="s">
        <v>874</v>
      </c>
      <c r="B412" s="4">
        <v>45608</v>
      </c>
      <c r="C412" s="3" t="s">
        <v>456</v>
      </c>
      <c r="D412" s="3" t="s">
        <v>19</v>
      </c>
      <c r="E412" s="3" t="s">
        <v>20</v>
      </c>
      <c r="F412" s="3" t="s">
        <v>21</v>
      </c>
      <c r="G412" s="3" t="s">
        <v>117</v>
      </c>
      <c r="H412" s="3" t="s">
        <v>125</v>
      </c>
      <c r="I412" s="3" t="s">
        <v>217</v>
      </c>
      <c r="J412" s="3">
        <v>5</v>
      </c>
      <c r="K412" s="5">
        <v>1207.81</v>
      </c>
      <c r="L412" s="5">
        <v>6039.05</v>
      </c>
      <c r="M412" s="6">
        <v>0</v>
      </c>
      <c r="N412" s="5">
        <v>2172.86</v>
      </c>
      <c r="O412" s="5">
        <v>260.13</v>
      </c>
      <c r="P412" s="3" t="s">
        <v>83</v>
      </c>
      <c r="Q412" s="3" t="s">
        <v>26</v>
      </c>
      <c r="R412" s="30">
        <f t="shared" si="6"/>
        <v>0.35980162442768315</v>
      </c>
    </row>
    <row r="413" spans="1:18" x14ac:dyDescent="0.35">
      <c r="A413" s="7" t="s">
        <v>875</v>
      </c>
      <c r="B413" s="8">
        <v>45608</v>
      </c>
      <c r="C413" s="7" t="s">
        <v>876</v>
      </c>
      <c r="D413" s="7" t="s">
        <v>29</v>
      </c>
      <c r="E413" s="7" t="s">
        <v>40</v>
      </c>
      <c r="F413" s="7" t="s">
        <v>109</v>
      </c>
      <c r="G413" s="7" t="s">
        <v>32</v>
      </c>
      <c r="H413" s="7" t="s">
        <v>33</v>
      </c>
      <c r="I413" s="7" t="s">
        <v>470</v>
      </c>
      <c r="J413" s="7">
        <v>2</v>
      </c>
      <c r="K413" s="9">
        <v>4375.68</v>
      </c>
      <c r="L413" s="9">
        <v>8313.7900000000009</v>
      </c>
      <c r="M413" s="10">
        <v>5</v>
      </c>
      <c r="N413" s="9">
        <v>931.07</v>
      </c>
      <c r="O413" s="9">
        <v>173.65</v>
      </c>
      <c r="P413" s="7" t="s">
        <v>45</v>
      </c>
      <c r="Q413" s="7" t="s">
        <v>57</v>
      </c>
      <c r="R413" s="30">
        <f t="shared" si="6"/>
        <v>0.11199104139026846</v>
      </c>
    </row>
    <row r="414" spans="1:18" x14ac:dyDescent="0.35">
      <c r="A414" s="3" t="s">
        <v>877</v>
      </c>
      <c r="B414" s="4">
        <v>45608</v>
      </c>
      <c r="C414" s="3" t="s">
        <v>878</v>
      </c>
      <c r="D414" s="3" t="s">
        <v>19</v>
      </c>
      <c r="E414" s="3" t="s">
        <v>40</v>
      </c>
      <c r="F414" s="3" t="s">
        <v>90</v>
      </c>
      <c r="G414" s="3" t="s">
        <v>117</v>
      </c>
      <c r="H414" s="3" t="s">
        <v>125</v>
      </c>
      <c r="I414" s="3" t="s">
        <v>217</v>
      </c>
      <c r="J414" s="3">
        <v>1</v>
      </c>
      <c r="K414" s="5">
        <v>2492.1</v>
      </c>
      <c r="L414" s="5">
        <v>2367.4899999999998</v>
      </c>
      <c r="M414" s="6">
        <v>5</v>
      </c>
      <c r="N414" s="5">
        <v>753.59</v>
      </c>
      <c r="O414" s="5">
        <v>254.14</v>
      </c>
      <c r="P414" s="3" t="s">
        <v>64</v>
      </c>
      <c r="Q414" s="3" t="s">
        <v>57</v>
      </c>
      <c r="R414" s="30">
        <f t="shared" si="6"/>
        <v>0.31830757468880549</v>
      </c>
    </row>
    <row r="415" spans="1:18" x14ac:dyDescent="0.35">
      <c r="A415" s="7" t="s">
        <v>879</v>
      </c>
      <c r="B415" s="8">
        <v>45608</v>
      </c>
      <c r="C415" s="7" t="s">
        <v>880</v>
      </c>
      <c r="D415" s="7" t="s">
        <v>19</v>
      </c>
      <c r="E415" s="7" t="s">
        <v>40</v>
      </c>
      <c r="F415" s="7" t="s">
        <v>77</v>
      </c>
      <c r="G415" s="7" t="s">
        <v>42</v>
      </c>
      <c r="H415" s="7" t="s">
        <v>43</v>
      </c>
      <c r="I415" s="7" t="s">
        <v>751</v>
      </c>
      <c r="J415" s="7">
        <v>4</v>
      </c>
      <c r="K415" s="9">
        <v>258.86</v>
      </c>
      <c r="L415" s="9">
        <v>776.58</v>
      </c>
      <c r="M415" s="10">
        <v>25</v>
      </c>
      <c r="N415" s="9">
        <v>4.04</v>
      </c>
      <c r="O415" s="9">
        <v>211.34</v>
      </c>
      <c r="P415" s="7" t="s">
        <v>35</v>
      </c>
      <c r="Q415" s="7" t="s">
        <v>26</v>
      </c>
      <c r="R415" s="30">
        <f t="shared" si="6"/>
        <v>5.2022972520538767E-3</v>
      </c>
    </row>
    <row r="416" spans="1:18" x14ac:dyDescent="0.35">
      <c r="A416" s="3" t="s">
        <v>881</v>
      </c>
      <c r="B416" s="4">
        <v>45609</v>
      </c>
      <c r="C416" s="3" t="s">
        <v>103</v>
      </c>
      <c r="D416" s="3" t="s">
        <v>39</v>
      </c>
      <c r="E416" s="3" t="s">
        <v>40</v>
      </c>
      <c r="F416" s="3" t="s">
        <v>109</v>
      </c>
      <c r="G416" s="3" t="s">
        <v>117</v>
      </c>
      <c r="H416" s="3" t="s">
        <v>118</v>
      </c>
      <c r="I416" s="3" t="s">
        <v>438</v>
      </c>
      <c r="J416" s="3">
        <v>2</v>
      </c>
      <c r="K416" s="5">
        <v>671.82</v>
      </c>
      <c r="L416" s="5">
        <v>1142.0899999999999</v>
      </c>
      <c r="M416" s="6">
        <v>15</v>
      </c>
      <c r="N416" s="5">
        <v>124.95</v>
      </c>
      <c r="O416" s="5">
        <v>106.02</v>
      </c>
      <c r="P416" s="3" t="s">
        <v>64</v>
      </c>
      <c r="Q416" s="3" t="s">
        <v>26</v>
      </c>
      <c r="R416" s="30">
        <f t="shared" si="6"/>
        <v>0.1094046878967507</v>
      </c>
    </row>
    <row r="417" spans="1:18" x14ac:dyDescent="0.35">
      <c r="A417" s="7" t="s">
        <v>882</v>
      </c>
      <c r="B417" s="8">
        <v>45609</v>
      </c>
      <c r="C417" s="7" t="s">
        <v>883</v>
      </c>
      <c r="D417" s="7" t="s">
        <v>39</v>
      </c>
      <c r="E417" s="7" t="s">
        <v>30</v>
      </c>
      <c r="F417" s="7" t="s">
        <v>48</v>
      </c>
      <c r="G417" s="7" t="s">
        <v>134</v>
      </c>
      <c r="H417" s="7" t="s">
        <v>91</v>
      </c>
      <c r="I417" s="7" t="s">
        <v>188</v>
      </c>
      <c r="J417" s="7">
        <v>3</v>
      </c>
      <c r="K417" s="9">
        <v>3433.09</v>
      </c>
      <c r="L417" s="9">
        <v>8754.3799999999992</v>
      </c>
      <c r="M417" s="10">
        <v>15</v>
      </c>
      <c r="N417" s="9">
        <v>1470.85</v>
      </c>
      <c r="O417" s="9">
        <v>190.73</v>
      </c>
      <c r="P417" s="7" t="s">
        <v>35</v>
      </c>
      <c r="Q417" s="7" t="s">
        <v>65</v>
      </c>
      <c r="R417" s="30">
        <f t="shared" si="6"/>
        <v>0.16801304032952649</v>
      </c>
    </row>
    <row r="418" spans="1:18" x14ac:dyDescent="0.35">
      <c r="A418" s="3" t="s">
        <v>884</v>
      </c>
      <c r="B418" s="4">
        <v>45609</v>
      </c>
      <c r="C418" s="3" t="s">
        <v>885</v>
      </c>
      <c r="D418" s="3" t="s">
        <v>19</v>
      </c>
      <c r="E418" s="3" t="s">
        <v>40</v>
      </c>
      <c r="F418" s="3" t="s">
        <v>41</v>
      </c>
      <c r="G418" s="3" t="s">
        <v>42</v>
      </c>
      <c r="H418" s="3" t="s">
        <v>81</v>
      </c>
      <c r="I418" s="3" t="s">
        <v>431</v>
      </c>
      <c r="J418" s="3">
        <v>1</v>
      </c>
      <c r="K418" s="5">
        <v>383.21</v>
      </c>
      <c r="L418" s="5">
        <v>287.41000000000003</v>
      </c>
      <c r="M418" s="6">
        <v>25</v>
      </c>
      <c r="N418" s="5">
        <v>-7.28</v>
      </c>
      <c r="O418" s="5">
        <v>68.36</v>
      </c>
      <c r="P418" s="3" t="s">
        <v>64</v>
      </c>
      <c r="Q418" s="3" t="s">
        <v>65</v>
      </c>
      <c r="R418" s="30">
        <f t="shared" si="6"/>
        <v>-2.5329668417939526E-2</v>
      </c>
    </row>
    <row r="419" spans="1:18" x14ac:dyDescent="0.35">
      <c r="A419" s="7" t="s">
        <v>886</v>
      </c>
      <c r="B419" s="8">
        <v>45609</v>
      </c>
      <c r="C419" s="7" t="s">
        <v>887</v>
      </c>
      <c r="D419" s="7" t="s">
        <v>39</v>
      </c>
      <c r="E419" s="7" t="s">
        <v>20</v>
      </c>
      <c r="F419" s="7" t="s">
        <v>54</v>
      </c>
      <c r="G419" s="7" t="s">
        <v>49</v>
      </c>
      <c r="H419" s="7" t="s">
        <v>62</v>
      </c>
      <c r="I419" s="7" t="s">
        <v>122</v>
      </c>
      <c r="J419" s="7">
        <v>2</v>
      </c>
      <c r="K419" s="9">
        <v>8488.01</v>
      </c>
      <c r="L419" s="9">
        <v>16127.22</v>
      </c>
      <c r="M419" s="10">
        <v>5</v>
      </c>
      <c r="N419" s="9">
        <v>3016.7</v>
      </c>
      <c r="O419" s="9">
        <v>110.42</v>
      </c>
      <c r="P419" s="7" t="s">
        <v>25</v>
      </c>
      <c r="Q419" s="7" t="s">
        <v>65</v>
      </c>
      <c r="R419" s="30">
        <f t="shared" si="6"/>
        <v>0.18705641765908818</v>
      </c>
    </row>
    <row r="420" spans="1:18" x14ac:dyDescent="0.35">
      <c r="A420" s="3" t="s">
        <v>888</v>
      </c>
      <c r="B420" s="4">
        <v>45609</v>
      </c>
      <c r="C420" s="3" t="s">
        <v>889</v>
      </c>
      <c r="D420" s="3" t="s">
        <v>19</v>
      </c>
      <c r="E420" s="3" t="s">
        <v>20</v>
      </c>
      <c r="F420" s="3" t="s">
        <v>129</v>
      </c>
      <c r="G420" s="3" t="s">
        <v>49</v>
      </c>
      <c r="H420" s="3" t="s">
        <v>98</v>
      </c>
      <c r="I420" s="3" t="s">
        <v>299</v>
      </c>
      <c r="J420" s="3">
        <v>1</v>
      </c>
      <c r="K420" s="5">
        <v>14387.2</v>
      </c>
      <c r="L420" s="5">
        <v>12948.48</v>
      </c>
      <c r="M420" s="6">
        <v>10</v>
      </c>
      <c r="N420" s="5">
        <v>2260.56</v>
      </c>
      <c r="O420" s="5">
        <v>272.89</v>
      </c>
      <c r="P420" s="3" t="s">
        <v>35</v>
      </c>
      <c r="Q420" s="3" t="s">
        <v>65</v>
      </c>
      <c r="R420" s="30">
        <f t="shared" si="6"/>
        <v>0.17458110913404506</v>
      </c>
    </row>
    <row r="421" spans="1:18" x14ac:dyDescent="0.35">
      <c r="A421" s="7" t="s">
        <v>890</v>
      </c>
      <c r="B421" s="8">
        <v>45609</v>
      </c>
      <c r="C421" s="7" t="s">
        <v>295</v>
      </c>
      <c r="D421" s="7" t="s">
        <v>39</v>
      </c>
      <c r="E421" s="7" t="s">
        <v>20</v>
      </c>
      <c r="F421" s="7" t="s">
        <v>21</v>
      </c>
      <c r="G421" s="7" t="s">
        <v>134</v>
      </c>
      <c r="H421" s="7" t="s">
        <v>244</v>
      </c>
      <c r="I421" s="7" t="s">
        <v>411</v>
      </c>
      <c r="J421" s="7">
        <v>1</v>
      </c>
      <c r="K421" s="9">
        <v>1966.55</v>
      </c>
      <c r="L421" s="9">
        <v>1966.55</v>
      </c>
      <c r="M421" s="10">
        <v>0</v>
      </c>
      <c r="N421" s="9">
        <v>358.68</v>
      </c>
      <c r="O421" s="9">
        <v>44.2</v>
      </c>
      <c r="P421" s="7" t="s">
        <v>83</v>
      </c>
      <c r="Q421" s="7" t="s">
        <v>65</v>
      </c>
      <c r="R421" s="30">
        <f t="shared" si="6"/>
        <v>0.18239048079123338</v>
      </c>
    </row>
    <row r="422" spans="1:18" x14ac:dyDescent="0.35">
      <c r="A422" s="3" t="s">
        <v>891</v>
      </c>
      <c r="B422" s="4">
        <v>45611</v>
      </c>
      <c r="C422" s="3" t="s">
        <v>361</v>
      </c>
      <c r="D422" s="3" t="s">
        <v>39</v>
      </c>
      <c r="E422" s="3" t="s">
        <v>40</v>
      </c>
      <c r="F422" s="3" t="s">
        <v>90</v>
      </c>
      <c r="G422" s="3" t="s">
        <v>134</v>
      </c>
      <c r="H422" s="3" t="s">
        <v>244</v>
      </c>
      <c r="I422" s="3" t="s">
        <v>411</v>
      </c>
      <c r="J422" s="3">
        <v>2</v>
      </c>
      <c r="K422" s="5">
        <v>2712.79</v>
      </c>
      <c r="L422" s="5">
        <v>4611.74</v>
      </c>
      <c r="M422" s="6">
        <v>15</v>
      </c>
      <c r="N422" s="5">
        <v>313.17</v>
      </c>
      <c r="O422" s="5">
        <v>314.39</v>
      </c>
      <c r="P422" s="3" t="s">
        <v>25</v>
      </c>
      <c r="Q422" s="3" t="s">
        <v>26</v>
      </c>
      <c r="R422" s="30">
        <f t="shared" si="6"/>
        <v>6.7907123992245882E-2</v>
      </c>
    </row>
    <row r="423" spans="1:18" x14ac:dyDescent="0.35">
      <c r="A423" s="7" t="s">
        <v>892</v>
      </c>
      <c r="B423" s="8">
        <v>45611</v>
      </c>
      <c r="C423" s="7" t="s">
        <v>312</v>
      </c>
      <c r="D423" s="7" t="s">
        <v>39</v>
      </c>
      <c r="E423" s="7" t="s">
        <v>20</v>
      </c>
      <c r="F423" s="7" t="s">
        <v>129</v>
      </c>
      <c r="G423" s="7" t="s">
        <v>49</v>
      </c>
      <c r="H423" s="7" t="s">
        <v>62</v>
      </c>
      <c r="I423" s="7" t="s">
        <v>424</v>
      </c>
      <c r="J423" s="7">
        <v>1</v>
      </c>
      <c r="K423" s="9">
        <v>2348.84</v>
      </c>
      <c r="L423" s="9">
        <v>2113.96</v>
      </c>
      <c r="M423" s="10">
        <v>10</v>
      </c>
      <c r="N423" s="9">
        <v>211.01</v>
      </c>
      <c r="O423" s="9">
        <v>167.02</v>
      </c>
      <c r="P423" s="7" t="s">
        <v>64</v>
      </c>
      <c r="Q423" s="7" t="s">
        <v>26</v>
      </c>
      <c r="R423" s="30">
        <f t="shared" si="6"/>
        <v>9.9817404302825027E-2</v>
      </c>
    </row>
    <row r="424" spans="1:18" x14ac:dyDescent="0.35">
      <c r="A424" s="3" t="s">
        <v>893</v>
      </c>
      <c r="B424" s="4">
        <v>45611</v>
      </c>
      <c r="C424" s="3" t="s">
        <v>894</v>
      </c>
      <c r="D424" s="3" t="s">
        <v>39</v>
      </c>
      <c r="E424" s="3" t="s">
        <v>60</v>
      </c>
      <c r="F424" s="3" t="s">
        <v>68</v>
      </c>
      <c r="G424" s="3" t="s">
        <v>117</v>
      </c>
      <c r="H424" s="3" t="s">
        <v>125</v>
      </c>
      <c r="I424" s="3" t="s">
        <v>126</v>
      </c>
      <c r="J424" s="3">
        <v>2</v>
      </c>
      <c r="K424" s="5">
        <v>1109.75</v>
      </c>
      <c r="L424" s="5">
        <v>2219.5</v>
      </c>
      <c r="M424" s="6">
        <v>0</v>
      </c>
      <c r="N424" s="5">
        <v>616.92999999999995</v>
      </c>
      <c r="O424" s="5">
        <v>356.9</v>
      </c>
      <c r="P424" s="3" t="s">
        <v>45</v>
      </c>
      <c r="Q424" s="3" t="s">
        <v>26</v>
      </c>
      <c r="R424" s="30">
        <f t="shared" si="6"/>
        <v>0.27795899977472399</v>
      </c>
    </row>
    <row r="425" spans="1:18" x14ac:dyDescent="0.35">
      <c r="A425" s="7" t="s">
        <v>895</v>
      </c>
      <c r="B425" s="8">
        <v>45612</v>
      </c>
      <c r="C425" s="7" t="s">
        <v>896</v>
      </c>
      <c r="D425" s="7" t="s">
        <v>19</v>
      </c>
      <c r="E425" s="7" t="s">
        <v>60</v>
      </c>
      <c r="F425" s="7" t="s">
        <v>68</v>
      </c>
      <c r="G425" s="7" t="s">
        <v>49</v>
      </c>
      <c r="H425" s="7" t="s">
        <v>98</v>
      </c>
      <c r="I425" s="7" t="s">
        <v>763</v>
      </c>
      <c r="J425" s="7">
        <v>1</v>
      </c>
      <c r="K425" s="9">
        <v>8392.56</v>
      </c>
      <c r="L425" s="9">
        <v>6294.42</v>
      </c>
      <c r="M425" s="10">
        <v>25</v>
      </c>
      <c r="N425" s="9">
        <v>186.8</v>
      </c>
      <c r="O425" s="9">
        <v>273.08</v>
      </c>
      <c r="P425" s="7" t="s">
        <v>64</v>
      </c>
      <c r="Q425" s="7" t="s">
        <v>57</v>
      </c>
      <c r="R425" s="30">
        <f t="shared" si="6"/>
        <v>2.9677079063678623E-2</v>
      </c>
    </row>
    <row r="426" spans="1:18" x14ac:dyDescent="0.35">
      <c r="A426" s="3" t="s">
        <v>897</v>
      </c>
      <c r="B426" s="4">
        <v>45613</v>
      </c>
      <c r="C426" s="3" t="s">
        <v>898</v>
      </c>
      <c r="D426" s="3" t="s">
        <v>39</v>
      </c>
      <c r="E426" s="3" t="s">
        <v>20</v>
      </c>
      <c r="F426" s="3" t="s">
        <v>129</v>
      </c>
      <c r="G426" s="3" t="s">
        <v>134</v>
      </c>
      <c r="H426" s="3" t="s">
        <v>244</v>
      </c>
      <c r="I426" s="3" t="s">
        <v>334</v>
      </c>
      <c r="J426" s="3">
        <v>1</v>
      </c>
      <c r="K426" s="5">
        <v>4376.84</v>
      </c>
      <c r="L426" s="5">
        <v>3939.16</v>
      </c>
      <c r="M426" s="6">
        <v>10</v>
      </c>
      <c r="N426" s="5">
        <v>577.63</v>
      </c>
      <c r="O426" s="5">
        <v>66.260000000000005</v>
      </c>
      <c r="P426" s="3" t="s">
        <v>35</v>
      </c>
      <c r="Q426" s="3" t="s">
        <v>26</v>
      </c>
      <c r="R426" s="30">
        <f t="shared" si="6"/>
        <v>0.14663786187918237</v>
      </c>
    </row>
    <row r="427" spans="1:18" x14ac:dyDescent="0.35">
      <c r="A427" s="7" t="s">
        <v>899</v>
      </c>
      <c r="B427" s="8">
        <v>45613</v>
      </c>
      <c r="C427" s="7" t="s">
        <v>358</v>
      </c>
      <c r="D427" s="7" t="s">
        <v>19</v>
      </c>
      <c r="E427" s="7" t="s">
        <v>40</v>
      </c>
      <c r="F427" s="7" t="s">
        <v>41</v>
      </c>
      <c r="G427" s="7" t="s">
        <v>22</v>
      </c>
      <c r="H427" s="7" t="s">
        <v>105</v>
      </c>
      <c r="I427" s="7" t="s">
        <v>629</v>
      </c>
      <c r="J427" s="7">
        <v>5</v>
      </c>
      <c r="K427" s="9">
        <v>34036.81</v>
      </c>
      <c r="L427" s="9">
        <v>144656.44</v>
      </c>
      <c r="M427" s="10">
        <v>15</v>
      </c>
      <c r="N427" s="9">
        <v>-2947.57</v>
      </c>
      <c r="O427" s="9">
        <v>168.66</v>
      </c>
      <c r="P427" s="7" t="s">
        <v>25</v>
      </c>
      <c r="Q427" s="7" t="s">
        <v>65</v>
      </c>
      <c r="R427" s="30">
        <f t="shared" si="6"/>
        <v>-2.0376348263513189E-2</v>
      </c>
    </row>
    <row r="428" spans="1:18" x14ac:dyDescent="0.35">
      <c r="A428" s="3" t="s">
        <v>900</v>
      </c>
      <c r="B428" s="4">
        <v>45614</v>
      </c>
      <c r="C428" s="3" t="s">
        <v>582</v>
      </c>
      <c r="D428" s="3" t="s">
        <v>39</v>
      </c>
      <c r="E428" s="3" t="s">
        <v>40</v>
      </c>
      <c r="F428" s="3" t="s">
        <v>90</v>
      </c>
      <c r="G428" s="3" t="s">
        <v>49</v>
      </c>
      <c r="H428" s="3" t="s">
        <v>50</v>
      </c>
      <c r="I428" s="3" t="s">
        <v>485</v>
      </c>
      <c r="J428" s="3">
        <v>4</v>
      </c>
      <c r="K428" s="5">
        <v>3574.63</v>
      </c>
      <c r="L428" s="5">
        <v>10723.89</v>
      </c>
      <c r="M428" s="6">
        <v>25</v>
      </c>
      <c r="N428" s="5">
        <v>-136.35</v>
      </c>
      <c r="O428" s="5">
        <v>96.99</v>
      </c>
      <c r="P428" s="3" t="s">
        <v>64</v>
      </c>
      <c r="Q428" s="3" t="s">
        <v>26</v>
      </c>
      <c r="R428" s="30">
        <f t="shared" si="6"/>
        <v>-1.2714602630202286E-2</v>
      </c>
    </row>
    <row r="429" spans="1:18" x14ac:dyDescent="0.35">
      <c r="A429" s="7" t="s">
        <v>901</v>
      </c>
      <c r="B429" s="8">
        <v>45614</v>
      </c>
      <c r="C429" s="7" t="s">
        <v>902</v>
      </c>
      <c r="D429" s="7" t="s">
        <v>19</v>
      </c>
      <c r="E429" s="7" t="s">
        <v>20</v>
      </c>
      <c r="F429" s="7" t="s">
        <v>54</v>
      </c>
      <c r="G429" s="7" t="s">
        <v>22</v>
      </c>
      <c r="H429" s="7" t="s">
        <v>55</v>
      </c>
      <c r="I429" s="7" t="s">
        <v>323</v>
      </c>
      <c r="J429" s="7">
        <v>3</v>
      </c>
      <c r="K429" s="9">
        <v>12013.64</v>
      </c>
      <c r="L429" s="9">
        <v>27030.69</v>
      </c>
      <c r="M429" s="10">
        <v>25</v>
      </c>
      <c r="N429" s="9">
        <v>-301.32</v>
      </c>
      <c r="O429" s="9">
        <v>238.18</v>
      </c>
      <c r="P429" s="7" t="s">
        <v>25</v>
      </c>
      <c r="Q429" s="7" t="s">
        <v>65</v>
      </c>
      <c r="R429" s="30">
        <f t="shared" si="6"/>
        <v>-1.1147329202473188E-2</v>
      </c>
    </row>
    <row r="430" spans="1:18" x14ac:dyDescent="0.35">
      <c r="A430" s="3" t="s">
        <v>903</v>
      </c>
      <c r="B430" s="4">
        <v>45615</v>
      </c>
      <c r="C430" s="3" t="s">
        <v>904</v>
      </c>
      <c r="D430" s="3" t="s">
        <v>19</v>
      </c>
      <c r="E430" s="3" t="s">
        <v>40</v>
      </c>
      <c r="F430" s="3" t="s">
        <v>41</v>
      </c>
      <c r="G430" s="3" t="s">
        <v>42</v>
      </c>
      <c r="H430" s="3" t="s">
        <v>164</v>
      </c>
      <c r="I430" s="3" t="s">
        <v>199</v>
      </c>
      <c r="J430" s="3">
        <v>2</v>
      </c>
      <c r="K430" s="5">
        <v>1131.1600000000001</v>
      </c>
      <c r="L430" s="5">
        <v>2036.09</v>
      </c>
      <c r="M430" s="6">
        <v>10</v>
      </c>
      <c r="N430" s="5">
        <v>223.16</v>
      </c>
      <c r="O430" s="5">
        <v>157.52000000000001</v>
      </c>
      <c r="P430" s="3" t="s">
        <v>64</v>
      </c>
      <c r="Q430" s="3" t="s">
        <v>65</v>
      </c>
      <c r="R430" s="30">
        <f t="shared" si="6"/>
        <v>0.10960222779936055</v>
      </c>
    </row>
    <row r="431" spans="1:18" x14ac:dyDescent="0.35">
      <c r="A431" s="7" t="s">
        <v>905</v>
      </c>
      <c r="B431" s="8">
        <v>45615</v>
      </c>
      <c r="C431" s="7" t="s">
        <v>906</v>
      </c>
      <c r="D431" s="7" t="s">
        <v>39</v>
      </c>
      <c r="E431" s="7" t="s">
        <v>40</v>
      </c>
      <c r="F431" s="7" t="s">
        <v>77</v>
      </c>
      <c r="G431" s="7" t="s">
        <v>42</v>
      </c>
      <c r="H431" s="7" t="s">
        <v>164</v>
      </c>
      <c r="I431" s="7" t="s">
        <v>853</v>
      </c>
      <c r="J431" s="7">
        <v>1</v>
      </c>
      <c r="K431" s="9">
        <v>1061.98</v>
      </c>
      <c r="L431" s="9">
        <v>902.68</v>
      </c>
      <c r="M431" s="10">
        <v>15</v>
      </c>
      <c r="N431" s="9">
        <v>-14.51</v>
      </c>
      <c r="O431" s="9">
        <v>50.7</v>
      </c>
      <c r="P431" s="7" t="s">
        <v>64</v>
      </c>
      <c r="Q431" s="7" t="s">
        <v>65</v>
      </c>
      <c r="R431" s="30">
        <f t="shared" si="6"/>
        <v>-1.6074356361058181E-2</v>
      </c>
    </row>
    <row r="432" spans="1:18" x14ac:dyDescent="0.35">
      <c r="A432" s="3" t="s">
        <v>907</v>
      </c>
      <c r="B432" s="4">
        <v>45615</v>
      </c>
      <c r="C432" s="3" t="s">
        <v>908</v>
      </c>
      <c r="D432" s="3" t="s">
        <v>39</v>
      </c>
      <c r="E432" s="3" t="s">
        <v>20</v>
      </c>
      <c r="F432" s="3" t="s">
        <v>129</v>
      </c>
      <c r="G432" s="3" t="s">
        <v>42</v>
      </c>
      <c r="H432" s="3" t="s">
        <v>164</v>
      </c>
      <c r="I432" s="3" t="s">
        <v>853</v>
      </c>
      <c r="J432" s="3">
        <v>2</v>
      </c>
      <c r="K432" s="5">
        <v>979.59</v>
      </c>
      <c r="L432" s="5">
        <v>1665.3</v>
      </c>
      <c r="M432" s="6">
        <v>15</v>
      </c>
      <c r="N432" s="5">
        <v>49.74</v>
      </c>
      <c r="O432" s="5">
        <v>67.05</v>
      </c>
      <c r="P432" s="3" t="s">
        <v>35</v>
      </c>
      <c r="Q432" s="3" t="s">
        <v>65</v>
      </c>
      <c r="R432" s="30">
        <f t="shared" si="6"/>
        <v>2.9868492163574133E-2</v>
      </c>
    </row>
    <row r="433" spans="1:18" x14ac:dyDescent="0.35">
      <c r="A433" s="7" t="s">
        <v>909</v>
      </c>
      <c r="B433" s="8">
        <v>45615</v>
      </c>
      <c r="C433" s="7" t="s">
        <v>910</v>
      </c>
      <c r="D433" s="7" t="s">
        <v>29</v>
      </c>
      <c r="E433" s="7" t="s">
        <v>40</v>
      </c>
      <c r="F433" s="7" t="s">
        <v>77</v>
      </c>
      <c r="G433" s="7" t="s">
        <v>32</v>
      </c>
      <c r="H433" s="7" t="s">
        <v>33</v>
      </c>
      <c r="I433" s="7" t="s">
        <v>449</v>
      </c>
      <c r="J433" s="7">
        <v>3</v>
      </c>
      <c r="K433" s="9">
        <v>7945.94</v>
      </c>
      <c r="L433" s="9">
        <v>21454.04</v>
      </c>
      <c r="M433" s="10">
        <v>10</v>
      </c>
      <c r="N433" s="9">
        <v>2303.7600000000002</v>
      </c>
      <c r="O433" s="9">
        <v>304.86</v>
      </c>
      <c r="P433" s="7" t="s">
        <v>64</v>
      </c>
      <c r="Q433" s="7" t="s">
        <v>26</v>
      </c>
      <c r="R433" s="30">
        <f t="shared" si="6"/>
        <v>0.10738117389545279</v>
      </c>
    </row>
    <row r="434" spans="1:18" x14ac:dyDescent="0.35">
      <c r="A434" s="3" t="s">
        <v>911</v>
      </c>
      <c r="B434" s="4">
        <v>45616</v>
      </c>
      <c r="C434" s="3" t="s">
        <v>912</v>
      </c>
      <c r="D434" s="3" t="s">
        <v>39</v>
      </c>
      <c r="E434" s="3" t="s">
        <v>20</v>
      </c>
      <c r="F434" s="3" t="s">
        <v>21</v>
      </c>
      <c r="G434" s="3" t="s">
        <v>117</v>
      </c>
      <c r="H434" s="3" t="s">
        <v>153</v>
      </c>
      <c r="I434" s="3" t="s">
        <v>356</v>
      </c>
      <c r="J434" s="3">
        <v>1</v>
      </c>
      <c r="K434" s="5">
        <v>780.31</v>
      </c>
      <c r="L434" s="5">
        <v>741.29</v>
      </c>
      <c r="M434" s="6">
        <v>5</v>
      </c>
      <c r="N434" s="5">
        <v>182.98</v>
      </c>
      <c r="O434" s="5">
        <v>266.02</v>
      </c>
      <c r="P434" s="3" t="s">
        <v>64</v>
      </c>
      <c r="Q434" s="3" t="s">
        <v>26</v>
      </c>
      <c r="R434" s="30">
        <f t="shared" si="6"/>
        <v>0.24683996816360668</v>
      </c>
    </row>
    <row r="435" spans="1:18" x14ac:dyDescent="0.35">
      <c r="A435" s="7" t="s">
        <v>913</v>
      </c>
      <c r="B435" s="8">
        <v>45617</v>
      </c>
      <c r="C435" s="7" t="s">
        <v>914</v>
      </c>
      <c r="D435" s="7" t="s">
        <v>29</v>
      </c>
      <c r="E435" s="7" t="s">
        <v>60</v>
      </c>
      <c r="F435" s="7" t="s">
        <v>104</v>
      </c>
      <c r="G435" s="7" t="s">
        <v>42</v>
      </c>
      <c r="H435" s="7" t="s">
        <v>81</v>
      </c>
      <c r="I435" s="7" t="s">
        <v>431</v>
      </c>
      <c r="J435" s="7">
        <v>4</v>
      </c>
      <c r="K435" s="9">
        <v>880.6</v>
      </c>
      <c r="L435" s="9">
        <v>3346.28</v>
      </c>
      <c r="M435" s="10">
        <v>5</v>
      </c>
      <c r="N435" s="9">
        <v>492.49</v>
      </c>
      <c r="O435" s="9">
        <v>349.67</v>
      </c>
      <c r="P435" s="7" t="s">
        <v>64</v>
      </c>
      <c r="Q435" s="7" t="s">
        <v>65</v>
      </c>
      <c r="R435" s="30">
        <f t="shared" si="6"/>
        <v>0.14717537085958138</v>
      </c>
    </row>
    <row r="436" spans="1:18" x14ac:dyDescent="0.35">
      <c r="A436" s="3" t="s">
        <v>915</v>
      </c>
      <c r="B436" s="4">
        <v>45617</v>
      </c>
      <c r="C436" s="3" t="s">
        <v>395</v>
      </c>
      <c r="D436" s="3" t="s">
        <v>29</v>
      </c>
      <c r="E436" s="3" t="s">
        <v>40</v>
      </c>
      <c r="F436" s="3" t="s">
        <v>77</v>
      </c>
      <c r="G436" s="3" t="s">
        <v>134</v>
      </c>
      <c r="H436" s="3" t="s">
        <v>139</v>
      </c>
      <c r="I436" s="3" t="s">
        <v>587</v>
      </c>
      <c r="J436" s="3">
        <v>2</v>
      </c>
      <c r="K436" s="5">
        <v>2787.67</v>
      </c>
      <c r="L436" s="5">
        <v>4739.04</v>
      </c>
      <c r="M436" s="6">
        <v>15</v>
      </c>
      <c r="N436" s="5">
        <v>382.39</v>
      </c>
      <c r="O436" s="5">
        <v>281.32</v>
      </c>
      <c r="P436" s="3" t="s">
        <v>83</v>
      </c>
      <c r="Q436" s="3" t="s">
        <v>26</v>
      </c>
      <c r="R436" s="30">
        <f t="shared" si="6"/>
        <v>8.0689337924980578E-2</v>
      </c>
    </row>
    <row r="437" spans="1:18" x14ac:dyDescent="0.35">
      <c r="A437" s="7" t="s">
        <v>916</v>
      </c>
      <c r="B437" s="8">
        <v>45617</v>
      </c>
      <c r="C437" s="7" t="s">
        <v>822</v>
      </c>
      <c r="D437" s="7" t="s">
        <v>19</v>
      </c>
      <c r="E437" s="7" t="s">
        <v>60</v>
      </c>
      <c r="F437" s="7" t="s">
        <v>104</v>
      </c>
      <c r="G437" s="7" t="s">
        <v>117</v>
      </c>
      <c r="H437" s="7" t="s">
        <v>125</v>
      </c>
      <c r="I437" s="7" t="s">
        <v>454</v>
      </c>
      <c r="J437" s="7">
        <v>1</v>
      </c>
      <c r="K437" s="9">
        <v>919.69</v>
      </c>
      <c r="L437" s="9">
        <v>873.71</v>
      </c>
      <c r="M437" s="10">
        <v>5</v>
      </c>
      <c r="N437" s="9">
        <v>247.07</v>
      </c>
      <c r="O437" s="9">
        <v>307.14999999999998</v>
      </c>
      <c r="P437" s="7" t="s">
        <v>35</v>
      </c>
      <c r="Q437" s="7" t="s">
        <v>57</v>
      </c>
      <c r="R437" s="30">
        <f t="shared" si="6"/>
        <v>0.28278261665770105</v>
      </c>
    </row>
    <row r="438" spans="1:18" x14ac:dyDescent="0.35">
      <c r="A438" s="3" t="s">
        <v>917</v>
      </c>
      <c r="B438" s="4">
        <v>45617</v>
      </c>
      <c r="C438" s="3" t="s">
        <v>918</v>
      </c>
      <c r="D438" s="3" t="s">
        <v>39</v>
      </c>
      <c r="E438" s="3" t="s">
        <v>40</v>
      </c>
      <c r="F438" s="3" t="s">
        <v>109</v>
      </c>
      <c r="G438" s="3" t="s">
        <v>49</v>
      </c>
      <c r="H438" s="3" t="s">
        <v>50</v>
      </c>
      <c r="I438" s="3" t="s">
        <v>485</v>
      </c>
      <c r="J438" s="3">
        <v>1</v>
      </c>
      <c r="K438" s="5">
        <v>11291.73</v>
      </c>
      <c r="L438" s="5">
        <v>10162.56</v>
      </c>
      <c r="M438" s="6">
        <v>10</v>
      </c>
      <c r="N438" s="5">
        <v>1509.63</v>
      </c>
      <c r="O438" s="5">
        <v>258.95999999999998</v>
      </c>
      <c r="P438" s="3" t="s">
        <v>35</v>
      </c>
      <c r="Q438" s="3" t="s">
        <v>26</v>
      </c>
      <c r="R438" s="30">
        <f t="shared" si="6"/>
        <v>0.14854820045342906</v>
      </c>
    </row>
    <row r="439" spans="1:18" x14ac:dyDescent="0.35">
      <c r="A439" s="7" t="s">
        <v>919</v>
      </c>
      <c r="B439" s="8">
        <v>45618</v>
      </c>
      <c r="C439" s="7" t="s">
        <v>361</v>
      </c>
      <c r="D439" s="7" t="s">
        <v>19</v>
      </c>
      <c r="E439" s="7" t="s">
        <v>40</v>
      </c>
      <c r="F439" s="7" t="s">
        <v>109</v>
      </c>
      <c r="G439" s="7" t="s">
        <v>117</v>
      </c>
      <c r="H439" s="7" t="s">
        <v>153</v>
      </c>
      <c r="I439" s="7" t="s">
        <v>356</v>
      </c>
      <c r="J439" s="7">
        <v>2</v>
      </c>
      <c r="K439" s="9">
        <v>1629.09</v>
      </c>
      <c r="L439" s="9">
        <v>2769.45</v>
      </c>
      <c r="M439" s="10">
        <v>15</v>
      </c>
      <c r="N439" s="9">
        <v>648.71</v>
      </c>
      <c r="O439" s="9">
        <v>223.94</v>
      </c>
      <c r="P439" s="7" t="s">
        <v>45</v>
      </c>
      <c r="Q439" s="7" t="s">
        <v>26</v>
      </c>
      <c r="R439" s="30">
        <f t="shared" si="6"/>
        <v>0.23423784505948839</v>
      </c>
    </row>
    <row r="440" spans="1:18" x14ac:dyDescent="0.35">
      <c r="A440" s="3" t="s">
        <v>920</v>
      </c>
      <c r="B440" s="4">
        <v>45619</v>
      </c>
      <c r="C440" s="3" t="s">
        <v>610</v>
      </c>
      <c r="D440" s="3" t="s">
        <v>39</v>
      </c>
      <c r="E440" s="3" t="s">
        <v>20</v>
      </c>
      <c r="F440" s="3" t="s">
        <v>54</v>
      </c>
      <c r="G440" s="3" t="s">
        <v>42</v>
      </c>
      <c r="H440" s="3" t="s">
        <v>164</v>
      </c>
      <c r="I440" s="3" t="s">
        <v>199</v>
      </c>
      <c r="J440" s="3">
        <v>1</v>
      </c>
      <c r="K440" s="5">
        <v>695.04</v>
      </c>
      <c r="L440" s="5">
        <v>625.54</v>
      </c>
      <c r="M440" s="6">
        <v>10</v>
      </c>
      <c r="N440" s="5">
        <v>87.88</v>
      </c>
      <c r="O440" s="5">
        <v>183.34</v>
      </c>
      <c r="P440" s="3" t="s">
        <v>64</v>
      </c>
      <c r="Q440" s="3" t="s">
        <v>26</v>
      </c>
      <c r="R440" s="30">
        <f t="shared" si="6"/>
        <v>0.14048661956069955</v>
      </c>
    </row>
    <row r="441" spans="1:18" x14ac:dyDescent="0.35">
      <c r="A441" s="7" t="s">
        <v>921</v>
      </c>
      <c r="B441" s="8">
        <v>45619</v>
      </c>
      <c r="C441" s="7" t="s">
        <v>922</v>
      </c>
      <c r="D441" s="7" t="s">
        <v>39</v>
      </c>
      <c r="E441" s="7" t="s">
        <v>30</v>
      </c>
      <c r="F441" s="7" t="s">
        <v>226</v>
      </c>
      <c r="G441" s="7" t="s">
        <v>134</v>
      </c>
      <c r="H441" s="7" t="s">
        <v>135</v>
      </c>
      <c r="I441" s="7" t="s">
        <v>185</v>
      </c>
      <c r="J441" s="7">
        <v>1</v>
      </c>
      <c r="K441" s="9">
        <v>737.26</v>
      </c>
      <c r="L441" s="9">
        <v>663.53</v>
      </c>
      <c r="M441" s="10">
        <v>10</v>
      </c>
      <c r="N441" s="9">
        <v>148.35</v>
      </c>
      <c r="O441" s="9">
        <v>285.97000000000003</v>
      </c>
      <c r="P441" s="7" t="s">
        <v>35</v>
      </c>
      <c r="Q441" s="7" t="s">
        <v>65</v>
      </c>
      <c r="R441" s="30">
        <f t="shared" si="6"/>
        <v>0.22357692945307672</v>
      </c>
    </row>
    <row r="442" spans="1:18" x14ac:dyDescent="0.35">
      <c r="A442" s="3" t="s">
        <v>923</v>
      </c>
      <c r="B442" s="4">
        <v>45619</v>
      </c>
      <c r="C442" s="3" t="s">
        <v>924</v>
      </c>
      <c r="D442" s="3" t="s">
        <v>19</v>
      </c>
      <c r="E442" s="3" t="s">
        <v>30</v>
      </c>
      <c r="F442" s="3" t="s">
        <v>48</v>
      </c>
      <c r="G442" s="3" t="s">
        <v>134</v>
      </c>
      <c r="H442" s="3" t="s">
        <v>135</v>
      </c>
      <c r="I442" s="3" t="s">
        <v>185</v>
      </c>
      <c r="J442" s="3">
        <v>3</v>
      </c>
      <c r="K442" s="5">
        <v>3222</v>
      </c>
      <c r="L442" s="5">
        <v>7732.8</v>
      </c>
      <c r="M442" s="6">
        <v>20</v>
      </c>
      <c r="N442" s="5">
        <v>695.68</v>
      </c>
      <c r="O442" s="5">
        <v>75.61</v>
      </c>
      <c r="P442" s="3" t="s">
        <v>45</v>
      </c>
      <c r="Q442" s="3" t="s">
        <v>26</v>
      </c>
      <c r="R442" s="30">
        <f t="shared" si="6"/>
        <v>8.996482516035588E-2</v>
      </c>
    </row>
    <row r="443" spans="1:18" x14ac:dyDescent="0.35">
      <c r="A443" s="7" t="s">
        <v>925</v>
      </c>
      <c r="B443" s="8">
        <v>45619</v>
      </c>
      <c r="C443" s="7" t="s">
        <v>926</v>
      </c>
      <c r="D443" s="7" t="s">
        <v>39</v>
      </c>
      <c r="E443" s="7" t="s">
        <v>30</v>
      </c>
      <c r="F443" s="7" t="s">
        <v>48</v>
      </c>
      <c r="G443" s="7" t="s">
        <v>117</v>
      </c>
      <c r="H443" s="7" t="s">
        <v>130</v>
      </c>
      <c r="I443" s="7" t="s">
        <v>131</v>
      </c>
      <c r="J443" s="7">
        <v>1</v>
      </c>
      <c r="K443" s="9">
        <v>1541.2</v>
      </c>
      <c r="L443" s="9">
        <v>1541.2</v>
      </c>
      <c r="M443" s="10">
        <v>0</v>
      </c>
      <c r="N443" s="9">
        <v>369.72</v>
      </c>
      <c r="O443" s="9">
        <v>235.11</v>
      </c>
      <c r="P443" s="7" t="s">
        <v>35</v>
      </c>
      <c r="Q443" s="7" t="s">
        <v>65</v>
      </c>
      <c r="R443" s="30">
        <f t="shared" si="6"/>
        <v>0.2398909940306255</v>
      </c>
    </row>
    <row r="444" spans="1:18" x14ac:dyDescent="0.35">
      <c r="A444" s="3" t="s">
        <v>927</v>
      </c>
      <c r="B444" s="4">
        <v>45620</v>
      </c>
      <c r="C444" s="3" t="s">
        <v>430</v>
      </c>
      <c r="D444" s="3" t="s">
        <v>39</v>
      </c>
      <c r="E444" s="3" t="s">
        <v>40</v>
      </c>
      <c r="F444" s="3" t="s">
        <v>77</v>
      </c>
      <c r="G444" s="3" t="s">
        <v>32</v>
      </c>
      <c r="H444" s="3" t="s">
        <v>33</v>
      </c>
      <c r="I444" s="3" t="s">
        <v>470</v>
      </c>
      <c r="J444" s="3">
        <v>4</v>
      </c>
      <c r="K444" s="5">
        <v>10781.09</v>
      </c>
      <c r="L444" s="5">
        <v>34499.49</v>
      </c>
      <c r="M444" s="6">
        <v>20</v>
      </c>
      <c r="N444" s="5">
        <v>1840.45</v>
      </c>
      <c r="O444" s="5">
        <v>200.17</v>
      </c>
      <c r="P444" s="3" t="s">
        <v>64</v>
      </c>
      <c r="Q444" s="3" t="s">
        <v>65</v>
      </c>
      <c r="R444" s="30">
        <f t="shared" si="6"/>
        <v>5.3347165421865662E-2</v>
      </c>
    </row>
    <row r="445" spans="1:18" x14ac:dyDescent="0.35">
      <c r="A445" s="7" t="s">
        <v>928</v>
      </c>
      <c r="B445" s="8">
        <v>45620</v>
      </c>
      <c r="C445" s="7" t="s">
        <v>536</v>
      </c>
      <c r="D445" s="7" t="s">
        <v>19</v>
      </c>
      <c r="E445" s="7" t="s">
        <v>30</v>
      </c>
      <c r="F445" s="7" t="s">
        <v>226</v>
      </c>
      <c r="G445" s="7" t="s">
        <v>32</v>
      </c>
      <c r="H445" s="7" t="s">
        <v>86</v>
      </c>
      <c r="I445" s="7" t="s">
        <v>211</v>
      </c>
      <c r="J445" s="7">
        <v>1</v>
      </c>
      <c r="K445" s="9">
        <v>1089.8699999999999</v>
      </c>
      <c r="L445" s="9">
        <v>980.88</v>
      </c>
      <c r="M445" s="10">
        <v>10</v>
      </c>
      <c r="N445" s="9">
        <v>122.1</v>
      </c>
      <c r="O445" s="9">
        <v>31.01</v>
      </c>
      <c r="P445" s="7" t="s">
        <v>35</v>
      </c>
      <c r="Q445" s="7" t="s">
        <v>57</v>
      </c>
      <c r="R445" s="30">
        <f t="shared" si="6"/>
        <v>0.12448005872277954</v>
      </c>
    </row>
    <row r="446" spans="1:18" x14ac:dyDescent="0.35">
      <c r="A446" s="3" t="s">
        <v>929</v>
      </c>
      <c r="B446" s="4">
        <v>45620</v>
      </c>
      <c r="C446" s="3" t="s">
        <v>885</v>
      </c>
      <c r="D446" s="3" t="s">
        <v>39</v>
      </c>
      <c r="E446" s="3" t="s">
        <v>30</v>
      </c>
      <c r="F446" s="3" t="s">
        <v>31</v>
      </c>
      <c r="G446" s="3" t="s">
        <v>49</v>
      </c>
      <c r="H446" s="3" t="s">
        <v>62</v>
      </c>
      <c r="I446" s="3" t="s">
        <v>424</v>
      </c>
      <c r="J446" s="3">
        <v>2</v>
      </c>
      <c r="K446" s="5">
        <v>5945.42</v>
      </c>
      <c r="L446" s="5">
        <v>10701.76</v>
      </c>
      <c r="M446" s="6">
        <v>10</v>
      </c>
      <c r="N446" s="5">
        <v>1325.58</v>
      </c>
      <c r="O446" s="5">
        <v>241.8</v>
      </c>
      <c r="P446" s="3" t="s">
        <v>45</v>
      </c>
      <c r="Q446" s="3" t="s">
        <v>65</v>
      </c>
      <c r="R446" s="30">
        <f t="shared" si="6"/>
        <v>0.12386560715246837</v>
      </c>
    </row>
    <row r="447" spans="1:18" x14ac:dyDescent="0.35">
      <c r="A447" s="7" t="s">
        <v>930</v>
      </c>
      <c r="B447" s="8">
        <v>45620</v>
      </c>
      <c r="C447" s="7" t="s">
        <v>406</v>
      </c>
      <c r="D447" s="7" t="s">
        <v>39</v>
      </c>
      <c r="E447" s="7" t="s">
        <v>40</v>
      </c>
      <c r="F447" s="7" t="s">
        <v>109</v>
      </c>
      <c r="G447" s="7" t="s">
        <v>49</v>
      </c>
      <c r="H447" s="7" t="s">
        <v>62</v>
      </c>
      <c r="I447" s="7" t="s">
        <v>424</v>
      </c>
      <c r="J447" s="7">
        <v>1</v>
      </c>
      <c r="K447" s="9">
        <v>9210.9</v>
      </c>
      <c r="L447" s="9">
        <v>8750.35</v>
      </c>
      <c r="M447" s="10">
        <v>5</v>
      </c>
      <c r="N447" s="9">
        <v>1924.39</v>
      </c>
      <c r="O447" s="9">
        <v>128.82</v>
      </c>
      <c r="P447" s="7" t="s">
        <v>64</v>
      </c>
      <c r="Q447" s="7" t="s">
        <v>65</v>
      </c>
      <c r="R447" s="30">
        <f t="shared" si="6"/>
        <v>0.21992148885473153</v>
      </c>
    </row>
    <row r="448" spans="1:18" x14ac:dyDescent="0.35">
      <c r="A448" s="3" t="s">
        <v>931</v>
      </c>
      <c r="B448" s="4">
        <v>45621</v>
      </c>
      <c r="C448" s="3" t="s">
        <v>348</v>
      </c>
      <c r="D448" s="3" t="s">
        <v>39</v>
      </c>
      <c r="E448" s="3" t="s">
        <v>40</v>
      </c>
      <c r="F448" s="3" t="s">
        <v>41</v>
      </c>
      <c r="G448" s="3" t="s">
        <v>22</v>
      </c>
      <c r="H448" s="3" t="s">
        <v>624</v>
      </c>
      <c r="I448" s="3" t="s">
        <v>932</v>
      </c>
      <c r="J448" s="3">
        <v>2</v>
      </c>
      <c r="K448" s="5">
        <v>31659.15</v>
      </c>
      <c r="L448" s="5">
        <v>47488.73</v>
      </c>
      <c r="M448" s="6">
        <v>25</v>
      </c>
      <c r="N448" s="5">
        <v>-1399.58</v>
      </c>
      <c r="O448" s="5">
        <v>237.58</v>
      </c>
      <c r="P448" s="3" t="s">
        <v>35</v>
      </c>
      <c r="Q448" s="3" t="s">
        <v>26</v>
      </c>
      <c r="R448" s="30">
        <f t="shared" si="6"/>
        <v>-2.9471834685829666E-2</v>
      </c>
    </row>
    <row r="449" spans="1:18" x14ac:dyDescent="0.35">
      <c r="A449" s="7" t="s">
        <v>933</v>
      </c>
      <c r="B449" s="8">
        <v>45621</v>
      </c>
      <c r="C449" s="7" t="s">
        <v>501</v>
      </c>
      <c r="D449" s="7" t="s">
        <v>39</v>
      </c>
      <c r="E449" s="7" t="s">
        <v>60</v>
      </c>
      <c r="F449" s="7" t="s">
        <v>61</v>
      </c>
      <c r="G449" s="7" t="s">
        <v>22</v>
      </c>
      <c r="H449" s="7" t="s">
        <v>55</v>
      </c>
      <c r="I449" s="7" t="s">
        <v>416</v>
      </c>
      <c r="J449" s="7">
        <v>1</v>
      </c>
      <c r="K449" s="9">
        <v>14495.89</v>
      </c>
      <c r="L449" s="9">
        <v>10871.92</v>
      </c>
      <c r="M449" s="10">
        <v>25</v>
      </c>
      <c r="N449" s="9">
        <v>-466.54</v>
      </c>
      <c r="O449" s="9">
        <v>72.540000000000006</v>
      </c>
      <c r="P449" s="7" t="s">
        <v>25</v>
      </c>
      <c r="Q449" s="7" t="s">
        <v>57</v>
      </c>
      <c r="R449" s="30">
        <f t="shared" si="6"/>
        <v>-4.2912383461246956E-2</v>
      </c>
    </row>
    <row r="450" spans="1:18" x14ac:dyDescent="0.35">
      <c r="A450" s="3" t="s">
        <v>934</v>
      </c>
      <c r="B450" s="4">
        <v>45622</v>
      </c>
      <c r="C450" s="3" t="s">
        <v>935</v>
      </c>
      <c r="D450" s="3" t="s">
        <v>19</v>
      </c>
      <c r="E450" s="3" t="s">
        <v>40</v>
      </c>
      <c r="F450" s="3" t="s">
        <v>109</v>
      </c>
      <c r="G450" s="3" t="s">
        <v>49</v>
      </c>
      <c r="H450" s="3" t="s">
        <v>91</v>
      </c>
      <c r="I450" s="3" t="s">
        <v>92</v>
      </c>
      <c r="J450" s="3">
        <v>1</v>
      </c>
      <c r="K450" s="5">
        <v>9063.8700000000008</v>
      </c>
      <c r="L450" s="5">
        <v>8157.48</v>
      </c>
      <c r="M450" s="6">
        <v>10</v>
      </c>
      <c r="N450" s="5">
        <v>1019.36</v>
      </c>
      <c r="O450" s="5">
        <v>149.1</v>
      </c>
      <c r="P450" s="3" t="s">
        <v>83</v>
      </c>
      <c r="Q450" s="3" t="s">
        <v>65</v>
      </c>
      <c r="R450" s="30">
        <f t="shared" si="6"/>
        <v>0.12496015926487103</v>
      </c>
    </row>
    <row r="451" spans="1:18" x14ac:dyDescent="0.35">
      <c r="A451" s="7" t="s">
        <v>936</v>
      </c>
      <c r="B451" s="8">
        <v>45622</v>
      </c>
      <c r="C451" s="7" t="s">
        <v>937</v>
      </c>
      <c r="D451" s="7" t="s">
        <v>39</v>
      </c>
      <c r="E451" s="7" t="s">
        <v>30</v>
      </c>
      <c r="F451" s="7" t="s">
        <v>48</v>
      </c>
      <c r="G451" s="7" t="s">
        <v>134</v>
      </c>
      <c r="H451" s="7" t="s">
        <v>244</v>
      </c>
      <c r="I451" s="7" t="s">
        <v>411</v>
      </c>
      <c r="J451" s="7">
        <v>2</v>
      </c>
      <c r="K451" s="9">
        <v>1877.82</v>
      </c>
      <c r="L451" s="9">
        <v>3380.08</v>
      </c>
      <c r="M451" s="10">
        <v>10</v>
      </c>
      <c r="N451" s="9">
        <v>659.31</v>
      </c>
      <c r="O451" s="9">
        <v>140</v>
      </c>
      <c r="P451" s="7" t="s">
        <v>64</v>
      </c>
      <c r="Q451" s="7" t="s">
        <v>65</v>
      </c>
      <c r="R451" s="30">
        <f t="shared" ref="R451:R514" si="7">N451/L451</f>
        <v>0.19505751343163474</v>
      </c>
    </row>
    <row r="452" spans="1:18" x14ac:dyDescent="0.35">
      <c r="A452" s="3" t="s">
        <v>938</v>
      </c>
      <c r="B452" s="4">
        <v>45623</v>
      </c>
      <c r="C452" s="3" t="s">
        <v>939</v>
      </c>
      <c r="D452" s="3" t="s">
        <v>39</v>
      </c>
      <c r="E452" s="3" t="s">
        <v>20</v>
      </c>
      <c r="F452" s="3" t="s">
        <v>129</v>
      </c>
      <c r="G452" s="3" t="s">
        <v>49</v>
      </c>
      <c r="H452" s="3" t="s">
        <v>98</v>
      </c>
      <c r="I452" s="3" t="s">
        <v>299</v>
      </c>
      <c r="J452" s="3">
        <v>1</v>
      </c>
      <c r="K452" s="5">
        <v>868.94</v>
      </c>
      <c r="L452" s="5">
        <v>825.49</v>
      </c>
      <c r="M452" s="6">
        <v>5</v>
      </c>
      <c r="N452" s="5">
        <v>161.25</v>
      </c>
      <c r="O452" s="5">
        <v>265.27</v>
      </c>
      <c r="P452" s="3" t="s">
        <v>64</v>
      </c>
      <c r="Q452" s="3" t="s">
        <v>57</v>
      </c>
      <c r="R452" s="30">
        <f t="shared" si="7"/>
        <v>0.19533852620867606</v>
      </c>
    </row>
    <row r="453" spans="1:18" x14ac:dyDescent="0.35">
      <c r="A453" s="7" t="s">
        <v>940</v>
      </c>
      <c r="B453" s="8">
        <v>45623</v>
      </c>
      <c r="C453" s="7" t="s">
        <v>941</v>
      </c>
      <c r="D453" s="7" t="s">
        <v>29</v>
      </c>
      <c r="E453" s="7" t="s">
        <v>20</v>
      </c>
      <c r="F453" s="7" t="s">
        <v>21</v>
      </c>
      <c r="G453" s="7" t="s">
        <v>42</v>
      </c>
      <c r="H453" s="7" t="s">
        <v>81</v>
      </c>
      <c r="I453" s="7" t="s">
        <v>431</v>
      </c>
      <c r="J453" s="7">
        <v>4</v>
      </c>
      <c r="K453" s="9">
        <v>234.19</v>
      </c>
      <c r="L453" s="9">
        <v>843.08</v>
      </c>
      <c r="M453" s="10">
        <v>10</v>
      </c>
      <c r="N453" s="9">
        <v>34.26</v>
      </c>
      <c r="O453" s="9">
        <v>188.53</v>
      </c>
      <c r="P453" s="7" t="s">
        <v>25</v>
      </c>
      <c r="Q453" s="7" t="s">
        <v>57</v>
      </c>
      <c r="R453" s="30">
        <f t="shared" si="7"/>
        <v>4.063671300469706E-2</v>
      </c>
    </row>
    <row r="454" spans="1:18" x14ac:dyDescent="0.35">
      <c r="A454" s="3" t="s">
        <v>942</v>
      </c>
      <c r="B454" s="4">
        <v>45625</v>
      </c>
      <c r="C454" s="3" t="s">
        <v>832</v>
      </c>
      <c r="D454" s="3" t="s">
        <v>29</v>
      </c>
      <c r="E454" s="3" t="s">
        <v>20</v>
      </c>
      <c r="F454" s="3" t="s">
        <v>21</v>
      </c>
      <c r="G454" s="3" t="s">
        <v>134</v>
      </c>
      <c r="H454" s="3" t="s">
        <v>244</v>
      </c>
      <c r="I454" s="3" t="s">
        <v>245</v>
      </c>
      <c r="J454" s="3">
        <v>1</v>
      </c>
      <c r="K454" s="5">
        <v>2452.98</v>
      </c>
      <c r="L454" s="5">
        <v>2452.98</v>
      </c>
      <c r="M454" s="6">
        <v>0</v>
      </c>
      <c r="N454" s="5">
        <v>453.35</v>
      </c>
      <c r="O454" s="5">
        <v>169.89</v>
      </c>
      <c r="P454" s="3" t="s">
        <v>64</v>
      </c>
      <c r="Q454" s="3" t="s">
        <v>65</v>
      </c>
      <c r="R454" s="30">
        <f t="shared" si="7"/>
        <v>0.18481601969848918</v>
      </c>
    </row>
    <row r="455" spans="1:18" x14ac:dyDescent="0.35">
      <c r="A455" s="7" t="s">
        <v>943</v>
      </c>
      <c r="B455" s="8">
        <v>45625</v>
      </c>
      <c r="C455" s="7" t="s">
        <v>503</v>
      </c>
      <c r="D455" s="7" t="s">
        <v>19</v>
      </c>
      <c r="E455" s="7" t="s">
        <v>60</v>
      </c>
      <c r="F455" s="7" t="s">
        <v>104</v>
      </c>
      <c r="G455" s="7" t="s">
        <v>49</v>
      </c>
      <c r="H455" s="7" t="s">
        <v>62</v>
      </c>
      <c r="I455" s="7" t="s">
        <v>122</v>
      </c>
      <c r="J455" s="7">
        <v>1</v>
      </c>
      <c r="K455" s="9">
        <v>11237.78</v>
      </c>
      <c r="L455" s="9">
        <v>10114</v>
      </c>
      <c r="M455" s="10">
        <v>10</v>
      </c>
      <c r="N455" s="9">
        <v>1683.12</v>
      </c>
      <c r="O455" s="9">
        <v>45.41</v>
      </c>
      <c r="P455" s="7" t="s">
        <v>64</v>
      </c>
      <c r="Q455" s="7" t="s">
        <v>26</v>
      </c>
      <c r="R455" s="30">
        <f t="shared" si="7"/>
        <v>0.16641487047656711</v>
      </c>
    </row>
    <row r="456" spans="1:18" x14ac:dyDescent="0.35">
      <c r="A456" s="3" t="s">
        <v>944</v>
      </c>
      <c r="B456" s="4">
        <v>45625</v>
      </c>
      <c r="C456" s="3" t="s">
        <v>121</v>
      </c>
      <c r="D456" s="3" t="s">
        <v>39</v>
      </c>
      <c r="E456" s="3" t="s">
        <v>60</v>
      </c>
      <c r="F456" s="3" t="s">
        <v>68</v>
      </c>
      <c r="G456" s="3" t="s">
        <v>117</v>
      </c>
      <c r="H456" s="3" t="s">
        <v>153</v>
      </c>
      <c r="I456" s="3" t="s">
        <v>154</v>
      </c>
      <c r="J456" s="3">
        <v>2</v>
      </c>
      <c r="K456" s="5">
        <v>340.54</v>
      </c>
      <c r="L456" s="5">
        <v>612.97</v>
      </c>
      <c r="M456" s="6">
        <v>10</v>
      </c>
      <c r="N456" s="5">
        <v>175.93</v>
      </c>
      <c r="O456" s="5">
        <v>204.78</v>
      </c>
      <c r="P456" s="3" t="s">
        <v>64</v>
      </c>
      <c r="Q456" s="3" t="s">
        <v>26</v>
      </c>
      <c r="R456" s="30">
        <f t="shared" si="7"/>
        <v>0.28701241496321189</v>
      </c>
    </row>
    <row r="457" spans="1:18" x14ac:dyDescent="0.35">
      <c r="A457" s="7" t="s">
        <v>945</v>
      </c>
      <c r="B457" s="8">
        <v>45625</v>
      </c>
      <c r="C457" s="7" t="s">
        <v>353</v>
      </c>
      <c r="D457" s="7" t="s">
        <v>19</v>
      </c>
      <c r="E457" s="7" t="s">
        <v>20</v>
      </c>
      <c r="F457" s="7" t="s">
        <v>129</v>
      </c>
      <c r="G457" s="7" t="s">
        <v>134</v>
      </c>
      <c r="H457" s="7" t="s">
        <v>91</v>
      </c>
      <c r="I457" s="7" t="s">
        <v>92</v>
      </c>
      <c r="J457" s="7">
        <v>5</v>
      </c>
      <c r="K457" s="9">
        <v>4331.12</v>
      </c>
      <c r="L457" s="9">
        <v>20572.82</v>
      </c>
      <c r="M457" s="10">
        <v>5</v>
      </c>
      <c r="N457" s="9">
        <v>6072.76</v>
      </c>
      <c r="O457" s="9">
        <v>104.59</v>
      </c>
      <c r="P457" s="7" t="s">
        <v>35</v>
      </c>
      <c r="Q457" s="7" t="s">
        <v>57</v>
      </c>
      <c r="R457" s="30">
        <f t="shared" si="7"/>
        <v>0.29518364521733043</v>
      </c>
    </row>
    <row r="458" spans="1:18" x14ac:dyDescent="0.35">
      <c r="A458" s="3" t="s">
        <v>946</v>
      </c>
      <c r="B458" s="4">
        <v>45625</v>
      </c>
      <c r="C458" s="3" t="s">
        <v>947</v>
      </c>
      <c r="D458" s="3" t="s">
        <v>39</v>
      </c>
      <c r="E458" s="3" t="s">
        <v>40</v>
      </c>
      <c r="F458" s="3" t="s">
        <v>77</v>
      </c>
      <c r="G458" s="3" t="s">
        <v>22</v>
      </c>
      <c r="H458" s="3" t="s">
        <v>105</v>
      </c>
      <c r="I458" s="3" t="s">
        <v>106</v>
      </c>
      <c r="J458" s="3">
        <v>1</v>
      </c>
      <c r="K458" s="5">
        <v>32198.62</v>
      </c>
      <c r="L458" s="5">
        <v>28978.76</v>
      </c>
      <c r="M458" s="6">
        <v>10</v>
      </c>
      <c r="N458" s="5">
        <v>-102.26</v>
      </c>
      <c r="O458" s="5">
        <v>128.33000000000001</v>
      </c>
      <c r="P458" s="3" t="s">
        <v>25</v>
      </c>
      <c r="Q458" s="3" t="s">
        <v>65</v>
      </c>
      <c r="R458" s="30">
        <f t="shared" si="7"/>
        <v>-3.5287914320695575E-3</v>
      </c>
    </row>
    <row r="459" spans="1:18" x14ac:dyDescent="0.35">
      <c r="A459" s="7" t="s">
        <v>948</v>
      </c>
      <c r="B459" s="8">
        <v>45626</v>
      </c>
      <c r="C459" s="7" t="s">
        <v>949</v>
      </c>
      <c r="D459" s="7" t="s">
        <v>29</v>
      </c>
      <c r="E459" s="7" t="s">
        <v>20</v>
      </c>
      <c r="F459" s="7" t="s">
        <v>54</v>
      </c>
      <c r="G459" s="7" t="s">
        <v>117</v>
      </c>
      <c r="H459" s="7" t="s">
        <v>153</v>
      </c>
      <c r="I459" s="7" t="s">
        <v>284</v>
      </c>
      <c r="J459" s="7">
        <v>2</v>
      </c>
      <c r="K459" s="9">
        <v>347.21</v>
      </c>
      <c r="L459" s="9">
        <v>624.98</v>
      </c>
      <c r="M459" s="10">
        <v>10</v>
      </c>
      <c r="N459" s="9">
        <v>120.32</v>
      </c>
      <c r="O459" s="9">
        <v>187.05</v>
      </c>
      <c r="P459" s="7" t="s">
        <v>83</v>
      </c>
      <c r="Q459" s="7" t="s">
        <v>26</v>
      </c>
      <c r="R459" s="30">
        <f t="shared" si="7"/>
        <v>0.19251816058113858</v>
      </c>
    </row>
    <row r="460" spans="1:18" x14ac:dyDescent="0.35">
      <c r="A460" s="3" t="s">
        <v>950</v>
      </c>
      <c r="B460" s="4">
        <v>45626</v>
      </c>
      <c r="C460" s="3" t="s">
        <v>951</v>
      </c>
      <c r="D460" s="3" t="s">
        <v>19</v>
      </c>
      <c r="E460" s="3" t="s">
        <v>30</v>
      </c>
      <c r="F460" s="3" t="s">
        <v>48</v>
      </c>
      <c r="G460" s="3" t="s">
        <v>32</v>
      </c>
      <c r="H460" s="3" t="s">
        <v>73</v>
      </c>
      <c r="I460" s="3" t="s">
        <v>214</v>
      </c>
      <c r="J460" s="3">
        <v>1</v>
      </c>
      <c r="K460" s="5">
        <v>1172.1500000000001</v>
      </c>
      <c r="L460" s="5">
        <v>937.72</v>
      </c>
      <c r="M460" s="6">
        <v>20</v>
      </c>
      <c r="N460" s="5">
        <v>27.82</v>
      </c>
      <c r="O460" s="5">
        <v>150.15</v>
      </c>
      <c r="P460" s="3" t="s">
        <v>35</v>
      </c>
      <c r="Q460" s="3" t="s">
        <v>57</v>
      </c>
      <c r="R460" s="30">
        <f t="shared" si="7"/>
        <v>2.9667704645309899E-2</v>
      </c>
    </row>
    <row r="461" spans="1:18" x14ac:dyDescent="0.35">
      <c r="A461" s="7" t="s">
        <v>952</v>
      </c>
      <c r="B461" s="8">
        <v>45626</v>
      </c>
      <c r="C461" s="7" t="s">
        <v>513</v>
      </c>
      <c r="D461" s="7" t="s">
        <v>39</v>
      </c>
      <c r="E461" s="7" t="s">
        <v>40</v>
      </c>
      <c r="F461" s="7" t="s">
        <v>77</v>
      </c>
      <c r="G461" s="7" t="s">
        <v>32</v>
      </c>
      <c r="H461" s="7" t="s">
        <v>33</v>
      </c>
      <c r="I461" s="7" t="s">
        <v>34</v>
      </c>
      <c r="J461" s="7">
        <v>1</v>
      </c>
      <c r="K461" s="9">
        <v>8490.08</v>
      </c>
      <c r="L461" s="9">
        <v>6367.56</v>
      </c>
      <c r="M461" s="10">
        <v>25</v>
      </c>
      <c r="N461" s="9">
        <v>1020.71</v>
      </c>
      <c r="O461" s="9">
        <v>125.15</v>
      </c>
      <c r="P461" s="7" t="s">
        <v>25</v>
      </c>
      <c r="Q461" s="7" t="s">
        <v>26</v>
      </c>
      <c r="R461" s="30">
        <f t="shared" si="7"/>
        <v>0.16029845026980508</v>
      </c>
    </row>
    <row r="462" spans="1:18" x14ac:dyDescent="0.35">
      <c r="A462" s="3" t="s">
        <v>953</v>
      </c>
      <c r="B462" s="4">
        <v>45626</v>
      </c>
      <c r="C462" s="3" t="s">
        <v>883</v>
      </c>
      <c r="D462" s="3" t="s">
        <v>19</v>
      </c>
      <c r="E462" s="3" t="s">
        <v>40</v>
      </c>
      <c r="F462" s="3" t="s">
        <v>109</v>
      </c>
      <c r="G462" s="3" t="s">
        <v>32</v>
      </c>
      <c r="H462" s="3" t="s">
        <v>33</v>
      </c>
      <c r="I462" s="3" t="s">
        <v>470</v>
      </c>
      <c r="J462" s="3">
        <v>2</v>
      </c>
      <c r="K462" s="5">
        <v>11211.53</v>
      </c>
      <c r="L462" s="5">
        <v>16817.3</v>
      </c>
      <c r="M462" s="6">
        <v>25</v>
      </c>
      <c r="N462" s="5">
        <v>305.77999999999997</v>
      </c>
      <c r="O462" s="5">
        <v>77.8</v>
      </c>
      <c r="P462" s="3" t="s">
        <v>45</v>
      </c>
      <c r="Q462" s="3" t="s">
        <v>57</v>
      </c>
      <c r="R462" s="30">
        <f t="shared" si="7"/>
        <v>1.8182466864478841E-2</v>
      </c>
    </row>
    <row r="463" spans="1:18" x14ac:dyDescent="0.35">
      <c r="A463" s="7" t="s">
        <v>954</v>
      </c>
      <c r="B463" s="8">
        <v>45626</v>
      </c>
      <c r="C463" s="7" t="s">
        <v>955</v>
      </c>
      <c r="D463" s="7" t="s">
        <v>39</v>
      </c>
      <c r="E463" s="7" t="s">
        <v>20</v>
      </c>
      <c r="F463" s="7" t="s">
        <v>21</v>
      </c>
      <c r="G463" s="7" t="s">
        <v>22</v>
      </c>
      <c r="H463" s="7" t="s">
        <v>55</v>
      </c>
      <c r="I463" s="7" t="s">
        <v>416</v>
      </c>
      <c r="J463" s="7">
        <v>1</v>
      </c>
      <c r="K463" s="9">
        <v>26499.43</v>
      </c>
      <c r="L463" s="9">
        <v>23849.49</v>
      </c>
      <c r="M463" s="10">
        <v>10</v>
      </c>
      <c r="N463" s="9">
        <v>1809.63</v>
      </c>
      <c r="O463" s="9">
        <v>229.07</v>
      </c>
      <c r="P463" s="7" t="s">
        <v>64</v>
      </c>
      <c r="Q463" s="7" t="s">
        <v>26</v>
      </c>
      <c r="R463" s="30">
        <f t="shared" si="7"/>
        <v>7.5877094227172148E-2</v>
      </c>
    </row>
    <row r="464" spans="1:18" x14ac:dyDescent="0.35">
      <c r="A464" s="3" t="s">
        <v>956</v>
      </c>
      <c r="B464" s="4">
        <v>45626</v>
      </c>
      <c r="C464" s="3" t="s">
        <v>880</v>
      </c>
      <c r="D464" s="3" t="s">
        <v>19</v>
      </c>
      <c r="E464" s="3" t="s">
        <v>60</v>
      </c>
      <c r="F464" s="3" t="s">
        <v>72</v>
      </c>
      <c r="G464" s="3" t="s">
        <v>134</v>
      </c>
      <c r="H464" s="3" t="s">
        <v>244</v>
      </c>
      <c r="I464" s="3" t="s">
        <v>411</v>
      </c>
      <c r="J464" s="3">
        <v>1</v>
      </c>
      <c r="K464" s="5">
        <v>2137.39</v>
      </c>
      <c r="L464" s="5">
        <v>1923.65</v>
      </c>
      <c r="M464" s="6">
        <v>10</v>
      </c>
      <c r="N464" s="5">
        <v>281.87</v>
      </c>
      <c r="O464" s="5">
        <v>194.48</v>
      </c>
      <c r="P464" s="3" t="s">
        <v>64</v>
      </c>
      <c r="Q464" s="3" t="s">
        <v>65</v>
      </c>
      <c r="R464" s="30">
        <f t="shared" si="7"/>
        <v>0.14652873443713774</v>
      </c>
    </row>
    <row r="465" spans="1:18" x14ac:dyDescent="0.35">
      <c r="A465" s="7" t="s">
        <v>957</v>
      </c>
      <c r="B465" s="8">
        <v>45627</v>
      </c>
      <c r="C465" s="7" t="s">
        <v>958</v>
      </c>
      <c r="D465" s="7" t="s">
        <v>39</v>
      </c>
      <c r="E465" s="7" t="s">
        <v>60</v>
      </c>
      <c r="F465" s="7" t="s">
        <v>68</v>
      </c>
      <c r="G465" s="7" t="s">
        <v>22</v>
      </c>
      <c r="H465" s="7" t="s">
        <v>110</v>
      </c>
      <c r="I465" s="7" t="s">
        <v>111</v>
      </c>
      <c r="J465" s="7">
        <v>1</v>
      </c>
      <c r="K465" s="9">
        <v>14179.25</v>
      </c>
      <c r="L465" s="9">
        <v>13470.29</v>
      </c>
      <c r="M465" s="10">
        <v>5</v>
      </c>
      <c r="N465" s="9">
        <v>681.81</v>
      </c>
      <c r="O465" s="9">
        <v>200.1</v>
      </c>
      <c r="P465" s="7" t="s">
        <v>64</v>
      </c>
      <c r="Q465" s="7" t="s">
        <v>26</v>
      </c>
      <c r="R465" s="30">
        <f t="shared" si="7"/>
        <v>5.061583677856972E-2</v>
      </c>
    </row>
    <row r="466" spans="1:18" x14ac:dyDescent="0.35">
      <c r="A466" s="3" t="s">
        <v>959</v>
      </c>
      <c r="B466" s="4">
        <v>45630</v>
      </c>
      <c r="C466" s="3" t="s">
        <v>960</v>
      </c>
      <c r="D466" s="3" t="s">
        <v>29</v>
      </c>
      <c r="E466" s="3" t="s">
        <v>40</v>
      </c>
      <c r="F466" s="3" t="s">
        <v>77</v>
      </c>
      <c r="G466" s="3" t="s">
        <v>42</v>
      </c>
      <c r="H466" s="3" t="s">
        <v>164</v>
      </c>
      <c r="I466" s="3" t="s">
        <v>165</v>
      </c>
      <c r="J466" s="3">
        <v>1</v>
      </c>
      <c r="K466" s="5">
        <v>601.08000000000004</v>
      </c>
      <c r="L466" s="5">
        <v>601.08000000000004</v>
      </c>
      <c r="M466" s="6">
        <v>0</v>
      </c>
      <c r="N466" s="5">
        <v>84.73</v>
      </c>
      <c r="O466" s="5">
        <v>67.92</v>
      </c>
      <c r="P466" s="3" t="s">
        <v>45</v>
      </c>
      <c r="Q466" s="3" t="s">
        <v>65</v>
      </c>
      <c r="R466" s="30">
        <f t="shared" si="7"/>
        <v>0.14096293338657084</v>
      </c>
    </row>
    <row r="467" spans="1:18" x14ac:dyDescent="0.35">
      <c r="A467" s="7" t="s">
        <v>961</v>
      </c>
      <c r="B467" s="8">
        <v>45631</v>
      </c>
      <c r="C467" s="7" t="s">
        <v>89</v>
      </c>
      <c r="D467" s="7" t="s">
        <v>29</v>
      </c>
      <c r="E467" s="7" t="s">
        <v>40</v>
      </c>
      <c r="F467" s="7" t="s">
        <v>41</v>
      </c>
      <c r="G467" s="7" t="s">
        <v>42</v>
      </c>
      <c r="H467" s="7" t="s">
        <v>81</v>
      </c>
      <c r="I467" s="7" t="s">
        <v>431</v>
      </c>
      <c r="J467" s="7">
        <v>2</v>
      </c>
      <c r="K467" s="9">
        <v>962.35</v>
      </c>
      <c r="L467" s="9">
        <v>1539.76</v>
      </c>
      <c r="M467" s="10">
        <v>20</v>
      </c>
      <c r="N467" s="9">
        <v>104.67</v>
      </c>
      <c r="O467" s="9">
        <v>284.31</v>
      </c>
      <c r="P467" s="7" t="s">
        <v>25</v>
      </c>
      <c r="Q467" s="7" t="s">
        <v>57</v>
      </c>
      <c r="R467" s="30">
        <f t="shared" si="7"/>
        <v>6.7978126461266691E-2</v>
      </c>
    </row>
    <row r="468" spans="1:18" x14ac:dyDescent="0.35">
      <c r="A468" s="3" t="s">
        <v>962</v>
      </c>
      <c r="B468" s="4">
        <v>45631</v>
      </c>
      <c r="C468" s="3" t="s">
        <v>448</v>
      </c>
      <c r="D468" s="3" t="s">
        <v>39</v>
      </c>
      <c r="E468" s="3" t="s">
        <v>20</v>
      </c>
      <c r="F468" s="3" t="s">
        <v>54</v>
      </c>
      <c r="G468" s="3" t="s">
        <v>134</v>
      </c>
      <c r="H468" s="3" t="s">
        <v>91</v>
      </c>
      <c r="I468" s="3" t="s">
        <v>206</v>
      </c>
      <c r="J468" s="3">
        <v>2</v>
      </c>
      <c r="K468" s="5">
        <v>2668.46</v>
      </c>
      <c r="L468" s="5">
        <v>4803.2299999999996</v>
      </c>
      <c r="M468" s="6">
        <v>10</v>
      </c>
      <c r="N468" s="5">
        <v>582.85</v>
      </c>
      <c r="O468" s="5">
        <v>73.760000000000005</v>
      </c>
      <c r="P468" s="3" t="s">
        <v>64</v>
      </c>
      <c r="Q468" s="3" t="s">
        <v>57</v>
      </c>
      <c r="R468" s="30">
        <f t="shared" si="7"/>
        <v>0.12134542797242691</v>
      </c>
    </row>
    <row r="469" spans="1:18" x14ac:dyDescent="0.35">
      <c r="A469" s="7" t="s">
        <v>963</v>
      </c>
      <c r="B469" s="8">
        <v>45632</v>
      </c>
      <c r="C469" s="7" t="s">
        <v>782</v>
      </c>
      <c r="D469" s="7" t="s">
        <v>29</v>
      </c>
      <c r="E469" s="7" t="s">
        <v>30</v>
      </c>
      <c r="F469" s="7" t="s">
        <v>226</v>
      </c>
      <c r="G469" s="7" t="s">
        <v>49</v>
      </c>
      <c r="H469" s="7" t="s">
        <v>91</v>
      </c>
      <c r="I469" s="7" t="s">
        <v>168</v>
      </c>
      <c r="J469" s="7">
        <v>2</v>
      </c>
      <c r="K469" s="9">
        <v>5366.86</v>
      </c>
      <c r="L469" s="9">
        <v>9123.66</v>
      </c>
      <c r="M469" s="10">
        <v>15</v>
      </c>
      <c r="N469" s="9">
        <v>100.68</v>
      </c>
      <c r="O469" s="9">
        <v>230.75</v>
      </c>
      <c r="P469" s="7" t="s">
        <v>45</v>
      </c>
      <c r="Q469" s="7" t="s">
        <v>65</v>
      </c>
      <c r="R469" s="30">
        <f t="shared" si="7"/>
        <v>1.103504514635574E-2</v>
      </c>
    </row>
    <row r="470" spans="1:18" x14ac:dyDescent="0.35">
      <c r="A470" s="3" t="s">
        <v>964</v>
      </c>
      <c r="B470" s="4">
        <v>45633</v>
      </c>
      <c r="C470" s="3" t="s">
        <v>477</v>
      </c>
      <c r="D470" s="3" t="s">
        <v>19</v>
      </c>
      <c r="E470" s="3" t="s">
        <v>60</v>
      </c>
      <c r="F470" s="3" t="s">
        <v>72</v>
      </c>
      <c r="G470" s="3" t="s">
        <v>134</v>
      </c>
      <c r="H470" s="3" t="s">
        <v>139</v>
      </c>
      <c r="I470" s="3" t="s">
        <v>147</v>
      </c>
      <c r="J470" s="3">
        <v>3</v>
      </c>
      <c r="K470" s="5">
        <v>874.92</v>
      </c>
      <c r="L470" s="5">
        <v>2624.76</v>
      </c>
      <c r="M470" s="6">
        <v>0</v>
      </c>
      <c r="N470" s="5">
        <v>574.71</v>
      </c>
      <c r="O470" s="5">
        <v>348.01</v>
      </c>
      <c r="P470" s="3" t="s">
        <v>25</v>
      </c>
      <c r="Q470" s="3" t="s">
        <v>26</v>
      </c>
      <c r="R470" s="30">
        <f t="shared" si="7"/>
        <v>0.21895716179765007</v>
      </c>
    </row>
    <row r="471" spans="1:18" x14ac:dyDescent="0.35">
      <c r="A471" s="7" t="s">
        <v>965</v>
      </c>
      <c r="B471" s="8">
        <v>45633</v>
      </c>
      <c r="C471" s="7" t="s">
        <v>843</v>
      </c>
      <c r="D471" s="7" t="s">
        <v>29</v>
      </c>
      <c r="E471" s="7" t="s">
        <v>40</v>
      </c>
      <c r="F471" s="7" t="s">
        <v>41</v>
      </c>
      <c r="G471" s="7" t="s">
        <v>22</v>
      </c>
      <c r="H471" s="7" t="s">
        <v>23</v>
      </c>
      <c r="I471" s="7" t="s">
        <v>238</v>
      </c>
      <c r="J471" s="7">
        <v>1</v>
      </c>
      <c r="K471" s="9">
        <v>6645.31</v>
      </c>
      <c r="L471" s="9">
        <v>5316.25</v>
      </c>
      <c r="M471" s="10">
        <v>20</v>
      </c>
      <c r="N471" s="9">
        <v>7.83</v>
      </c>
      <c r="O471" s="9">
        <v>349</v>
      </c>
      <c r="P471" s="7" t="s">
        <v>64</v>
      </c>
      <c r="Q471" s="7" t="s">
        <v>26</v>
      </c>
      <c r="R471" s="30">
        <f t="shared" si="7"/>
        <v>1.4728426992711029E-3</v>
      </c>
    </row>
    <row r="472" spans="1:18" x14ac:dyDescent="0.35">
      <c r="A472" s="3" t="s">
        <v>966</v>
      </c>
      <c r="B472" s="4">
        <v>45635</v>
      </c>
      <c r="C472" s="3" t="s">
        <v>776</v>
      </c>
      <c r="D472" s="3" t="s">
        <v>19</v>
      </c>
      <c r="E472" s="3" t="s">
        <v>30</v>
      </c>
      <c r="F472" s="3" t="s">
        <v>226</v>
      </c>
      <c r="G472" s="3" t="s">
        <v>134</v>
      </c>
      <c r="H472" s="3" t="s">
        <v>139</v>
      </c>
      <c r="I472" s="3" t="s">
        <v>140</v>
      </c>
      <c r="J472" s="3">
        <v>1</v>
      </c>
      <c r="K472" s="5">
        <v>1999.85</v>
      </c>
      <c r="L472" s="5">
        <v>1599.88</v>
      </c>
      <c r="M472" s="6">
        <v>20</v>
      </c>
      <c r="N472" s="5">
        <v>152.76</v>
      </c>
      <c r="O472" s="5">
        <v>132.41</v>
      </c>
      <c r="P472" s="3" t="s">
        <v>25</v>
      </c>
      <c r="Q472" s="3" t="s">
        <v>65</v>
      </c>
      <c r="R472" s="30">
        <f t="shared" si="7"/>
        <v>9.5482161162087145E-2</v>
      </c>
    </row>
    <row r="473" spans="1:18" x14ac:dyDescent="0.35">
      <c r="A473" s="7" t="s">
        <v>967</v>
      </c>
      <c r="B473" s="8">
        <v>45635</v>
      </c>
      <c r="C473" s="7" t="s">
        <v>968</v>
      </c>
      <c r="D473" s="7" t="s">
        <v>19</v>
      </c>
      <c r="E473" s="7" t="s">
        <v>60</v>
      </c>
      <c r="F473" s="7" t="s">
        <v>68</v>
      </c>
      <c r="G473" s="7" t="s">
        <v>134</v>
      </c>
      <c r="H473" s="7" t="s">
        <v>244</v>
      </c>
      <c r="I473" s="7" t="s">
        <v>411</v>
      </c>
      <c r="J473" s="7">
        <v>1</v>
      </c>
      <c r="K473" s="9">
        <v>665.79</v>
      </c>
      <c r="L473" s="9">
        <v>599.21</v>
      </c>
      <c r="M473" s="10">
        <v>10</v>
      </c>
      <c r="N473" s="9">
        <v>69.319999999999993</v>
      </c>
      <c r="O473" s="9">
        <v>140.47</v>
      </c>
      <c r="P473" s="7" t="s">
        <v>64</v>
      </c>
      <c r="Q473" s="7" t="s">
        <v>26</v>
      </c>
      <c r="R473" s="30">
        <f t="shared" si="7"/>
        <v>0.11568565277615525</v>
      </c>
    </row>
    <row r="474" spans="1:18" x14ac:dyDescent="0.35">
      <c r="A474" s="3" t="s">
        <v>969</v>
      </c>
      <c r="B474" s="4">
        <v>45635</v>
      </c>
      <c r="C474" s="3" t="s">
        <v>289</v>
      </c>
      <c r="D474" s="3" t="s">
        <v>39</v>
      </c>
      <c r="E474" s="3" t="s">
        <v>60</v>
      </c>
      <c r="F474" s="3" t="s">
        <v>61</v>
      </c>
      <c r="G474" s="3" t="s">
        <v>134</v>
      </c>
      <c r="H474" s="3" t="s">
        <v>139</v>
      </c>
      <c r="I474" s="3" t="s">
        <v>147</v>
      </c>
      <c r="J474" s="3">
        <v>1</v>
      </c>
      <c r="K474" s="5">
        <v>1958.5</v>
      </c>
      <c r="L474" s="5">
        <v>1958.5</v>
      </c>
      <c r="M474" s="6">
        <v>0</v>
      </c>
      <c r="N474" s="5">
        <v>493.18</v>
      </c>
      <c r="O474" s="5">
        <v>282.86</v>
      </c>
      <c r="P474" s="3" t="s">
        <v>25</v>
      </c>
      <c r="Q474" s="3" t="s">
        <v>36</v>
      </c>
      <c r="R474" s="30">
        <f t="shared" si="7"/>
        <v>0.25181516466683684</v>
      </c>
    </row>
    <row r="475" spans="1:18" x14ac:dyDescent="0.35">
      <c r="A475" s="7" t="s">
        <v>970</v>
      </c>
      <c r="B475" s="8">
        <v>45636</v>
      </c>
      <c r="C475" s="7" t="s">
        <v>971</v>
      </c>
      <c r="D475" s="7" t="s">
        <v>19</v>
      </c>
      <c r="E475" s="7" t="s">
        <v>20</v>
      </c>
      <c r="F475" s="7" t="s">
        <v>54</v>
      </c>
      <c r="G475" s="7" t="s">
        <v>42</v>
      </c>
      <c r="H475" s="7" t="s">
        <v>81</v>
      </c>
      <c r="I475" s="7" t="s">
        <v>621</v>
      </c>
      <c r="J475" s="7">
        <v>4</v>
      </c>
      <c r="K475" s="9">
        <v>211.07</v>
      </c>
      <c r="L475" s="9">
        <v>802.07</v>
      </c>
      <c r="M475" s="10">
        <v>5</v>
      </c>
      <c r="N475" s="9">
        <v>73.64</v>
      </c>
      <c r="O475" s="9">
        <v>113.84</v>
      </c>
      <c r="P475" s="7" t="s">
        <v>35</v>
      </c>
      <c r="Q475" s="7" t="s">
        <v>26</v>
      </c>
      <c r="R475" s="30">
        <f t="shared" si="7"/>
        <v>9.1812435323600186E-2</v>
      </c>
    </row>
    <row r="476" spans="1:18" x14ac:dyDescent="0.35">
      <c r="A476" s="3" t="s">
        <v>972</v>
      </c>
      <c r="B476" s="4">
        <v>45637</v>
      </c>
      <c r="C476" s="3" t="s">
        <v>753</v>
      </c>
      <c r="D476" s="3" t="s">
        <v>19</v>
      </c>
      <c r="E476" s="3" t="s">
        <v>40</v>
      </c>
      <c r="F476" s="3" t="s">
        <v>41</v>
      </c>
      <c r="G476" s="3" t="s">
        <v>42</v>
      </c>
      <c r="H476" s="3" t="s">
        <v>172</v>
      </c>
      <c r="I476" s="3" t="s">
        <v>173</v>
      </c>
      <c r="J476" s="3">
        <v>3</v>
      </c>
      <c r="K476" s="5">
        <v>687.7</v>
      </c>
      <c r="L476" s="5">
        <v>1753.63</v>
      </c>
      <c r="M476" s="6">
        <v>15</v>
      </c>
      <c r="N476" s="5">
        <v>162.13</v>
      </c>
      <c r="O476" s="5">
        <v>115.8</v>
      </c>
      <c r="P476" s="3" t="s">
        <v>83</v>
      </c>
      <c r="Q476" s="3" t="s">
        <v>57</v>
      </c>
      <c r="R476" s="30">
        <f t="shared" si="7"/>
        <v>9.2453938402057442E-2</v>
      </c>
    </row>
    <row r="477" spans="1:18" x14ac:dyDescent="0.35">
      <c r="A477" s="7" t="s">
        <v>973</v>
      </c>
      <c r="B477" s="8">
        <v>45637</v>
      </c>
      <c r="C477" s="7" t="s">
        <v>974</v>
      </c>
      <c r="D477" s="7" t="s">
        <v>39</v>
      </c>
      <c r="E477" s="7" t="s">
        <v>60</v>
      </c>
      <c r="F477" s="7" t="s">
        <v>68</v>
      </c>
      <c r="G477" s="7" t="s">
        <v>134</v>
      </c>
      <c r="H477" s="7" t="s">
        <v>135</v>
      </c>
      <c r="I477" s="7" t="s">
        <v>287</v>
      </c>
      <c r="J477" s="7">
        <v>1</v>
      </c>
      <c r="K477" s="9">
        <v>4425.1099999999997</v>
      </c>
      <c r="L477" s="9">
        <v>3318.83</v>
      </c>
      <c r="M477" s="10">
        <v>25</v>
      </c>
      <c r="N477" s="9">
        <v>298.08999999999997</v>
      </c>
      <c r="O477" s="9">
        <v>195.32</v>
      </c>
      <c r="P477" s="7" t="s">
        <v>64</v>
      </c>
      <c r="Q477" s="7" t="s">
        <v>26</v>
      </c>
      <c r="R477" s="30">
        <f t="shared" si="7"/>
        <v>8.9817797235772837E-2</v>
      </c>
    </row>
    <row r="478" spans="1:18" x14ac:dyDescent="0.35">
      <c r="A478" s="3" t="s">
        <v>975</v>
      </c>
      <c r="B478" s="4">
        <v>45639</v>
      </c>
      <c r="C478" s="3" t="s">
        <v>593</v>
      </c>
      <c r="D478" s="3" t="s">
        <v>39</v>
      </c>
      <c r="E478" s="3" t="s">
        <v>20</v>
      </c>
      <c r="F478" s="3" t="s">
        <v>54</v>
      </c>
      <c r="G478" s="3" t="s">
        <v>32</v>
      </c>
      <c r="H478" s="3" t="s">
        <v>143</v>
      </c>
      <c r="I478" s="3" t="s">
        <v>144</v>
      </c>
      <c r="J478" s="3">
        <v>1</v>
      </c>
      <c r="K478" s="5">
        <v>4533.05</v>
      </c>
      <c r="L478" s="5">
        <v>3626.44</v>
      </c>
      <c r="M478" s="6">
        <v>20</v>
      </c>
      <c r="N478" s="5">
        <v>393.22</v>
      </c>
      <c r="O478" s="5">
        <v>320.19</v>
      </c>
      <c r="P478" s="3" t="s">
        <v>35</v>
      </c>
      <c r="Q478" s="3" t="s">
        <v>65</v>
      </c>
      <c r="R478" s="30">
        <f t="shared" si="7"/>
        <v>0.10843140931602344</v>
      </c>
    </row>
    <row r="479" spans="1:18" x14ac:dyDescent="0.35">
      <c r="A479" s="7" t="s">
        <v>976</v>
      </c>
      <c r="B479" s="8">
        <v>45639</v>
      </c>
      <c r="C479" s="7" t="s">
        <v>977</v>
      </c>
      <c r="D479" s="7" t="s">
        <v>39</v>
      </c>
      <c r="E479" s="7" t="s">
        <v>60</v>
      </c>
      <c r="F479" s="7" t="s">
        <v>104</v>
      </c>
      <c r="G479" s="7" t="s">
        <v>49</v>
      </c>
      <c r="H479" s="7" t="s">
        <v>91</v>
      </c>
      <c r="I479" s="7" t="s">
        <v>188</v>
      </c>
      <c r="J479" s="7">
        <v>2</v>
      </c>
      <c r="K479" s="9">
        <v>14621.51</v>
      </c>
      <c r="L479" s="9">
        <v>29243.02</v>
      </c>
      <c r="M479" s="10">
        <v>0</v>
      </c>
      <c r="N479" s="9">
        <v>4747.17</v>
      </c>
      <c r="O479" s="9">
        <v>259.89999999999998</v>
      </c>
      <c r="P479" s="7" t="s">
        <v>45</v>
      </c>
      <c r="Q479" s="7" t="s">
        <v>65</v>
      </c>
      <c r="R479" s="30">
        <f t="shared" si="7"/>
        <v>0.1623351486953126</v>
      </c>
    </row>
    <row r="480" spans="1:18" x14ac:dyDescent="0.35">
      <c r="A480" s="3" t="s">
        <v>978</v>
      </c>
      <c r="B480" s="4">
        <v>45641</v>
      </c>
      <c r="C480" s="3" t="s">
        <v>156</v>
      </c>
      <c r="D480" s="3" t="s">
        <v>29</v>
      </c>
      <c r="E480" s="3" t="s">
        <v>20</v>
      </c>
      <c r="F480" s="3" t="s">
        <v>21</v>
      </c>
      <c r="G480" s="3" t="s">
        <v>117</v>
      </c>
      <c r="H480" s="3" t="s">
        <v>125</v>
      </c>
      <c r="I480" s="3" t="s">
        <v>196</v>
      </c>
      <c r="J480" s="3">
        <v>1</v>
      </c>
      <c r="K480" s="5">
        <v>1443.46</v>
      </c>
      <c r="L480" s="5">
        <v>1443.46</v>
      </c>
      <c r="M480" s="6">
        <v>0</v>
      </c>
      <c r="N480" s="5">
        <v>502.57</v>
      </c>
      <c r="O480" s="5">
        <v>342.27</v>
      </c>
      <c r="P480" s="3" t="s">
        <v>64</v>
      </c>
      <c r="Q480" s="3" t="s">
        <v>36</v>
      </c>
      <c r="R480" s="30">
        <f t="shared" si="7"/>
        <v>0.3481703684203234</v>
      </c>
    </row>
    <row r="481" spans="1:18" x14ac:dyDescent="0.35">
      <c r="A481" s="7" t="s">
        <v>979</v>
      </c>
      <c r="B481" s="8">
        <v>45641</v>
      </c>
      <c r="C481" s="7" t="s">
        <v>980</v>
      </c>
      <c r="D481" s="7" t="s">
        <v>19</v>
      </c>
      <c r="E481" s="7" t="s">
        <v>20</v>
      </c>
      <c r="F481" s="7" t="s">
        <v>54</v>
      </c>
      <c r="G481" s="7" t="s">
        <v>22</v>
      </c>
      <c r="H481" s="7" t="s">
        <v>110</v>
      </c>
      <c r="I481" s="7" t="s">
        <v>111</v>
      </c>
      <c r="J481" s="7">
        <v>4</v>
      </c>
      <c r="K481" s="9">
        <v>12261.24</v>
      </c>
      <c r="L481" s="9">
        <v>46592.71</v>
      </c>
      <c r="M481" s="10">
        <v>5</v>
      </c>
      <c r="N481" s="9">
        <v>3165.26</v>
      </c>
      <c r="O481" s="9">
        <v>361.96</v>
      </c>
      <c r="P481" s="7" t="s">
        <v>64</v>
      </c>
      <c r="Q481" s="7" t="s">
        <v>26</v>
      </c>
      <c r="R481" s="30">
        <f t="shared" si="7"/>
        <v>6.7934661881654881E-2</v>
      </c>
    </row>
    <row r="482" spans="1:18" x14ac:dyDescent="0.35">
      <c r="A482" s="3" t="s">
        <v>981</v>
      </c>
      <c r="B482" s="4">
        <v>45641</v>
      </c>
      <c r="C482" s="3" t="s">
        <v>982</v>
      </c>
      <c r="D482" s="3" t="s">
        <v>39</v>
      </c>
      <c r="E482" s="3" t="s">
        <v>30</v>
      </c>
      <c r="F482" s="3" t="s">
        <v>226</v>
      </c>
      <c r="G482" s="3" t="s">
        <v>49</v>
      </c>
      <c r="H482" s="3" t="s">
        <v>50</v>
      </c>
      <c r="I482" s="3" t="s">
        <v>193</v>
      </c>
      <c r="J482" s="3">
        <v>2</v>
      </c>
      <c r="K482" s="5">
        <v>2649.72</v>
      </c>
      <c r="L482" s="5">
        <v>4769.5</v>
      </c>
      <c r="M482" s="6">
        <v>10</v>
      </c>
      <c r="N482" s="5">
        <v>710.21</v>
      </c>
      <c r="O482" s="5">
        <v>216.71</v>
      </c>
      <c r="P482" s="3" t="s">
        <v>83</v>
      </c>
      <c r="Q482" s="3" t="s">
        <v>26</v>
      </c>
      <c r="R482" s="30">
        <f t="shared" si="7"/>
        <v>0.14890659398259776</v>
      </c>
    </row>
    <row r="483" spans="1:18" x14ac:dyDescent="0.35">
      <c r="A483" s="7" t="s">
        <v>983</v>
      </c>
      <c r="B483" s="8">
        <v>45641</v>
      </c>
      <c r="C483" s="7" t="s">
        <v>499</v>
      </c>
      <c r="D483" s="7" t="s">
        <v>39</v>
      </c>
      <c r="E483" s="7" t="s">
        <v>20</v>
      </c>
      <c r="F483" s="7" t="s">
        <v>129</v>
      </c>
      <c r="G483" s="7" t="s">
        <v>134</v>
      </c>
      <c r="H483" s="7" t="s">
        <v>135</v>
      </c>
      <c r="I483" s="7" t="s">
        <v>382</v>
      </c>
      <c r="J483" s="7">
        <v>1</v>
      </c>
      <c r="K483" s="9">
        <v>896.98</v>
      </c>
      <c r="L483" s="9">
        <v>717.58</v>
      </c>
      <c r="M483" s="10">
        <v>20</v>
      </c>
      <c r="N483" s="9">
        <v>70.569999999999993</v>
      </c>
      <c r="O483" s="9">
        <v>124.41</v>
      </c>
      <c r="P483" s="7" t="s">
        <v>64</v>
      </c>
      <c r="Q483" s="7" t="s">
        <v>26</v>
      </c>
      <c r="R483" s="30">
        <f t="shared" si="7"/>
        <v>9.8344435463641675E-2</v>
      </c>
    </row>
    <row r="484" spans="1:18" x14ac:dyDescent="0.35">
      <c r="A484" s="3" t="s">
        <v>984</v>
      </c>
      <c r="B484" s="4">
        <v>45644</v>
      </c>
      <c r="C484" s="3" t="s">
        <v>582</v>
      </c>
      <c r="D484" s="3" t="s">
        <v>39</v>
      </c>
      <c r="E484" s="3" t="s">
        <v>30</v>
      </c>
      <c r="F484" s="3" t="s">
        <v>48</v>
      </c>
      <c r="G484" s="3" t="s">
        <v>32</v>
      </c>
      <c r="H484" s="3" t="s">
        <v>86</v>
      </c>
      <c r="I484" s="3" t="s">
        <v>87</v>
      </c>
      <c r="J484" s="3">
        <v>1</v>
      </c>
      <c r="K484" s="5">
        <v>10149.25</v>
      </c>
      <c r="L484" s="5">
        <v>7611.94</v>
      </c>
      <c r="M484" s="6">
        <v>25</v>
      </c>
      <c r="N484" s="5">
        <v>443.12</v>
      </c>
      <c r="O484" s="5">
        <v>85.74</v>
      </c>
      <c r="P484" s="3" t="s">
        <v>64</v>
      </c>
      <c r="Q484" s="3" t="s">
        <v>65</v>
      </c>
      <c r="R484" s="30">
        <f t="shared" si="7"/>
        <v>5.8213806204462995E-2</v>
      </c>
    </row>
    <row r="485" spans="1:18" x14ac:dyDescent="0.35">
      <c r="A485" s="7" t="s">
        <v>985</v>
      </c>
      <c r="B485" s="8">
        <v>45646</v>
      </c>
      <c r="C485" s="7" t="s">
        <v>679</v>
      </c>
      <c r="D485" s="7" t="s">
        <v>39</v>
      </c>
      <c r="E485" s="7" t="s">
        <v>40</v>
      </c>
      <c r="F485" s="7" t="s">
        <v>109</v>
      </c>
      <c r="G485" s="7" t="s">
        <v>22</v>
      </c>
      <c r="H485" s="7" t="s">
        <v>624</v>
      </c>
      <c r="I485" s="7" t="s">
        <v>932</v>
      </c>
      <c r="J485" s="7">
        <v>1</v>
      </c>
      <c r="K485" s="9">
        <v>10862.22</v>
      </c>
      <c r="L485" s="9">
        <v>9776</v>
      </c>
      <c r="M485" s="10">
        <v>10</v>
      </c>
      <c r="N485" s="9">
        <v>249.6</v>
      </c>
      <c r="O485" s="9">
        <v>168.49</v>
      </c>
      <c r="P485" s="7" t="s">
        <v>64</v>
      </c>
      <c r="Q485" s="7" t="s">
        <v>26</v>
      </c>
      <c r="R485" s="30">
        <f t="shared" si="7"/>
        <v>2.553191489361702E-2</v>
      </c>
    </row>
    <row r="486" spans="1:18" x14ac:dyDescent="0.35">
      <c r="A486" s="3" t="s">
        <v>986</v>
      </c>
      <c r="B486" s="4">
        <v>45646</v>
      </c>
      <c r="C486" s="3" t="s">
        <v>742</v>
      </c>
      <c r="D486" s="3" t="s">
        <v>39</v>
      </c>
      <c r="E486" s="3" t="s">
        <v>60</v>
      </c>
      <c r="F486" s="3" t="s">
        <v>68</v>
      </c>
      <c r="G486" s="3" t="s">
        <v>32</v>
      </c>
      <c r="H486" s="3" t="s">
        <v>143</v>
      </c>
      <c r="I486" s="3" t="s">
        <v>516</v>
      </c>
      <c r="J486" s="3">
        <v>2</v>
      </c>
      <c r="K486" s="5">
        <v>1106.46</v>
      </c>
      <c r="L486" s="5">
        <v>2102.27</v>
      </c>
      <c r="M486" s="6">
        <v>5</v>
      </c>
      <c r="N486" s="5">
        <v>282.61</v>
      </c>
      <c r="O486" s="5">
        <v>54.9</v>
      </c>
      <c r="P486" s="3" t="s">
        <v>35</v>
      </c>
      <c r="Q486" s="3" t="s">
        <v>26</v>
      </c>
      <c r="R486" s="30">
        <f t="shared" si="7"/>
        <v>0.13443087709951623</v>
      </c>
    </row>
    <row r="487" spans="1:18" x14ac:dyDescent="0.35">
      <c r="A487" s="7" t="s">
        <v>987</v>
      </c>
      <c r="B487" s="8">
        <v>45646</v>
      </c>
      <c r="C487" s="7" t="s">
        <v>712</v>
      </c>
      <c r="D487" s="7" t="s">
        <v>39</v>
      </c>
      <c r="E487" s="7" t="s">
        <v>40</v>
      </c>
      <c r="F487" s="7" t="s">
        <v>109</v>
      </c>
      <c r="G487" s="7" t="s">
        <v>117</v>
      </c>
      <c r="H487" s="7" t="s">
        <v>118</v>
      </c>
      <c r="I487" s="7" t="s">
        <v>279</v>
      </c>
      <c r="J487" s="7">
        <v>2</v>
      </c>
      <c r="K487" s="9">
        <v>1463</v>
      </c>
      <c r="L487" s="9">
        <v>2340.8000000000002</v>
      </c>
      <c r="M487" s="10">
        <v>20</v>
      </c>
      <c r="N487" s="9">
        <v>293.05</v>
      </c>
      <c r="O487" s="9">
        <v>247.27</v>
      </c>
      <c r="P487" s="7" t="s">
        <v>35</v>
      </c>
      <c r="Q487" s="7" t="s">
        <v>26</v>
      </c>
      <c r="R487" s="30">
        <f t="shared" si="7"/>
        <v>0.12519224196855774</v>
      </c>
    </row>
    <row r="488" spans="1:18" x14ac:dyDescent="0.35">
      <c r="A488" s="3" t="s">
        <v>988</v>
      </c>
      <c r="B488" s="4">
        <v>45648</v>
      </c>
      <c r="C488" s="3" t="s">
        <v>448</v>
      </c>
      <c r="D488" s="3" t="s">
        <v>19</v>
      </c>
      <c r="E488" s="3" t="s">
        <v>30</v>
      </c>
      <c r="F488" s="3" t="s">
        <v>48</v>
      </c>
      <c r="G488" s="3" t="s">
        <v>42</v>
      </c>
      <c r="H488" s="3" t="s">
        <v>81</v>
      </c>
      <c r="I488" s="3" t="s">
        <v>621</v>
      </c>
      <c r="J488" s="3">
        <v>1</v>
      </c>
      <c r="K488" s="5">
        <v>608.85</v>
      </c>
      <c r="L488" s="5">
        <v>517.52</v>
      </c>
      <c r="M488" s="6">
        <v>15</v>
      </c>
      <c r="N488" s="5">
        <v>47.19</v>
      </c>
      <c r="O488" s="5">
        <v>219.94</v>
      </c>
      <c r="P488" s="3" t="s">
        <v>64</v>
      </c>
      <c r="Q488" s="3" t="s">
        <v>65</v>
      </c>
      <c r="R488" s="30">
        <f t="shared" si="7"/>
        <v>9.1184881743700721E-2</v>
      </c>
    </row>
    <row r="489" spans="1:18" x14ac:dyDescent="0.35">
      <c r="A489" s="7" t="s">
        <v>989</v>
      </c>
      <c r="B489" s="8">
        <v>45648</v>
      </c>
      <c r="C489" s="7" t="s">
        <v>990</v>
      </c>
      <c r="D489" s="7" t="s">
        <v>39</v>
      </c>
      <c r="E489" s="7" t="s">
        <v>30</v>
      </c>
      <c r="F489" s="7" t="s">
        <v>226</v>
      </c>
      <c r="G489" s="7" t="s">
        <v>49</v>
      </c>
      <c r="H489" s="7" t="s">
        <v>62</v>
      </c>
      <c r="I489" s="7" t="s">
        <v>63</v>
      </c>
      <c r="J489" s="7">
        <v>5</v>
      </c>
      <c r="K489" s="9">
        <v>6188.09</v>
      </c>
      <c r="L489" s="9">
        <v>24752.36</v>
      </c>
      <c r="M489" s="10">
        <v>20</v>
      </c>
      <c r="N489" s="9">
        <v>2722.63</v>
      </c>
      <c r="O489" s="9">
        <v>287.07</v>
      </c>
      <c r="P489" s="7" t="s">
        <v>64</v>
      </c>
      <c r="Q489" s="7" t="s">
        <v>36</v>
      </c>
      <c r="R489" s="30">
        <f t="shared" si="7"/>
        <v>0.10999476413562181</v>
      </c>
    </row>
    <row r="490" spans="1:18" x14ac:dyDescent="0.35">
      <c r="A490" s="3" t="s">
        <v>991</v>
      </c>
      <c r="B490" s="4">
        <v>45649</v>
      </c>
      <c r="C490" s="3" t="s">
        <v>992</v>
      </c>
      <c r="D490" s="3" t="s">
        <v>39</v>
      </c>
      <c r="E490" s="3" t="s">
        <v>40</v>
      </c>
      <c r="F490" s="3" t="s">
        <v>77</v>
      </c>
      <c r="G490" s="3" t="s">
        <v>22</v>
      </c>
      <c r="H490" s="3" t="s">
        <v>110</v>
      </c>
      <c r="I490" s="3" t="s">
        <v>317</v>
      </c>
      <c r="J490" s="3">
        <v>1</v>
      </c>
      <c r="K490" s="5">
        <v>30270.9</v>
      </c>
      <c r="L490" s="5">
        <v>25730.26</v>
      </c>
      <c r="M490" s="6">
        <v>15</v>
      </c>
      <c r="N490" s="5">
        <v>-1611.81</v>
      </c>
      <c r="O490" s="5">
        <v>90.2</v>
      </c>
      <c r="P490" s="3" t="s">
        <v>64</v>
      </c>
      <c r="Q490" s="3" t="s">
        <v>26</v>
      </c>
      <c r="R490" s="30">
        <f t="shared" si="7"/>
        <v>-6.2642585034119361E-2</v>
      </c>
    </row>
    <row r="491" spans="1:18" x14ac:dyDescent="0.35">
      <c r="A491" s="7" t="s">
        <v>993</v>
      </c>
      <c r="B491" s="8">
        <v>45651</v>
      </c>
      <c r="C491" s="7" t="s">
        <v>80</v>
      </c>
      <c r="D491" s="7" t="s">
        <v>39</v>
      </c>
      <c r="E491" s="7" t="s">
        <v>60</v>
      </c>
      <c r="F491" s="7" t="s">
        <v>72</v>
      </c>
      <c r="G491" s="7" t="s">
        <v>134</v>
      </c>
      <c r="H491" s="7" t="s">
        <v>139</v>
      </c>
      <c r="I491" s="7" t="s">
        <v>220</v>
      </c>
      <c r="J491" s="7">
        <v>2</v>
      </c>
      <c r="K491" s="9">
        <v>4106.97</v>
      </c>
      <c r="L491" s="9">
        <v>7803.24</v>
      </c>
      <c r="M491" s="10">
        <v>5</v>
      </c>
      <c r="N491" s="9">
        <v>1578.79</v>
      </c>
      <c r="O491" s="9">
        <v>97.44</v>
      </c>
      <c r="P491" s="7" t="s">
        <v>35</v>
      </c>
      <c r="Q491" s="7" t="s">
        <v>65</v>
      </c>
      <c r="R491" s="30">
        <f t="shared" si="7"/>
        <v>0.20232493169503948</v>
      </c>
    </row>
    <row r="492" spans="1:18" x14ac:dyDescent="0.35">
      <c r="A492" s="3" t="s">
        <v>994</v>
      </c>
      <c r="B492" s="4">
        <v>45652</v>
      </c>
      <c r="C492" s="3" t="s">
        <v>995</v>
      </c>
      <c r="D492" s="3" t="s">
        <v>29</v>
      </c>
      <c r="E492" s="3" t="s">
        <v>20</v>
      </c>
      <c r="F492" s="3" t="s">
        <v>129</v>
      </c>
      <c r="G492" s="3" t="s">
        <v>42</v>
      </c>
      <c r="H492" s="3" t="s">
        <v>164</v>
      </c>
      <c r="I492" s="3" t="s">
        <v>329</v>
      </c>
      <c r="J492" s="3">
        <v>2</v>
      </c>
      <c r="K492" s="5">
        <v>681.58</v>
      </c>
      <c r="L492" s="5">
        <v>1295</v>
      </c>
      <c r="M492" s="6">
        <v>5</v>
      </c>
      <c r="N492" s="5">
        <v>115.08</v>
      </c>
      <c r="O492" s="5">
        <v>126.41</v>
      </c>
      <c r="P492" s="3" t="s">
        <v>35</v>
      </c>
      <c r="Q492" s="3" t="s">
        <v>36</v>
      </c>
      <c r="R492" s="30">
        <f t="shared" si="7"/>
        <v>8.8864864864864862E-2</v>
      </c>
    </row>
    <row r="493" spans="1:18" x14ac:dyDescent="0.35">
      <c r="A493" s="7" t="s">
        <v>996</v>
      </c>
      <c r="B493" s="8">
        <v>45655</v>
      </c>
      <c r="C493" s="7" t="s">
        <v>263</v>
      </c>
      <c r="D493" s="7" t="s">
        <v>29</v>
      </c>
      <c r="E493" s="7" t="s">
        <v>60</v>
      </c>
      <c r="F493" s="7" t="s">
        <v>104</v>
      </c>
      <c r="G493" s="7" t="s">
        <v>134</v>
      </c>
      <c r="H493" s="7" t="s">
        <v>135</v>
      </c>
      <c r="I493" s="7" t="s">
        <v>136</v>
      </c>
      <c r="J493" s="7">
        <v>1</v>
      </c>
      <c r="K493" s="9">
        <v>503.12</v>
      </c>
      <c r="L493" s="9">
        <v>402.5</v>
      </c>
      <c r="M493" s="10">
        <v>20</v>
      </c>
      <c r="N493" s="9">
        <v>35</v>
      </c>
      <c r="O493" s="9">
        <v>292.56</v>
      </c>
      <c r="P493" s="7" t="s">
        <v>35</v>
      </c>
      <c r="Q493" s="7" t="s">
        <v>65</v>
      </c>
      <c r="R493" s="30">
        <f t="shared" si="7"/>
        <v>8.6956521739130432E-2</v>
      </c>
    </row>
    <row r="494" spans="1:18" x14ac:dyDescent="0.35">
      <c r="A494" s="3" t="s">
        <v>997</v>
      </c>
      <c r="B494" s="4">
        <v>45656</v>
      </c>
      <c r="C494" s="3" t="s">
        <v>274</v>
      </c>
      <c r="D494" s="3" t="s">
        <v>39</v>
      </c>
      <c r="E494" s="3" t="s">
        <v>60</v>
      </c>
      <c r="F494" s="3" t="s">
        <v>68</v>
      </c>
      <c r="G494" s="3" t="s">
        <v>22</v>
      </c>
      <c r="H494" s="3" t="s">
        <v>23</v>
      </c>
      <c r="I494" s="3" t="s">
        <v>24</v>
      </c>
      <c r="J494" s="3">
        <v>5</v>
      </c>
      <c r="K494" s="5">
        <v>11068.08</v>
      </c>
      <c r="L494" s="5">
        <v>55340.4</v>
      </c>
      <c r="M494" s="6">
        <v>0</v>
      </c>
      <c r="N494" s="5">
        <v>5871.64</v>
      </c>
      <c r="O494" s="5">
        <v>289.47000000000003</v>
      </c>
      <c r="P494" s="3" t="s">
        <v>83</v>
      </c>
      <c r="Q494" s="3" t="s">
        <v>57</v>
      </c>
      <c r="R494" s="30">
        <f t="shared" si="7"/>
        <v>0.10610042572876235</v>
      </c>
    </row>
    <row r="495" spans="1:18" x14ac:dyDescent="0.35">
      <c r="A495" s="7" t="s">
        <v>998</v>
      </c>
      <c r="B495" s="8">
        <v>45656</v>
      </c>
      <c r="C495" s="7" t="s">
        <v>582</v>
      </c>
      <c r="D495" s="7" t="s">
        <v>19</v>
      </c>
      <c r="E495" s="7" t="s">
        <v>40</v>
      </c>
      <c r="F495" s="7" t="s">
        <v>109</v>
      </c>
      <c r="G495" s="7" t="s">
        <v>22</v>
      </c>
      <c r="H495" s="7" t="s">
        <v>105</v>
      </c>
      <c r="I495" s="7" t="s">
        <v>106</v>
      </c>
      <c r="J495" s="7">
        <v>2</v>
      </c>
      <c r="K495" s="9">
        <v>50954.14</v>
      </c>
      <c r="L495" s="9">
        <v>86622.04</v>
      </c>
      <c r="M495" s="10">
        <v>15</v>
      </c>
      <c r="N495" s="9">
        <v>1534.97</v>
      </c>
      <c r="O495" s="9">
        <v>79.23</v>
      </c>
      <c r="P495" s="7" t="s">
        <v>45</v>
      </c>
      <c r="Q495" s="7" t="s">
        <v>26</v>
      </c>
      <c r="R495" s="30">
        <f t="shared" si="7"/>
        <v>1.7720316907798524E-2</v>
      </c>
    </row>
    <row r="496" spans="1:18" x14ac:dyDescent="0.35">
      <c r="A496" s="3" t="s">
        <v>999</v>
      </c>
      <c r="B496" s="4">
        <v>45656</v>
      </c>
      <c r="C496" s="3" t="s">
        <v>1000</v>
      </c>
      <c r="D496" s="3" t="s">
        <v>39</v>
      </c>
      <c r="E496" s="3" t="s">
        <v>60</v>
      </c>
      <c r="F496" s="3" t="s">
        <v>72</v>
      </c>
      <c r="G496" s="3" t="s">
        <v>22</v>
      </c>
      <c r="H496" s="3" t="s">
        <v>105</v>
      </c>
      <c r="I496" s="3" t="s">
        <v>157</v>
      </c>
      <c r="J496" s="3">
        <v>3</v>
      </c>
      <c r="K496" s="5">
        <v>30919.68</v>
      </c>
      <c r="L496" s="5">
        <v>88121.09</v>
      </c>
      <c r="M496" s="6">
        <v>5</v>
      </c>
      <c r="N496" s="5">
        <v>8867.0499999999993</v>
      </c>
      <c r="O496" s="5">
        <v>242.77</v>
      </c>
      <c r="P496" s="3" t="s">
        <v>45</v>
      </c>
      <c r="Q496" s="3" t="s">
        <v>57</v>
      </c>
      <c r="R496" s="30">
        <f t="shared" si="7"/>
        <v>0.10062347163431591</v>
      </c>
    </row>
    <row r="497" spans="1:18" x14ac:dyDescent="0.35">
      <c r="A497" s="7" t="s">
        <v>1001</v>
      </c>
      <c r="B497" s="8">
        <v>45657</v>
      </c>
      <c r="C497" s="7" t="s">
        <v>1002</v>
      </c>
      <c r="D497" s="7" t="s">
        <v>39</v>
      </c>
      <c r="E497" s="7" t="s">
        <v>20</v>
      </c>
      <c r="F497" s="7" t="s">
        <v>54</v>
      </c>
      <c r="G497" s="7" t="s">
        <v>117</v>
      </c>
      <c r="H497" s="7" t="s">
        <v>125</v>
      </c>
      <c r="I497" s="7" t="s">
        <v>454</v>
      </c>
      <c r="J497" s="7">
        <v>3</v>
      </c>
      <c r="K497" s="9">
        <v>822.85</v>
      </c>
      <c r="L497" s="9">
        <v>2468.5500000000002</v>
      </c>
      <c r="M497" s="10">
        <v>0</v>
      </c>
      <c r="N497" s="9">
        <v>901.64</v>
      </c>
      <c r="O497" s="9">
        <v>254.15</v>
      </c>
      <c r="P497" s="7" t="s">
        <v>64</v>
      </c>
      <c r="Q497" s="7" t="s">
        <v>57</v>
      </c>
      <c r="R497" s="30">
        <f t="shared" si="7"/>
        <v>0.36525085576553035</v>
      </c>
    </row>
    <row r="498" spans="1:18" x14ac:dyDescent="0.35">
      <c r="A498" s="3" t="s">
        <v>1003</v>
      </c>
      <c r="B498" s="4">
        <v>45657</v>
      </c>
      <c r="C498" s="3" t="s">
        <v>654</v>
      </c>
      <c r="D498" s="3" t="s">
        <v>39</v>
      </c>
      <c r="E498" s="3" t="s">
        <v>20</v>
      </c>
      <c r="F498" s="3" t="s">
        <v>54</v>
      </c>
      <c r="G498" s="3" t="s">
        <v>22</v>
      </c>
      <c r="H498" s="3" t="s">
        <v>110</v>
      </c>
      <c r="I498" s="3" t="s">
        <v>359</v>
      </c>
      <c r="J498" s="3">
        <v>2</v>
      </c>
      <c r="K498" s="5">
        <v>57861.94</v>
      </c>
      <c r="L498" s="5">
        <v>109937.69</v>
      </c>
      <c r="M498" s="6">
        <v>5</v>
      </c>
      <c r="N498" s="5">
        <v>11382.62</v>
      </c>
      <c r="O498" s="5">
        <v>363.77</v>
      </c>
      <c r="P498" s="3" t="s">
        <v>35</v>
      </c>
      <c r="Q498" s="3" t="s">
        <v>26</v>
      </c>
      <c r="R498" s="30">
        <f t="shared" si="7"/>
        <v>0.10353701264780077</v>
      </c>
    </row>
    <row r="499" spans="1:18" x14ac:dyDescent="0.35">
      <c r="A499" s="7" t="s">
        <v>1004</v>
      </c>
      <c r="B499" s="8">
        <v>45658</v>
      </c>
      <c r="C499" s="7" t="s">
        <v>610</v>
      </c>
      <c r="D499" s="7" t="s">
        <v>39</v>
      </c>
      <c r="E499" s="7" t="s">
        <v>20</v>
      </c>
      <c r="F499" s="7" t="s">
        <v>129</v>
      </c>
      <c r="G499" s="7" t="s">
        <v>42</v>
      </c>
      <c r="H499" s="7" t="s">
        <v>164</v>
      </c>
      <c r="I499" s="7" t="s">
        <v>853</v>
      </c>
      <c r="J499" s="7">
        <v>1</v>
      </c>
      <c r="K499" s="9">
        <v>1071</v>
      </c>
      <c r="L499" s="9">
        <v>963.9</v>
      </c>
      <c r="M499" s="10">
        <v>10</v>
      </c>
      <c r="N499" s="9">
        <v>29.25</v>
      </c>
      <c r="O499" s="9">
        <v>208.57</v>
      </c>
      <c r="P499" s="7" t="s">
        <v>25</v>
      </c>
      <c r="Q499" s="7" t="s">
        <v>65</v>
      </c>
      <c r="R499" s="30">
        <f t="shared" si="7"/>
        <v>3.034547152194211E-2</v>
      </c>
    </row>
    <row r="500" spans="1:18" x14ac:dyDescent="0.35">
      <c r="A500" s="3" t="s">
        <v>1005</v>
      </c>
      <c r="B500" s="4">
        <v>45658</v>
      </c>
      <c r="C500" s="3" t="s">
        <v>894</v>
      </c>
      <c r="D500" s="3" t="s">
        <v>39</v>
      </c>
      <c r="E500" s="3" t="s">
        <v>60</v>
      </c>
      <c r="F500" s="3" t="s">
        <v>61</v>
      </c>
      <c r="G500" s="3" t="s">
        <v>32</v>
      </c>
      <c r="H500" s="3" t="s">
        <v>143</v>
      </c>
      <c r="I500" s="3" t="s">
        <v>321</v>
      </c>
      <c r="J500" s="3">
        <v>1</v>
      </c>
      <c r="K500" s="5">
        <v>2263.88</v>
      </c>
      <c r="L500" s="5">
        <v>2263.88</v>
      </c>
      <c r="M500" s="6">
        <v>0</v>
      </c>
      <c r="N500" s="5">
        <v>356.14</v>
      </c>
      <c r="O500" s="5">
        <v>37.99</v>
      </c>
      <c r="P500" s="3" t="s">
        <v>35</v>
      </c>
      <c r="Q500" s="3" t="s">
        <v>65</v>
      </c>
      <c r="R500" s="30">
        <f t="shared" si="7"/>
        <v>0.15731399190769826</v>
      </c>
    </row>
    <row r="501" spans="1:18" x14ac:dyDescent="0.35">
      <c r="A501" s="7" t="s">
        <v>1006</v>
      </c>
      <c r="B501" s="8">
        <v>45658</v>
      </c>
      <c r="C501" s="7" t="s">
        <v>1007</v>
      </c>
      <c r="D501" s="7" t="s">
        <v>39</v>
      </c>
      <c r="E501" s="7" t="s">
        <v>20</v>
      </c>
      <c r="F501" s="7" t="s">
        <v>21</v>
      </c>
      <c r="G501" s="7" t="s">
        <v>22</v>
      </c>
      <c r="H501" s="7" t="s">
        <v>55</v>
      </c>
      <c r="I501" s="7" t="s">
        <v>150</v>
      </c>
      <c r="J501" s="7">
        <v>1</v>
      </c>
      <c r="K501" s="9">
        <v>14456.58</v>
      </c>
      <c r="L501" s="9">
        <v>14456.58</v>
      </c>
      <c r="M501" s="10">
        <v>0</v>
      </c>
      <c r="N501" s="9">
        <v>770.05</v>
      </c>
      <c r="O501" s="9">
        <v>136.24</v>
      </c>
      <c r="P501" s="7" t="s">
        <v>45</v>
      </c>
      <c r="Q501" s="7" t="s">
        <v>57</v>
      </c>
      <c r="R501" s="30">
        <f t="shared" si="7"/>
        <v>5.3266401873748835E-2</v>
      </c>
    </row>
    <row r="502" spans="1:18" x14ac:dyDescent="0.35">
      <c r="A502" s="3" t="s">
        <v>1008</v>
      </c>
      <c r="B502" s="4">
        <v>45658</v>
      </c>
      <c r="C502" s="3" t="s">
        <v>293</v>
      </c>
      <c r="D502" s="3" t="s">
        <v>29</v>
      </c>
      <c r="E502" s="3" t="s">
        <v>40</v>
      </c>
      <c r="F502" s="3" t="s">
        <v>109</v>
      </c>
      <c r="G502" s="3" t="s">
        <v>22</v>
      </c>
      <c r="H502" s="3" t="s">
        <v>110</v>
      </c>
      <c r="I502" s="3" t="s">
        <v>317</v>
      </c>
      <c r="J502" s="3">
        <v>1</v>
      </c>
      <c r="K502" s="5">
        <v>36505.58</v>
      </c>
      <c r="L502" s="5">
        <v>34680.300000000003</v>
      </c>
      <c r="M502" s="6">
        <v>5</v>
      </c>
      <c r="N502" s="5">
        <v>4811.08</v>
      </c>
      <c r="O502" s="5">
        <v>149.44</v>
      </c>
      <c r="P502" s="3" t="s">
        <v>25</v>
      </c>
      <c r="Q502" s="3" t="s">
        <v>26</v>
      </c>
      <c r="R502" s="30">
        <f t="shared" si="7"/>
        <v>0.1387265969440864</v>
      </c>
    </row>
    <row r="503" spans="1:18" x14ac:dyDescent="0.35">
      <c r="A503" s="7" t="s">
        <v>1009</v>
      </c>
      <c r="B503" s="8">
        <v>45658</v>
      </c>
      <c r="C503" s="7" t="s">
        <v>1010</v>
      </c>
      <c r="D503" s="7" t="s">
        <v>39</v>
      </c>
      <c r="E503" s="7" t="s">
        <v>30</v>
      </c>
      <c r="F503" s="7" t="s">
        <v>48</v>
      </c>
      <c r="G503" s="7" t="s">
        <v>42</v>
      </c>
      <c r="H503" s="7" t="s">
        <v>81</v>
      </c>
      <c r="I503" s="7" t="s">
        <v>248</v>
      </c>
      <c r="J503" s="7">
        <v>1</v>
      </c>
      <c r="K503" s="9">
        <v>512.91</v>
      </c>
      <c r="L503" s="9">
        <v>487.26</v>
      </c>
      <c r="M503" s="10">
        <v>5</v>
      </c>
      <c r="N503" s="9">
        <v>55.03</v>
      </c>
      <c r="O503" s="9">
        <v>54.55</v>
      </c>
      <c r="P503" s="7" t="s">
        <v>35</v>
      </c>
      <c r="Q503" s="7" t="s">
        <v>65</v>
      </c>
      <c r="R503" s="30">
        <f t="shared" si="7"/>
        <v>0.11293765135656529</v>
      </c>
    </row>
    <row r="504" spans="1:18" x14ac:dyDescent="0.35">
      <c r="A504" s="3" t="s">
        <v>1011</v>
      </c>
      <c r="B504" s="4">
        <v>45660</v>
      </c>
      <c r="C504" s="3" t="s">
        <v>1012</v>
      </c>
      <c r="D504" s="3" t="s">
        <v>39</v>
      </c>
      <c r="E504" s="3" t="s">
        <v>20</v>
      </c>
      <c r="F504" s="3" t="s">
        <v>129</v>
      </c>
      <c r="G504" s="3" t="s">
        <v>32</v>
      </c>
      <c r="H504" s="3" t="s">
        <v>33</v>
      </c>
      <c r="I504" s="3" t="s">
        <v>69</v>
      </c>
      <c r="J504" s="3">
        <v>3</v>
      </c>
      <c r="K504" s="5">
        <v>6947.72</v>
      </c>
      <c r="L504" s="5">
        <v>16674.53</v>
      </c>
      <c r="M504" s="6">
        <v>20</v>
      </c>
      <c r="N504" s="5">
        <v>997.72</v>
      </c>
      <c r="O504" s="5">
        <v>181.21</v>
      </c>
      <c r="P504" s="3" t="s">
        <v>35</v>
      </c>
      <c r="Q504" s="3" t="s">
        <v>36</v>
      </c>
      <c r="R504" s="30">
        <f t="shared" si="7"/>
        <v>5.9834969861219479E-2</v>
      </c>
    </row>
    <row r="505" spans="1:18" x14ac:dyDescent="0.35">
      <c r="A505" s="7" t="s">
        <v>1013</v>
      </c>
      <c r="B505" s="8">
        <v>45660</v>
      </c>
      <c r="C505" s="7" t="s">
        <v>723</v>
      </c>
      <c r="D505" s="7" t="s">
        <v>29</v>
      </c>
      <c r="E505" s="7" t="s">
        <v>60</v>
      </c>
      <c r="F505" s="7" t="s">
        <v>104</v>
      </c>
      <c r="G505" s="7" t="s">
        <v>42</v>
      </c>
      <c r="H505" s="7" t="s">
        <v>172</v>
      </c>
      <c r="I505" s="7" t="s">
        <v>1014</v>
      </c>
      <c r="J505" s="7">
        <v>2</v>
      </c>
      <c r="K505" s="9">
        <v>231.05</v>
      </c>
      <c r="L505" s="9">
        <v>415.89</v>
      </c>
      <c r="M505" s="10">
        <v>10</v>
      </c>
      <c r="N505" s="9">
        <v>35.53</v>
      </c>
      <c r="O505" s="9">
        <v>84.45</v>
      </c>
      <c r="P505" s="7" t="s">
        <v>45</v>
      </c>
      <c r="Q505" s="7" t="s">
        <v>36</v>
      </c>
      <c r="R505" s="30">
        <f t="shared" si="7"/>
        <v>8.5431243838514997E-2</v>
      </c>
    </row>
    <row r="506" spans="1:18" x14ac:dyDescent="0.35">
      <c r="A506" s="3" t="s">
        <v>1015</v>
      </c>
      <c r="B506" s="4">
        <v>45660</v>
      </c>
      <c r="C506" s="3" t="s">
        <v>760</v>
      </c>
      <c r="D506" s="3" t="s">
        <v>39</v>
      </c>
      <c r="E506" s="3" t="s">
        <v>60</v>
      </c>
      <c r="F506" s="3" t="s">
        <v>72</v>
      </c>
      <c r="G506" s="3" t="s">
        <v>42</v>
      </c>
      <c r="H506" s="3" t="s">
        <v>172</v>
      </c>
      <c r="I506" s="3" t="s">
        <v>173</v>
      </c>
      <c r="J506" s="3">
        <v>5</v>
      </c>
      <c r="K506" s="5">
        <v>242.61</v>
      </c>
      <c r="L506" s="5">
        <v>1031.0899999999999</v>
      </c>
      <c r="M506" s="6">
        <v>15</v>
      </c>
      <c r="N506" s="5">
        <v>6.43</v>
      </c>
      <c r="O506" s="5">
        <v>99.9</v>
      </c>
      <c r="P506" s="3" t="s">
        <v>25</v>
      </c>
      <c r="Q506" s="3" t="s">
        <v>26</v>
      </c>
      <c r="R506" s="30">
        <f t="shared" si="7"/>
        <v>6.2361190584721022E-3</v>
      </c>
    </row>
    <row r="507" spans="1:18" x14ac:dyDescent="0.35">
      <c r="A507" s="7" t="s">
        <v>1016</v>
      </c>
      <c r="B507" s="8">
        <v>45660</v>
      </c>
      <c r="C507" s="7" t="s">
        <v>1017</v>
      </c>
      <c r="D507" s="7" t="s">
        <v>39</v>
      </c>
      <c r="E507" s="7" t="s">
        <v>20</v>
      </c>
      <c r="F507" s="7" t="s">
        <v>129</v>
      </c>
      <c r="G507" s="7" t="s">
        <v>117</v>
      </c>
      <c r="H507" s="7" t="s">
        <v>153</v>
      </c>
      <c r="I507" s="7" t="s">
        <v>154</v>
      </c>
      <c r="J507" s="7">
        <v>3</v>
      </c>
      <c r="K507" s="9">
        <v>1611.37</v>
      </c>
      <c r="L507" s="9">
        <v>4108.99</v>
      </c>
      <c r="M507" s="10">
        <v>15</v>
      </c>
      <c r="N507" s="9">
        <v>936.13</v>
      </c>
      <c r="O507" s="9">
        <v>347.34</v>
      </c>
      <c r="P507" s="7" t="s">
        <v>83</v>
      </c>
      <c r="Q507" s="7" t="s">
        <v>26</v>
      </c>
      <c r="R507" s="30">
        <f t="shared" si="7"/>
        <v>0.22782484260122318</v>
      </c>
    </row>
    <row r="508" spans="1:18" x14ac:dyDescent="0.35">
      <c r="A508" s="3" t="s">
        <v>1018</v>
      </c>
      <c r="B508" s="4">
        <v>45661</v>
      </c>
      <c r="C508" s="3" t="s">
        <v>898</v>
      </c>
      <c r="D508" s="3" t="s">
        <v>19</v>
      </c>
      <c r="E508" s="3" t="s">
        <v>20</v>
      </c>
      <c r="F508" s="3" t="s">
        <v>21</v>
      </c>
      <c r="G508" s="3" t="s">
        <v>22</v>
      </c>
      <c r="H508" s="3" t="s">
        <v>110</v>
      </c>
      <c r="I508" s="3" t="s">
        <v>542</v>
      </c>
      <c r="J508" s="3">
        <v>2</v>
      </c>
      <c r="K508" s="5">
        <v>60865.88</v>
      </c>
      <c r="L508" s="5">
        <v>115645.17</v>
      </c>
      <c r="M508" s="6">
        <v>5</v>
      </c>
      <c r="N508" s="5">
        <v>8940.81</v>
      </c>
      <c r="O508" s="5">
        <v>295.7</v>
      </c>
      <c r="P508" s="3" t="s">
        <v>64</v>
      </c>
      <c r="Q508" s="3" t="s">
        <v>57</v>
      </c>
      <c r="R508" s="30">
        <f t="shared" si="7"/>
        <v>7.73124376919503E-2</v>
      </c>
    </row>
    <row r="509" spans="1:18" x14ac:dyDescent="0.35">
      <c r="A509" s="7" t="s">
        <v>1019</v>
      </c>
      <c r="B509" s="8">
        <v>45662</v>
      </c>
      <c r="C509" s="7" t="s">
        <v>1020</v>
      </c>
      <c r="D509" s="7" t="s">
        <v>19</v>
      </c>
      <c r="E509" s="7" t="s">
        <v>60</v>
      </c>
      <c r="F509" s="7" t="s">
        <v>61</v>
      </c>
      <c r="G509" s="7" t="s">
        <v>32</v>
      </c>
      <c r="H509" s="7" t="s">
        <v>86</v>
      </c>
      <c r="I509" s="7" t="s">
        <v>233</v>
      </c>
      <c r="J509" s="7">
        <v>1</v>
      </c>
      <c r="K509" s="9">
        <v>11675.26</v>
      </c>
      <c r="L509" s="9">
        <v>8756.44</v>
      </c>
      <c r="M509" s="10">
        <v>25</v>
      </c>
      <c r="N509" s="9">
        <v>510.96</v>
      </c>
      <c r="O509" s="9">
        <v>224.73</v>
      </c>
      <c r="P509" s="7" t="s">
        <v>35</v>
      </c>
      <c r="Q509" s="7" t="s">
        <v>26</v>
      </c>
      <c r="R509" s="30">
        <f t="shared" si="7"/>
        <v>5.8352481145305619E-2</v>
      </c>
    </row>
    <row r="510" spans="1:18" x14ac:dyDescent="0.35">
      <c r="A510" s="3" t="s">
        <v>1021</v>
      </c>
      <c r="B510" s="4">
        <v>45663</v>
      </c>
      <c r="C510" s="3" t="s">
        <v>937</v>
      </c>
      <c r="D510" s="3" t="s">
        <v>19</v>
      </c>
      <c r="E510" s="3" t="s">
        <v>40</v>
      </c>
      <c r="F510" s="3" t="s">
        <v>41</v>
      </c>
      <c r="G510" s="3" t="s">
        <v>32</v>
      </c>
      <c r="H510" s="3" t="s">
        <v>73</v>
      </c>
      <c r="I510" s="3" t="s">
        <v>114</v>
      </c>
      <c r="J510" s="3">
        <v>1</v>
      </c>
      <c r="K510" s="5">
        <v>10196.77</v>
      </c>
      <c r="L510" s="5">
        <v>9686.93</v>
      </c>
      <c r="M510" s="6">
        <v>5</v>
      </c>
      <c r="N510" s="5">
        <v>1278.95</v>
      </c>
      <c r="O510" s="5">
        <v>132.11000000000001</v>
      </c>
      <c r="P510" s="3" t="s">
        <v>25</v>
      </c>
      <c r="Q510" s="3" t="s">
        <v>65</v>
      </c>
      <c r="R510" s="30">
        <f t="shared" si="7"/>
        <v>0.13202841354278394</v>
      </c>
    </row>
    <row r="511" spans="1:18" x14ac:dyDescent="0.35">
      <c r="A511" s="7" t="s">
        <v>1022</v>
      </c>
      <c r="B511" s="8">
        <v>45665</v>
      </c>
      <c r="C511" s="7" t="s">
        <v>237</v>
      </c>
      <c r="D511" s="7" t="s">
        <v>39</v>
      </c>
      <c r="E511" s="7" t="s">
        <v>60</v>
      </c>
      <c r="F511" s="7" t="s">
        <v>68</v>
      </c>
      <c r="G511" s="7" t="s">
        <v>32</v>
      </c>
      <c r="H511" s="7" t="s">
        <v>143</v>
      </c>
      <c r="I511" s="7" t="s">
        <v>385</v>
      </c>
      <c r="J511" s="7">
        <v>3</v>
      </c>
      <c r="K511" s="9">
        <v>9802.42</v>
      </c>
      <c r="L511" s="9">
        <v>27936.9</v>
      </c>
      <c r="M511" s="10">
        <v>5</v>
      </c>
      <c r="N511" s="9">
        <v>5639.28</v>
      </c>
      <c r="O511" s="9">
        <v>375.93</v>
      </c>
      <c r="P511" s="7" t="s">
        <v>25</v>
      </c>
      <c r="Q511" s="7" t="s">
        <v>65</v>
      </c>
      <c r="R511" s="30">
        <f t="shared" si="7"/>
        <v>0.20185775801896413</v>
      </c>
    </row>
    <row r="512" spans="1:18" x14ac:dyDescent="0.35">
      <c r="A512" s="3" t="s">
        <v>1023</v>
      </c>
      <c r="B512" s="4">
        <v>45666</v>
      </c>
      <c r="C512" s="3" t="s">
        <v>1024</v>
      </c>
      <c r="D512" s="3" t="s">
        <v>29</v>
      </c>
      <c r="E512" s="3" t="s">
        <v>40</v>
      </c>
      <c r="F512" s="3" t="s">
        <v>77</v>
      </c>
      <c r="G512" s="3" t="s">
        <v>42</v>
      </c>
      <c r="H512" s="3" t="s">
        <v>43</v>
      </c>
      <c r="I512" s="3" t="s">
        <v>44</v>
      </c>
      <c r="J512" s="3">
        <v>2</v>
      </c>
      <c r="K512" s="5">
        <v>892.01</v>
      </c>
      <c r="L512" s="5">
        <v>1516.42</v>
      </c>
      <c r="M512" s="6">
        <v>15</v>
      </c>
      <c r="N512" s="5">
        <v>9.92</v>
      </c>
      <c r="O512" s="5">
        <v>198.12</v>
      </c>
      <c r="P512" s="3" t="s">
        <v>25</v>
      </c>
      <c r="Q512" s="3" t="s">
        <v>65</v>
      </c>
      <c r="R512" s="30">
        <f t="shared" si="7"/>
        <v>6.5417232692789595E-3</v>
      </c>
    </row>
    <row r="513" spans="1:18" x14ac:dyDescent="0.35">
      <c r="A513" s="7" t="s">
        <v>1025</v>
      </c>
      <c r="B513" s="8">
        <v>45666</v>
      </c>
      <c r="C513" s="7" t="s">
        <v>1026</v>
      </c>
      <c r="D513" s="7" t="s">
        <v>39</v>
      </c>
      <c r="E513" s="7" t="s">
        <v>60</v>
      </c>
      <c r="F513" s="7" t="s">
        <v>68</v>
      </c>
      <c r="G513" s="7" t="s">
        <v>117</v>
      </c>
      <c r="H513" s="7" t="s">
        <v>125</v>
      </c>
      <c r="I513" s="7" t="s">
        <v>196</v>
      </c>
      <c r="J513" s="7">
        <v>2</v>
      </c>
      <c r="K513" s="9">
        <v>1425.15</v>
      </c>
      <c r="L513" s="9">
        <v>2850.3</v>
      </c>
      <c r="M513" s="10">
        <v>0</v>
      </c>
      <c r="N513" s="9">
        <v>687.42</v>
      </c>
      <c r="O513" s="9">
        <v>114.9</v>
      </c>
      <c r="P513" s="7" t="s">
        <v>83</v>
      </c>
      <c r="Q513" s="7" t="s">
        <v>36</v>
      </c>
      <c r="R513" s="30">
        <f t="shared" si="7"/>
        <v>0.24117461319861064</v>
      </c>
    </row>
    <row r="514" spans="1:18" x14ac:dyDescent="0.35">
      <c r="A514" s="3" t="s">
        <v>1027</v>
      </c>
      <c r="B514" s="4">
        <v>45667</v>
      </c>
      <c r="C514" s="3" t="s">
        <v>937</v>
      </c>
      <c r="D514" s="3" t="s">
        <v>29</v>
      </c>
      <c r="E514" s="3" t="s">
        <v>20</v>
      </c>
      <c r="F514" s="3" t="s">
        <v>21</v>
      </c>
      <c r="G514" s="3" t="s">
        <v>49</v>
      </c>
      <c r="H514" s="3" t="s">
        <v>98</v>
      </c>
      <c r="I514" s="3" t="s">
        <v>763</v>
      </c>
      <c r="J514" s="3">
        <v>1</v>
      </c>
      <c r="K514" s="5">
        <v>14669.67</v>
      </c>
      <c r="L514" s="5">
        <v>12469.22</v>
      </c>
      <c r="M514" s="6">
        <v>15</v>
      </c>
      <c r="N514" s="5">
        <v>1460.06</v>
      </c>
      <c r="O514" s="5">
        <v>200.21</v>
      </c>
      <c r="P514" s="3" t="s">
        <v>64</v>
      </c>
      <c r="Q514" s="3" t="s">
        <v>36</v>
      </c>
      <c r="R514" s="30">
        <f t="shared" si="7"/>
        <v>0.1170931301236164</v>
      </c>
    </row>
    <row r="515" spans="1:18" x14ac:dyDescent="0.35">
      <c r="A515" s="7" t="s">
        <v>1028</v>
      </c>
      <c r="B515" s="8">
        <v>45667</v>
      </c>
      <c r="C515" s="7" t="s">
        <v>1029</v>
      </c>
      <c r="D515" s="7" t="s">
        <v>29</v>
      </c>
      <c r="E515" s="7" t="s">
        <v>40</v>
      </c>
      <c r="F515" s="7" t="s">
        <v>41</v>
      </c>
      <c r="G515" s="7" t="s">
        <v>32</v>
      </c>
      <c r="H515" s="7" t="s">
        <v>143</v>
      </c>
      <c r="I515" s="7" t="s">
        <v>144</v>
      </c>
      <c r="J515" s="7">
        <v>1</v>
      </c>
      <c r="K515" s="9">
        <v>6507.39</v>
      </c>
      <c r="L515" s="9">
        <v>6182.02</v>
      </c>
      <c r="M515" s="10">
        <v>5</v>
      </c>
      <c r="N515" s="9">
        <v>880.83</v>
      </c>
      <c r="O515" s="9">
        <v>65.94</v>
      </c>
      <c r="P515" s="7" t="s">
        <v>64</v>
      </c>
      <c r="Q515" s="7" t="s">
        <v>26</v>
      </c>
      <c r="R515" s="30">
        <f t="shared" ref="R515:R578" si="8">N515/L515</f>
        <v>0.14248255424602313</v>
      </c>
    </row>
    <row r="516" spans="1:18" x14ac:dyDescent="0.35">
      <c r="A516" s="3" t="s">
        <v>1030</v>
      </c>
      <c r="B516" s="4">
        <v>45667</v>
      </c>
      <c r="C516" s="3" t="s">
        <v>440</v>
      </c>
      <c r="D516" s="3" t="s">
        <v>39</v>
      </c>
      <c r="E516" s="3" t="s">
        <v>60</v>
      </c>
      <c r="F516" s="3" t="s">
        <v>68</v>
      </c>
      <c r="G516" s="3" t="s">
        <v>134</v>
      </c>
      <c r="H516" s="3" t="s">
        <v>135</v>
      </c>
      <c r="I516" s="3" t="s">
        <v>185</v>
      </c>
      <c r="J516" s="3">
        <v>2</v>
      </c>
      <c r="K516" s="5">
        <v>4461.8999999999996</v>
      </c>
      <c r="L516" s="5">
        <v>7139.04</v>
      </c>
      <c r="M516" s="6">
        <v>20</v>
      </c>
      <c r="N516" s="5">
        <v>532.42999999999995</v>
      </c>
      <c r="O516" s="5">
        <v>341.46</v>
      </c>
      <c r="P516" s="3" t="s">
        <v>35</v>
      </c>
      <c r="Q516" s="3" t="s">
        <v>26</v>
      </c>
      <c r="R516" s="30">
        <f t="shared" si="8"/>
        <v>7.4580055581702859E-2</v>
      </c>
    </row>
    <row r="517" spans="1:18" x14ac:dyDescent="0.35">
      <c r="A517" s="7" t="s">
        <v>1031</v>
      </c>
      <c r="B517" s="8">
        <v>45667</v>
      </c>
      <c r="C517" s="7" t="s">
        <v>1032</v>
      </c>
      <c r="D517" s="7" t="s">
        <v>39</v>
      </c>
      <c r="E517" s="7" t="s">
        <v>40</v>
      </c>
      <c r="F517" s="7" t="s">
        <v>109</v>
      </c>
      <c r="G517" s="7" t="s">
        <v>117</v>
      </c>
      <c r="H517" s="7" t="s">
        <v>130</v>
      </c>
      <c r="I517" s="7" t="s">
        <v>131</v>
      </c>
      <c r="J517" s="7">
        <v>1</v>
      </c>
      <c r="K517" s="9">
        <v>390.29</v>
      </c>
      <c r="L517" s="9">
        <v>390.29</v>
      </c>
      <c r="M517" s="10">
        <v>0</v>
      </c>
      <c r="N517" s="9">
        <v>114.88</v>
      </c>
      <c r="O517" s="9">
        <v>185.05</v>
      </c>
      <c r="P517" s="7" t="s">
        <v>35</v>
      </c>
      <c r="Q517" s="7" t="s">
        <v>57</v>
      </c>
      <c r="R517" s="30">
        <f t="shared" si="8"/>
        <v>0.29434523046965072</v>
      </c>
    </row>
    <row r="518" spans="1:18" x14ac:dyDescent="0.35">
      <c r="A518" s="3" t="s">
        <v>1033</v>
      </c>
      <c r="B518" s="4">
        <v>45668</v>
      </c>
      <c r="C518" s="3" t="s">
        <v>1034</v>
      </c>
      <c r="D518" s="3" t="s">
        <v>39</v>
      </c>
      <c r="E518" s="3" t="s">
        <v>30</v>
      </c>
      <c r="F518" s="3" t="s">
        <v>226</v>
      </c>
      <c r="G518" s="3" t="s">
        <v>49</v>
      </c>
      <c r="H518" s="3" t="s">
        <v>62</v>
      </c>
      <c r="I518" s="3" t="s">
        <v>424</v>
      </c>
      <c r="J518" s="3">
        <v>4</v>
      </c>
      <c r="K518" s="5">
        <v>9838.66</v>
      </c>
      <c r="L518" s="5">
        <v>39354.639999999999</v>
      </c>
      <c r="M518" s="6">
        <v>0</v>
      </c>
      <c r="N518" s="5">
        <v>6158.4</v>
      </c>
      <c r="O518" s="5">
        <v>245.91</v>
      </c>
      <c r="P518" s="3" t="s">
        <v>35</v>
      </c>
      <c r="Q518" s="3" t="s">
        <v>65</v>
      </c>
      <c r="R518" s="30">
        <f t="shared" si="8"/>
        <v>0.1564847245458223</v>
      </c>
    </row>
    <row r="519" spans="1:18" x14ac:dyDescent="0.35">
      <c r="A519" s="7" t="s">
        <v>1035</v>
      </c>
      <c r="B519" s="8">
        <v>45668</v>
      </c>
      <c r="C519" s="7" t="s">
        <v>203</v>
      </c>
      <c r="D519" s="7" t="s">
        <v>39</v>
      </c>
      <c r="E519" s="7" t="s">
        <v>30</v>
      </c>
      <c r="F519" s="7" t="s">
        <v>48</v>
      </c>
      <c r="G519" s="7" t="s">
        <v>117</v>
      </c>
      <c r="H519" s="7" t="s">
        <v>125</v>
      </c>
      <c r="I519" s="7" t="s">
        <v>196</v>
      </c>
      <c r="J519" s="7">
        <v>3</v>
      </c>
      <c r="K519" s="9">
        <v>745.62</v>
      </c>
      <c r="L519" s="9">
        <v>2013.17</v>
      </c>
      <c r="M519" s="10">
        <v>10</v>
      </c>
      <c r="N519" s="9">
        <v>635.1</v>
      </c>
      <c r="O519" s="9">
        <v>92.57</v>
      </c>
      <c r="P519" s="7" t="s">
        <v>64</v>
      </c>
      <c r="Q519" s="7" t="s">
        <v>26</v>
      </c>
      <c r="R519" s="30">
        <f t="shared" si="8"/>
        <v>0.31547261284441952</v>
      </c>
    </row>
    <row r="520" spans="1:18" x14ac:dyDescent="0.35">
      <c r="A520" s="3" t="s">
        <v>1036</v>
      </c>
      <c r="B520" s="4">
        <v>45669</v>
      </c>
      <c r="C520" s="3" t="s">
        <v>1037</v>
      </c>
      <c r="D520" s="3" t="s">
        <v>39</v>
      </c>
      <c r="E520" s="3" t="s">
        <v>20</v>
      </c>
      <c r="F520" s="3" t="s">
        <v>54</v>
      </c>
      <c r="G520" s="3" t="s">
        <v>117</v>
      </c>
      <c r="H520" s="3" t="s">
        <v>153</v>
      </c>
      <c r="I520" s="3" t="s">
        <v>154</v>
      </c>
      <c r="J520" s="3">
        <v>2</v>
      </c>
      <c r="K520" s="5">
        <v>1393.77</v>
      </c>
      <c r="L520" s="5">
        <v>2369.41</v>
      </c>
      <c r="M520" s="6">
        <v>15</v>
      </c>
      <c r="N520" s="5">
        <v>310.3</v>
      </c>
      <c r="O520" s="5">
        <v>292.68</v>
      </c>
      <c r="P520" s="3" t="s">
        <v>35</v>
      </c>
      <c r="Q520" s="3" t="s">
        <v>26</v>
      </c>
      <c r="R520" s="30">
        <f t="shared" si="8"/>
        <v>0.1309608721158432</v>
      </c>
    </row>
    <row r="521" spans="1:18" x14ac:dyDescent="0.35">
      <c r="A521" s="7" t="s">
        <v>1038</v>
      </c>
      <c r="B521" s="8">
        <v>45670</v>
      </c>
      <c r="C521" s="7" t="s">
        <v>1039</v>
      </c>
      <c r="D521" s="7" t="s">
        <v>29</v>
      </c>
      <c r="E521" s="7" t="s">
        <v>30</v>
      </c>
      <c r="F521" s="7" t="s">
        <v>31</v>
      </c>
      <c r="G521" s="7" t="s">
        <v>49</v>
      </c>
      <c r="H521" s="7" t="s">
        <v>98</v>
      </c>
      <c r="I521" s="7" t="s">
        <v>258</v>
      </c>
      <c r="J521" s="7">
        <v>1</v>
      </c>
      <c r="K521" s="9">
        <v>5923.15</v>
      </c>
      <c r="L521" s="9">
        <v>5034.68</v>
      </c>
      <c r="M521" s="10">
        <v>15</v>
      </c>
      <c r="N521" s="9">
        <v>552.46</v>
      </c>
      <c r="O521" s="9">
        <v>278.2</v>
      </c>
      <c r="P521" s="7" t="s">
        <v>25</v>
      </c>
      <c r="Q521" s="7" t="s">
        <v>65</v>
      </c>
      <c r="R521" s="30">
        <f t="shared" si="8"/>
        <v>0.10973090643298085</v>
      </c>
    </row>
    <row r="522" spans="1:18" x14ac:dyDescent="0.35">
      <c r="A522" s="3" t="s">
        <v>1040</v>
      </c>
      <c r="B522" s="4">
        <v>45670</v>
      </c>
      <c r="C522" s="3" t="s">
        <v>1041</v>
      </c>
      <c r="D522" s="3" t="s">
        <v>39</v>
      </c>
      <c r="E522" s="3" t="s">
        <v>30</v>
      </c>
      <c r="F522" s="3" t="s">
        <v>226</v>
      </c>
      <c r="G522" s="3" t="s">
        <v>42</v>
      </c>
      <c r="H522" s="3" t="s">
        <v>172</v>
      </c>
      <c r="I522" s="3" t="s">
        <v>1014</v>
      </c>
      <c r="J522" s="3">
        <v>1</v>
      </c>
      <c r="K522" s="5">
        <v>227.75</v>
      </c>
      <c r="L522" s="5">
        <v>193.59</v>
      </c>
      <c r="M522" s="6">
        <v>15</v>
      </c>
      <c r="N522" s="5">
        <v>2.84</v>
      </c>
      <c r="O522" s="5">
        <v>144.71</v>
      </c>
      <c r="P522" s="3" t="s">
        <v>35</v>
      </c>
      <c r="Q522" s="3" t="s">
        <v>26</v>
      </c>
      <c r="R522" s="30">
        <f t="shared" si="8"/>
        <v>1.4670179244795701E-2</v>
      </c>
    </row>
    <row r="523" spans="1:18" x14ac:dyDescent="0.35">
      <c r="A523" s="7" t="s">
        <v>1042</v>
      </c>
      <c r="B523" s="8">
        <v>45671</v>
      </c>
      <c r="C523" s="7" t="s">
        <v>113</v>
      </c>
      <c r="D523" s="7" t="s">
        <v>39</v>
      </c>
      <c r="E523" s="7" t="s">
        <v>30</v>
      </c>
      <c r="F523" s="7" t="s">
        <v>48</v>
      </c>
      <c r="G523" s="7" t="s">
        <v>22</v>
      </c>
      <c r="H523" s="7" t="s">
        <v>110</v>
      </c>
      <c r="I523" s="7" t="s">
        <v>542</v>
      </c>
      <c r="J523" s="7">
        <v>1</v>
      </c>
      <c r="K523" s="9">
        <v>45120.24</v>
      </c>
      <c r="L523" s="9">
        <v>31584.17</v>
      </c>
      <c r="M523" s="10">
        <v>30</v>
      </c>
      <c r="N523" s="9">
        <v>-677.09</v>
      </c>
      <c r="O523" s="9">
        <v>149.86000000000001</v>
      </c>
      <c r="P523" s="7" t="s">
        <v>64</v>
      </c>
      <c r="Q523" s="7" t="s">
        <v>36</v>
      </c>
      <c r="R523" s="30">
        <f t="shared" si="8"/>
        <v>-2.1437637905317761E-2</v>
      </c>
    </row>
    <row r="524" spans="1:18" x14ac:dyDescent="0.35">
      <c r="A524" s="3" t="s">
        <v>1043</v>
      </c>
      <c r="B524" s="4">
        <v>45671</v>
      </c>
      <c r="C524" s="3" t="s">
        <v>67</v>
      </c>
      <c r="D524" s="3" t="s">
        <v>29</v>
      </c>
      <c r="E524" s="3" t="s">
        <v>60</v>
      </c>
      <c r="F524" s="3" t="s">
        <v>68</v>
      </c>
      <c r="G524" s="3" t="s">
        <v>134</v>
      </c>
      <c r="H524" s="3" t="s">
        <v>91</v>
      </c>
      <c r="I524" s="3" t="s">
        <v>92</v>
      </c>
      <c r="J524" s="3">
        <v>1</v>
      </c>
      <c r="K524" s="5">
        <v>3269.76</v>
      </c>
      <c r="L524" s="5">
        <v>2615.81</v>
      </c>
      <c r="M524" s="6">
        <v>20</v>
      </c>
      <c r="N524" s="5">
        <v>365.29</v>
      </c>
      <c r="O524" s="5">
        <v>46.07</v>
      </c>
      <c r="P524" s="3" t="s">
        <v>64</v>
      </c>
      <c r="Q524" s="3" t="s">
        <v>26</v>
      </c>
      <c r="R524" s="30">
        <f t="shared" si="8"/>
        <v>0.13964699270971517</v>
      </c>
    </row>
    <row r="525" spans="1:18" x14ac:dyDescent="0.35">
      <c r="A525" s="7" t="s">
        <v>1044</v>
      </c>
      <c r="B525" s="8">
        <v>45672</v>
      </c>
      <c r="C525" s="7" t="s">
        <v>138</v>
      </c>
      <c r="D525" s="7" t="s">
        <v>39</v>
      </c>
      <c r="E525" s="7" t="s">
        <v>20</v>
      </c>
      <c r="F525" s="7" t="s">
        <v>54</v>
      </c>
      <c r="G525" s="7" t="s">
        <v>42</v>
      </c>
      <c r="H525" s="7" t="s">
        <v>172</v>
      </c>
      <c r="I525" s="7" t="s">
        <v>1014</v>
      </c>
      <c r="J525" s="7">
        <v>1</v>
      </c>
      <c r="K525" s="9">
        <v>483.41</v>
      </c>
      <c r="L525" s="9">
        <v>459.24</v>
      </c>
      <c r="M525" s="10">
        <v>5</v>
      </c>
      <c r="N525" s="9">
        <v>48.22</v>
      </c>
      <c r="O525" s="9">
        <v>334.9</v>
      </c>
      <c r="P525" s="7" t="s">
        <v>64</v>
      </c>
      <c r="Q525" s="7" t="s">
        <v>65</v>
      </c>
      <c r="R525" s="30">
        <f t="shared" si="8"/>
        <v>0.10499956449786603</v>
      </c>
    </row>
    <row r="526" spans="1:18" x14ac:dyDescent="0.35">
      <c r="A526" s="3" t="s">
        <v>1045</v>
      </c>
      <c r="B526" s="4">
        <v>45672</v>
      </c>
      <c r="C526" s="3" t="s">
        <v>190</v>
      </c>
      <c r="D526" s="3" t="s">
        <v>39</v>
      </c>
      <c r="E526" s="3" t="s">
        <v>40</v>
      </c>
      <c r="F526" s="3" t="s">
        <v>41</v>
      </c>
      <c r="G526" s="3" t="s">
        <v>134</v>
      </c>
      <c r="H526" s="3" t="s">
        <v>91</v>
      </c>
      <c r="I526" s="3" t="s">
        <v>206</v>
      </c>
      <c r="J526" s="3">
        <v>3</v>
      </c>
      <c r="K526" s="5">
        <v>2170.2800000000002</v>
      </c>
      <c r="L526" s="5">
        <v>6510.84</v>
      </c>
      <c r="M526" s="6">
        <v>0</v>
      </c>
      <c r="N526" s="5">
        <v>1386.15</v>
      </c>
      <c r="O526" s="5">
        <v>224.74</v>
      </c>
      <c r="P526" s="3" t="s">
        <v>35</v>
      </c>
      <c r="Q526" s="3" t="s">
        <v>57</v>
      </c>
      <c r="R526" s="30">
        <f t="shared" si="8"/>
        <v>0.21289879646865842</v>
      </c>
    </row>
    <row r="527" spans="1:18" x14ac:dyDescent="0.35">
      <c r="A527" s="7" t="s">
        <v>1046</v>
      </c>
      <c r="B527" s="8">
        <v>45672</v>
      </c>
      <c r="C527" s="7" t="s">
        <v>977</v>
      </c>
      <c r="D527" s="7" t="s">
        <v>19</v>
      </c>
      <c r="E527" s="7" t="s">
        <v>30</v>
      </c>
      <c r="F527" s="7" t="s">
        <v>48</v>
      </c>
      <c r="G527" s="7" t="s">
        <v>49</v>
      </c>
      <c r="H527" s="7" t="s">
        <v>62</v>
      </c>
      <c r="I527" s="7" t="s">
        <v>63</v>
      </c>
      <c r="J527" s="7">
        <v>2</v>
      </c>
      <c r="K527" s="9">
        <v>7042.98</v>
      </c>
      <c r="L527" s="9">
        <v>11973.07</v>
      </c>
      <c r="M527" s="10">
        <v>15</v>
      </c>
      <c r="N527" s="9">
        <v>1816.03</v>
      </c>
      <c r="O527" s="9">
        <v>105.9</v>
      </c>
      <c r="P527" s="7" t="s">
        <v>35</v>
      </c>
      <c r="Q527" s="7" t="s">
        <v>26</v>
      </c>
      <c r="R527" s="30">
        <f t="shared" si="8"/>
        <v>0.15167622005049666</v>
      </c>
    </row>
    <row r="528" spans="1:18" x14ac:dyDescent="0.35">
      <c r="A528" s="3" t="s">
        <v>1047</v>
      </c>
      <c r="B528" s="4">
        <v>45674</v>
      </c>
      <c r="C528" s="3" t="s">
        <v>1048</v>
      </c>
      <c r="D528" s="3" t="s">
        <v>39</v>
      </c>
      <c r="E528" s="3" t="s">
        <v>40</v>
      </c>
      <c r="F528" s="3" t="s">
        <v>109</v>
      </c>
      <c r="G528" s="3" t="s">
        <v>49</v>
      </c>
      <c r="H528" s="3" t="s">
        <v>50</v>
      </c>
      <c r="I528" s="3" t="s">
        <v>193</v>
      </c>
      <c r="J528" s="3">
        <v>3</v>
      </c>
      <c r="K528" s="5">
        <v>13170.71</v>
      </c>
      <c r="L528" s="5">
        <v>35560.92</v>
      </c>
      <c r="M528" s="6">
        <v>10</v>
      </c>
      <c r="N528" s="5">
        <v>6576.37</v>
      </c>
      <c r="O528" s="5">
        <v>370.7</v>
      </c>
      <c r="P528" s="3" t="s">
        <v>64</v>
      </c>
      <c r="Q528" s="3" t="s">
        <v>26</v>
      </c>
      <c r="R528" s="30">
        <f t="shared" si="8"/>
        <v>0.18493250455837476</v>
      </c>
    </row>
    <row r="529" spans="1:18" x14ac:dyDescent="0.35">
      <c r="A529" s="7" t="s">
        <v>1049</v>
      </c>
      <c r="B529" s="8">
        <v>45674</v>
      </c>
      <c r="C529" s="7" t="s">
        <v>1050</v>
      </c>
      <c r="D529" s="7" t="s">
        <v>39</v>
      </c>
      <c r="E529" s="7" t="s">
        <v>60</v>
      </c>
      <c r="F529" s="7" t="s">
        <v>72</v>
      </c>
      <c r="G529" s="7" t="s">
        <v>49</v>
      </c>
      <c r="H529" s="7" t="s">
        <v>62</v>
      </c>
      <c r="I529" s="7" t="s">
        <v>341</v>
      </c>
      <c r="J529" s="7">
        <v>2</v>
      </c>
      <c r="K529" s="9">
        <v>9600.8700000000008</v>
      </c>
      <c r="L529" s="9">
        <v>18241.650000000001</v>
      </c>
      <c r="M529" s="10">
        <v>5</v>
      </c>
      <c r="N529" s="9">
        <v>1518.68</v>
      </c>
      <c r="O529" s="9">
        <v>296.01</v>
      </c>
      <c r="P529" s="7" t="s">
        <v>25</v>
      </c>
      <c r="Q529" s="7" t="s">
        <v>26</v>
      </c>
      <c r="R529" s="30">
        <f t="shared" si="8"/>
        <v>8.3253433762844914E-2</v>
      </c>
    </row>
    <row r="530" spans="1:18" x14ac:dyDescent="0.35">
      <c r="A530" s="3" t="s">
        <v>1051</v>
      </c>
      <c r="B530" s="4">
        <v>45674</v>
      </c>
      <c r="C530" s="3" t="s">
        <v>1052</v>
      </c>
      <c r="D530" s="3" t="s">
        <v>39</v>
      </c>
      <c r="E530" s="3" t="s">
        <v>20</v>
      </c>
      <c r="F530" s="3" t="s">
        <v>129</v>
      </c>
      <c r="G530" s="3" t="s">
        <v>134</v>
      </c>
      <c r="H530" s="3" t="s">
        <v>244</v>
      </c>
      <c r="I530" s="3" t="s">
        <v>334</v>
      </c>
      <c r="J530" s="3">
        <v>1</v>
      </c>
      <c r="K530" s="5">
        <v>1405.64</v>
      </c>
      <c r="L530" s="5">
        <v>1405.64</v>
      </c>
      <c r="M530" s="6">
        <v>0</v>
      </c>
      <c r="N530" s="5">
        <v>191.98</v>
      </c>
      <c r="O530" s="5">
        <v>30.21</v>
      </c>
      <c r="P530" s="3" t="s">
        <v>25</v>
      </c>
      <c r="Q530" s="3" t="s">
        <v>57</v>
      </c>
      <c r="R530" s="30">
        <f t="shared" si="8"/>
        <v>0.13657835576676813</v>
      </c>
    </row>
    <row r="531" spans="1:18" x14ac:dyDescent="0.35">
      <c r="A531" s="7" t="s">
        <v>1053</v>
      </c>
      <c r="B531" s="8">
        <v>45675</v>
      </c>
      <c r="C531" s="7" t="s">
        <v>555</v>
      </c>
      <c r="D531" s="7" t="s">
        <v>39</v>
      </c>
      <c r="E531" s="7" t="s">
        <v>40</v>
      </c>
      <c r="F531" s="7" t="s">
        <v>109</v>
      </c>
      <c r="G531" s="7" t="s">
        <v>49</v>
      </c>
      <c r="H531" s="7" t="s">
        <v>98</v>
      </c>
      <c r="I531" s="7" t="s">
        <v>258</v>
      </c>
      <c r="J531" s="7">
        <v>2</v>
      </c>
      <c r="K531" s="9">
        <v>3853.44</v>
      </c>
      <c r="L531" s="9">
        <v>7706.88</v>
      </c>
      <c r="M531" s="10">
        <v>0</v>
      </c>
      <c r="N531" s="9">
        <v>1459.96</v>
      </c>
      <c r="O531" s="9">
        <v>208.94</v>
      </c>
      <c r="P531" s="7" t="s">
        <v>25</v>
      </c>
      <c r="Q531" s="7" t="s">
        <v>65</v>
      </c>
      <c r="R531" s="30">
        <f t="shared" si="8"/>
        <v>0.18943593256934063</v>
      </c>
    </row>
    <row r="532" spans="1:18" x14ac:dyDescent="0.35">
      <c r="A532" s="3" t="s">
        <v>1054</v>
      </c>
      <c r="B532" s="4">
        <v>45676</v>
      </c>
      <c r="C532" s="3" t="s">
        <v>387</v>
      </c>
      <c r="D532" s="3" t="s">
        <v>39</v>
      </c>
      <c r="E532" s="3" t="s">
        <v>60</v>
      </c>
      <c r="F532" s="3" t="s">
        <v>68</v>
      </c>
      <c r="G532" s="3" t="s">
        <v>134</v>
      </c>
      <c r="H532" s="3" t="s">
        <v>135</v>
      </c>
      <c r="I532" s="3" t="s">
        <v>136</v>
      </c>
      <c r="J532" s="3">
        <v>5</v>
      </c>
      <c r="K532" s="5">
        <v>4180.91</v>
      </c>
      <c r="L532" s="5">
        <v>15678.41</v>
      </c>
      <c r="M532" s="6">
        <v>25</v>
      </c>
      <c r="N532" s="5">
        <v>1130.79</v>
      </c>
      <c r="O532" s="5">
        <v>341.69</v>
      </c>
      <c r="P532" s="3" t="s">
        <v>35</v>
      </c>
      <c r="Q532" s="3" t="s">
        <v>57</v>
      </c>
      <c r="R532" s="30">
        <f t="shared" si="8"/>
        <v>7.2124022780371222E-2</v>
      </c>
    </row>
    <row r="533" spans="1:18" x14ac:dyDescent="0.35">
      <c r="A533" s="7" t="s">
        <v>1055</v>
      </c>
      <c r="B533" s="8">
        <v>45676</v>
      </c>
      <c r="C533" s="7" t="s">
        <v>232</v>
      </c>
      <c r="D533" s="7" t="s">
        <v>29</v>
      </c>
      <c r="E533" s="7" t="s">
        <v>40</v>
      </c>
      <c r="F533" s="7" t="s">
        <v>90</v>
      </c>
      <c r="G533" s="7" t="s">
        <v>42</v>
      </c>
      <c r="H533" s="7" t="s">
        <v>164</v>
      </c>
      <c r="I533" s="7" t="s">
        <v>329</v>
      </c>
      <c r="J533" s="7">
        <v>2</v>
      </c>
      <c r="K533" s="9">
        <v>401.54</v>
      </c>
      <c r="L533" s="9">
        <v>602.30999999999995</v>
      </c>
      <c r="M533" s="10">
        <v>25</v>
      </c>
      <c r="N533" s="9">
        <v>-1.05</v>
      </c>
      <c r="O533" s="9">
        <v>360.41</v>
      </c>
      <c r="P533" s="7" t="s">
        <v>45</v>
      </c>
      <c r="Q533" s="7" t="s">
        <v>65</v>
      </c>
      <c r="R533" s="30">
        <f t="shared" si="8"/>
        <v>-1.7432883398914184E-3</v>
      </c>
    </row>
    <row r="534" spans="1:18" x14ac:dyDescent="0.35">
      <c r="A534" s="3" t="s">
        <v>1056</v>
      </c>
      <c r="B534" s="4">
        <v>45676</v>
      </c>
      <c r="C534" s="3" t="s">
        <v>1057</v>
      </c>
      <c r="D534" s="3" t="s">
        <v>39</v>
      </c>
      <c r="E534" s="3" t="s">
        <v>20</v>
      </c>
      <c r="F534" s="3" t="s">
        <v>129</v>
      </c>
      <c r="G534" s="3" t="s">
        <v>22</v>
      </c>
      <c r="H534" s="3" t="s">
        <v>55</v>
      </c>
      <c r="I534" s="3" t="s">
        <v>56</v>
      </c>
      <c r="J534" s="3">
        <v>2</v>
      </c>
      <c r="K534" s="5">
        <v>2072.27</v>
      </c>
      <c r="L534" s="5">
        <v>3937.31</v>
      </c>
      <c r="M534" s="6">
        <v>5</v>
      </c>
      <c r="N534" s="5">
        <v>519.29999999999995</v>
      </c>
      <c r="O534" s="5">
        <v>69.11</v>
      </c>
      <c r="P534" s="3" t="s">
        <v>64</v>
      </c>
      <c r="Q534" s="3" t="s">
        <v>65</v>
      </c>
      <c r="R534" s="30">
        <f t="shared" si="8"/>
        <v>0.13189207860188809</v>
      </c>
    </row>
    <row r="535" spans="1:18" x14ac:dyDescent="0.35">
      <c r="A535" s="7" t="s">
        <v>1058</v>
      </c>
      <c r="B535" s="8">
        <v>45677</v>
      </c>
      <c r="C535" s="7" t="s">
        <v>555</v>
      </c>
      <c r="D535" s="7" t="s">
        <v>29</v>
      </c>
      <c r="E535" s="7" t="s">
        <v>60</v>
      </c>
      <c r="F535" s="7" t="s">
        <v>104</v>
      </c>
      <c r="G535" s="7" t="s">
        <v>32</v>
      </c>
      <c r="H535" s="7" t="s">
        <v>73</v>
      </c>
      <c r="I535" s="7" t="s">
        <v>74</v>
      </c>
      <c r="J535" s="7">
        <v>1</v>
      </c>
      <c r="K535" s="9">
        <v>4141.59</v>
      </c>
      <c r="L535" s="9">
        <v>3520.35</v>
      </c>
      <c r="M535" s="10">
        <v>15</v>
      </c>
      <c r="N535" s="9">
        <v>396</v>
      </c>
      <c r="O535" s="9">
        <v>124.88</v>
      </c>
      <c r="P535" s="7" t="s">
        <v>25</v>
      </c>
      <c r="Q535" s="7" t="s">
        <v>36</v>
      </c>
      <c r="R535" s="30">
        <f t="shared" si="8"/>
        <v>0.1124888150325962</v>
      </c>
    </row>
    <row r="536" spans="1:18" x14ac:dyDescent="0.35">
      <c r="A536" s="3" t="s">
        <v>1059</v>
      </c>
      <c r="B536" s="4">
        <v>45677</v>
      </c>
      <c r="C536" s="3" t="s">
        <v>1060</v>
      </c>
      <c r="D536" s="3" t="s">
        <v>19</v>
      </c>
      <c r="E536" s="3" t="s">
        <v>30</v>
      </c>
      <c r="F536" s="3" t="s">
        <v>226</v>
      </c>
      <c r="G536" s="3" t="s">
        <v>117</v>
      </c>
      <c r="H536" s="3" t="s">
        <v>153</v>
      </c>
      <c r="I536" s="3" t="s">
        <v>356</v>
      </c>
      <c r="J536" s="3">
        <v>2</v>
      </c>
      <c r="K536" s="5">
        <v>1035.04</v>
      </c>
      <c r="L536" s="5">
        <v>1656.06</v>
      </c>
      <c r="M536" s="6">
        <v>20</v>
      </c>
      <c r="N536" s="5">
        <v>286.66000000000003</v>
      </c>
      <c r="O536" s="5">
        <v>55.95</v>
      </c>
      <c r="P536" s="3" t="s">
        <v>83</v>
      </c>
      <c r="Q536" s="3" t="s">
        <v>65</v>
      </c>
      <c r="R536" s="30">
        <f t="shared" si="8"/>
        <v>0.17309759308237627</v>
      </c>
    </row>
    <row r="537" spans="1:18" x14ac:dyDescent="0.35">
      <c r="A537" s="7" t="s">
        <v>1061</v>
      </c>
      <c r="B537" s="8">
        <v>45677</v>
      </c>
      <c r="C537" s="7" t="s">
        <v>408</v>
      </c>
      <c r="D537" s="7" t="s">
        <v>19</v>
      </c>
      <c r="E537" s="7" t="s">
        <v>20</v>
      </c>
      <c r="F537" s="7" t="s">
        <v>21</v>
      </c>
      <c r="G537" s="7" t="s">
        <v>134</v>
      </c>
      <c r="H537" s="7" t="s">
        <v>135</v>
      </c>
      <c r="I537" s="7" t="s">
        <v>185</v>
      </c>
      <c r="J537" s="7">
        <v>5</v>
      </c>
      <c r="K537" s="9">
        <v>1063.6600000000001</v>
      </c>
      <c r="L537" s="9">
        <v>4254.6400000000003</v>
      </c>
      <c r="M537" s="10">
        <v>20</v>
      </c>
      <c r="N537" s="9">
        <v>460.39</v>
      </c>
      <c r="O537" s="9">
        <v>148.69</v>
      </c>
      <c r="P537" s="7" t="s">
        <v>45</v>
      </c>
      <c r="Q537" s="7" t="s">
        <v>65</v>
      </c>
      <c r="R537" s="30">
        <f t="shared" si="8"/>
        <v>0.10820892014365492</v>
      </c>
    </row>
    <row r="538" spans="1:18" x14ac:dyDescent="0.35">
      <c r="A538" s="3" t="s">
        <v>1062</v>
      </c>
      <c r="B538" s="4">
        <v>45678</v>
      </c>
      <c r="C538" s="3" t="s">
        <v>336</v>
      </c>
      <c r="D538" s="3" t="s">
        <v>19</v>
      </c>
      <c r="E538" s="3" t="s">
        <v>30</v>
      </c>
      <c r="F538" s="3" t="s">
        <v>31</v>
      </c>
      <c r="G538" s="3" t="s">
        <v>134</v>
      </c>
      <c r="H538" s="3" t="s">
        <v>244</v>
      </c>
      <c r="I538" s="3" t="s">
        <v>334</v>
      </c>
      <c r="J538" s="3">
        <v>3</v>
      </c>
      <c r="K538" s="5">
        <v>4054.74</v>
      </c>
      <c r="L538" s="5">
        <v>12164.22</v>
      </c>
      <c r="M538" s="6">
        <v>0</v>
      </c>
      <c r="N538" s="5">
        <v>2070.3200000000002</v>
      </c>
      <c r="O538" s="5">
        <v>167.99</v>
      </c>
      <c r="P538" s="3" t="s">
        <v>45</v>
      </c>
      <c r="Q538" s="3" t="s">
        <v>26</v>
      </c>
      <c r="R538" s="30">
        <f t="shared" si="8"/>
        <v>0.17019751369179448</v>
      </c>
    </row>
    <row r="539" spans="1:18" x14ac:dyDescent="0.35">
      <c r="A539" s="7" t="s">
        <v>1063</v>
      </c>
      <c r="B539" s="8">
        <v>45678</v>
      </c>
      <c r="C539" s="7" t="s">
        <v>1064</v>
      </c>
      <c r="D539" s="7" t="s">
        <v>39</v>
      </c>
      <c r="E539" s="7" t="s">
        <v>40</v>
      </c>
      <c r="F539" s="7" t="s">
        <v>90</v>
      </c>
      <c r="G539" s="7" t="s">
        <v>117</v>
      </c>
      <c r="H539" s="7" t="s">
        <v>125</v>
      </c>
      <c r="I539" s="7" t="s">
        <v>217</v>
      </c>
      <c r="J539" s="7">
        <v>1</v>
      </c>
      <c r="K539" s="9">
        <v>917.49</v>
      </c>
      <c r="L539" s="9">
        <v>779.87</v>
      </c>
      <c r="M539" s="10">
        <v>15</v>
      </c>
      <c r="N539" s="9">
        <v>193.54</v>
      </c>
      <c r="O539" s="9">
        <v>268.67</v>
      </c>
      <c r="P539" s="7" t="s">
        <v>45</v>
      </c>
      <c r="Q539" s="7" t="s">
        <v>57</v>
      </c>
      <c r="R539" s="30">
        <f t="shared" si="8"/>
        <v>0.24816956672265889</v>
      </c>
    </row>
    <row r="540" spans="1:18" x14ac:dyDescent="0.35">
      <c r="A540" s="3" t="s">
        <v>1065</v>
      </c>
      <c r="B540" s="4">
        <v>45679</v>
      </c>
      <c r="C540" s="3" t="s">
        <v>1066</v>
      </c>
      <c r="D540" s="3" t="s">
        <v>19</v>
      </c>
      <c r="E540" s="3" t="s">
        <v>20</v>
      </c>
      <c r="F540" s="3" t="s">
        <v>21</v>
      </c>
      <c r="G540" s="3" t="s">
        <v>22</v>
      </c>
      <c r="H540" s="3" t="s">
        <v>55</v>
      </c>
      <c r="I540" s="3" t="s">
        <v>150</v>
      </c>
      <c r="J540" s="3">
        <v>1</v>
      </c>
      <c r="K540" s="5">
        <v>61312.47</v>
      </c>
      <c r="L540" s="5">
        <v>58246.85</v>
      </c>
      <c r="M540" s="6">
        <v>5</v>
      </c>
      <c r="N540" s="5">
        <v>-1825.22</v>
      </c>
      <c r="O540" s="5">
        <v>35.11</v>
      </c>
      <c r="P540" s="3" t="s">
        <v>35</v>
      </c>
      <c r="Q540" s="3" t="s">
        <v>26</v>
      </c>
      <c r="R540" s="30">
        <f t="shared" si="8"/>
        <v>-3.1335943488789521E-2</v>
      </c>
    </row>
    <row r="541" spans="1:18" x14ac:dyDescent="0.35">
      <c r="A541" s="7" t="s">
        <v>1067</v>
      </c>
      <c r="B541" s="8">
        <v>45680</v>
      </c>
      <c r="C541" s="7" t="s">
        <v>301</v>
      </c>
      <c r="D541" s="7" t="s">
        <v>19</v>
      </c>
      <c r="E541" s="7" t="s">
        <v>40</v>
      </c>
      <c r="F541" s="7" t="s">
        <v>109</v>
      </c>
      <c r="G541" s="7" t="s">
        <v>134</v>
      </c>
      <c r="H541" s="7" t="s">
        <v>91</v>
      </c>
      <c r="I541" s="7" t="s">
        <v>92</v>
      </c>
      <c r="J541" s="7">
        <v>2</v>
      </c>
      <c r="K541" s="9">
        <v>671.31</v>
      </c>
      <c r="L541" s="9">
        <v>939.83</v>
      </c>
      <c r="M541" s="10">
        <v>30</v>
      </c>
      <c r="N541" s="9">
        <v>79.55</v>
      </c>
      <c r="O541" s="9">
        <v>298.38</v>
      </c>
      <c r="P541" s="7" t="s">
        <v>35</v>
      </c>
      <c r="Q541" s="7" t="s">
        <v>57</v>
      </c>
      <c r="R541" s="30">
        <f t="shared" si="8"/>
        <v>8.4642967345158165E-2</v>
      </c>
    </row>
    <row r="542" spans="1:18" x14ac:dyDescent="0.35">
      <c r="A542" s="3" t="s">
        <v>1068</v>
      </c>
      <c r="B542" s="4">
        <v>45680</v>
      </c>
      <c r="C542" s="3" t="s">
        <v>1069</v>
      </c>
      <c r="D542" s="3" t="s">
        <v>29</v>
      </c>
      <c r="E542" s="3" t="s">
        <v>40</v>
      </c>
      <c r="F542" s="3" t="s">
        <v>109</v>
      </c>
      <c r="G542" s="3" t="s">
        <v>32</v>
      </c>
      <c r="H542" s="3" t="s">
        <v>86</v>
      </c>
      <c r="I542" s="3" t="s">
        <v>233</v>
      </c>
      <c r="J542" s="3">
        <v>1</v>
      </c>
      <c r="K542" s="5">
        <v>4190.21</v>
      </c>
      <c r="L542" s="5">
        <v>3980.7</v>
      </c>
      <c r="M542" s="6">
        <v>5</v>
      </c>
      <c r="N542" s="5">
        <v>614.20000000000005</v>
      </c>
      <c r="O542" s="5">
        <v>331.16</v>
      </c>
      <c r="P542" s="3" t="s">
        <v>64</v>
      </c>
      <c r="Q542" s="3" t="s">
        <v>26</v>
      </c>
      <c r="R542" s="30">
        <f t="shared" si="8"/>
        <v>0.1542944708217148</v>
      </c>
    </row>
    <row r="543" spans="1:18" x14ac:dyDescent="0.35">
      <c r="A543" s="7" t="s">
        <v>1070</v>
      </c>
      <c r="B543" s="8">
        <v>45680</v>
      </c>
      <c r="C543" s="7" t="s">
        <v>1071</v>
      </c>
      <c r="D543" s="7" t="s">
        <v>29</v>
      </c>
      <c r="E543" s="7" t="s">
        <v>30</v>
      </c>
      <c r="F543" s="7" t="s">
        <v>31</v>
      </c>
      <c r="G543" s="7" t="s">
        <v>22</v>
      </c>
      <c r="H543" s="7" t="s">
        <v>110</v>
      </c>
      <c r="I543" s="7" t="s">
        <v>480</v>
      </c>
      <c r="J543" s="7">
        <v>3</v>
      </c>
      <c r="K543" s="9">
        <v>47918.94</v>
      </c>
      <c r="L543" s="9">
        <v>136568.98000000001</v>
      </c>
      <c r="M543" s="10">
        <v>5</v>
      </c>
      <c r="N543" s="9">
        <v>5768.51</v>
      </c>
      <c r="O543" s="9">
        <v>61.07</v>
      </c>
      <c r="P543" s="7" t="s">
        <v>64</v>
      </c>
      <c r="Q543" s="7" t="s">
        <v>65</v>
      </c>
      <c r="R543" s="30">
        <f t="shared" si="8"/>
        <v>4.2238801227042919E-2</v>
      </c>
    </row>
    <row r="544" spans="1:18" x14ac:dyDescent="0.35">
      <c r="A544" s="3" t="s">
        <v>1072</v>
      </c>
      <c r="B544" s="4">
        <v>45681</v>
      </c>
      <c r="C544" s="3" t="s">
        <v>584</v>
      </c>
      <c r="D544" s="3" t="s">
        <v>39</v>
      </c>
      <c r="E544" s="3" t="s">
        <v>40</v>
      </c>
      <c r="F544" s="3" t="s">
        <v>109</v>
      </c>
      <c r="G544" s="3" t="s">
        <v>134</v>
      </c>
      <c r="H544" s="3" t="s">
        <v>244</v>
      </c>
      <c r="I544" s="3" t="s">
        <v>334</v>
      </c>
      <c r="J544" s="3">
        <v>2</v>
      </c>
      <c r="K544" s="5">
        <v>1453.76</v>
      </c>
      <c r="L544" s="5">
        <v>2762.14</v>
      </c>
      <c r="M544" s="6">
        <v>5</v>
      </c>
      <c r="N544" s="5">
        <v>499.89</v>
      </c>
      <c r="O544" s="5">
        <v>219.9</v>
      </c>
      <c r="P544" s="3" t="s">
        <v>35</v>
      </c>
      <c r="Q544" s="3" t="s">
        <v>57</v>
      </c>
      <c r="R544" s="30">
        <f t="shared" si="8"/>
        <v>0.18097924073363408</v>
      </c>
    </row>
    <row r="545" spans="1:18" x14ac:dyDescent="0.35">
      <c r="A545" s="7" t="s">
        <v>1073</v>
      </c>
      <c r="B545" s="8">
        <v>45681</v>
      </c>
      <c r="C545" s="7" t="s">
        <v>544</v>
      </c>
      <c r="D545" s="7" t="s">
        <v>29</v>
      </c>
      <c r="E545" s="7" t="s">
        <v>40</v>
      </c>
      <c r="F545" s="7" t="s">
        <v>77</v>
      </c>
      <c r="G545" s="7" t="s">
        <v>117</v>
      </c>
      <c r="H545" s="7" t="s">
        <v>130</v>
      </c>
      <c r="I545" s="7" t="s">
        <v>326</v>
      </c>
      <c r="J545" s="7">
        <v>3</v>
      </c>
      <c r="K545" s="9">
        <v>1505.77</v>
      </c>
      <c r="L545" s="9">
        <v>4291.4399999999996</v>
      </c>
      <c r="M545" s="10">
        <v>5</v>
      </c>
      <c r="N545" s="9">
        <v>997.5</v>
      </c>
      <c r="O545" s="9">
        <v>266.32</v>
      </c>
      <c r="P545" s="7" t="s">
        <v>64</v>
      </c>
      <c r="Q545" s="7" t="s">
        <v>57</v>
      </c>
      <c r="R545" s="30">
        <f t="shared" si="8"/>
        <v>0.23243946088026399</v>
      </c>
    </row>
    <row r="546" spans="1:18" x14ac:dyDescent="0.35">
      <c r="A546" s="3" t="s">
        <v>1074</v>
      </c>
      <c r="B546" s="4">
        <v>45681</v>
      </c>
      <c r="C546" s="3" t="s">
        <v>1075</v>
      </c>
      <c r="D546" s="3" t="s">
        <v>19</v>
      </c>
      <c r="E546" s="3" t="s">
        <v>60</v>
      </c>
      <c r="F546" s="3" t="s">
        <v>68</v>
      </c>
      <c r="G546" s="3" t="s">
        <v>117</v>
      </c>
      <c r="H546" s="3" t="s">
        <v>118</v>
      </c>
      <c r="I546" s="3" t="s">
        <v>553</v>
      </c>
      <c r="J546" s="3">
        <v>1</v>
      </c>
      <c r="K546" s="5">
        <v>200.76</v>
      </c>
      <c r="L546" s="5">
        <v>180.68</v>
      </c>
      <c r="M546" s="6">
        <v>10</v>
      </c>
      <c r="N546" s="5">
        <v>40.19</v>
      </c>
      <c r="O546" s="5">
        <v>146.74</v>
      </c>
      <c r="P546" s="3" t="s">
        <v>35</v>
      </c>
      <c r="Q546" s="3" t="s">
        <v>26</v>
      </c>
      <c r="R546" s="30">
        <f t="shared" si="8"/>
        <v>0.22243745849014832</v>
      </c>
    </row>
    <row r="547" spans="1:18" x14ac:dyDescent="0.35">
      <c r="A547" s="7" t="s">
        <v>1076</v>
      </c>
      <c r="B547" s="8">
        <v>45681</v>
      </c>
      <c r="C547" s="7" t="s">
        <v>1077</v>
      </c>
      <c r="D547" s="7" t="s">
        <v>39</v>
      </c>
      <c r="E547" s="7" t="s">
        <v>40</v>
      </c>
      <c r="F547" s="7" t="s">
        <v>41</v>
      </c>
      <c r="G547" s="7" t="s">
        <v>22</v>
      </c>
      <c r="H547" s="7" t="s">
        <v>110</v>
      </c>
      <c r="I547" s="7" t="s">
        <v>317</v>
      </c>
      <c r="J547" s="7">
        <v>2</v>
      </c>
      <c r="K547" s="9">
        <v>24543.51</v>
      </c>
      <c r="L547" s="9">
        <v>39269.620000000003</v>
      </c>
      <c r="M547" s="10">
        <v>20</v>
      </c>
      <c r="N547" s="9">
        <v>1417.45</v>
      </c>
      <c r="O547" s="9">
        <v>182.96</v>
      </c>
      <c r="P547" s="7" t="s">
        <v>64</v>
      </c>
      <c r="Q547" s="7" t="s">
        <v>57</v>
      </c>
      <c r="R547" s="30">
        <f t="shared" si="8"/>
        <v>3.6095332727945927E-2</v>
      </c>
    </row>
    <row r="548" spans="1:18" x14ac:dyDescent="0.35">
      <c r="A548" s="3" t="s">
        <v>1078</v>
      </c>
      <c r="B548" s="4">
        <v>45681</v>
      </c>
      <c r="C548" s="3" t="s">
        <v>1079</v>
      </c>
      <c r="D548" s="3" t="s">
        <v>19</v>
      </c>
      <c r="E548" s="3" t="s">
        <v>40</v>
      </c>
      <c r="F548" s="3" t="s">
        <v>109</v>
      </c>
      <c r="G548" s="3" t="s">
        <v>32</v>
      </c>
      <c r="H548" s="3" t="s">
        <v>86</v>
      </c>
      <c r="I548" s="3" t="s">
        <v>211</v>
      </c>
      <c r="J548" s="3">
        <v>3</v>
      </c>
      <c r="K548" s="5">
        <v>8775.9699999999993</v>
      </c>
      <c r="L548" s="5">
        <v>26327.91</v>
      </c>
      <c r="M548" s="6">
        <v>0</v>
      </c>
      <c r="N548" s="5">
        <v>4605.57</v>
      </c>
      <c r="O548" s="5">
        <v>225.21</v>
      </c>
      <c r="P548" s="3" t="s">
        <v>45</v>
      </c>
      <c r="Q548" s="3" t="s">
        <v>57</v>
      </c>
      <c r="R548" s="30">
        <f t="shared" si="8"/>
        <v>0.17493109023845796</v>
      </c>
    </row>
    <row r="549" spans="1:18" x14ac:dyDescent="0.35">
      <c r="A549" s="7" t="s">
        <v>1080</v>
      </c>
      <c r="B549" s="8">
        <v>45681</v>
      </c>
      <c r="C549" s="7" t="s">
        <v>446</v>
      </c>
      <c r="D549" s="7" t="s">
        <v>19</v>
      </c>
      <c r="E549" s="7" t="s">
        <v>20</v>
      </c>
      <c r="F549" s="7" t="s">
        <v>21</v>
      </c>
      <c r="G549" s="7" t="s">
        <v>134</v>
      </c>
      <c r="H549" s="7" t="s">
        <v>244</v>
      </c>
      <c r="I549" s="7" t="s">
        <v>270</v>
      </c>
      <c r="J549" s="7">
        <v>1</v>
      </c>
      <c r="K549" s="9">
        <v>1336.66</v>
      </c>
      <c r="L549" s="9">
        <v>1269.83</v>
      </c>
      <c r="M549" s="10">
        <v>5</v>
      </c>
      <c r="N549" s="9">
        <v>186.76</v>
      </c>
      <c r="O549" s="9">
        <v>62.61</v>
      </c>
      <c r="P549" s="7" t="s">
        <v>35</v>
      </c>
      <c r="Q549" s="7" t="s">
        <v>26</v>
      </c>
      <c r="R549" s="30">
        <f t="shared" si="8"/>
        <v>0.14707480528889694</v>
      </c>
    </row>
    <row r="550" spans="1:18" x14ac:dyDescent="0.35">
      <c r="A550" s="3" t="s">
        <v>1081</v>
      </c>
      <c r="B550" s="4">
        <v>45683</v>
      </c>
      <c r="C550" s="3" t="s">
        <v>71</v>
      </c>
      <c r="D550" s="3" t="s">
        <v>19</v>
      </c>
      <c r="E550" s="3" t="s">
        <v>60</v>
      </c>
      <c r="F550" s="3" t="s">
        <v>104</v>
      </c>
      <c r="G550" s="3" t="s">
        <v>42</v>
      </c>
      <c r="H550" s="3" t="s">
        <v>81</v>
      </c>
      <c r="I550" s="3" t="s">
        <v>621</v>
      </c>
      <c r="J550" s="3">
        <v>5</v>
      </c>
      <c r="K550" s="5">
        <v>910.5</v>
      </c>
      <c r="L550" s="5">
        <v>4097.25</v>
      </c>
      <c r="M550" s="6">
        <v>10</v>
      </c>
      <c r="N550" s="5">
        <v>455.91</v>
      </c>
      <c r="O550" s="5">
        <v>329.73</v>
      </c>
      <c r="P550" s="3" t="s">
        <v>45</v>
      </c>
      <c r="Q550" s="3" t="s">
        <v>65</v>
      </c>
      <c r="R550" s="30">
        <f t="shared" si="8"/>
        <v>0.11127219476478126</v>
      </c>
    </row>
    <row r="551" spans="1:18" x14ac:dyDescent="0.35">
      <c r="A551" s="7" t="s">
        <v>1082</v>
      </c>
      <c r="B551" s="8">
        <v>45683</v>
      </c>
      <c r="C551" s="7" t="s">
        <v>565</v>
      </c>
      <c r="D551" s="7" t="s">
        <v>39</v>
      </c>
      <c r="E551" s="7" t="s">
        <v>30</v>
      </c>
      <c r="F551" s="7" t="s">
        <v>48</v>
      </c>
      <c r="G551" s="7" t="s">
        <v>117</v>
      </c>
      <c r="H551" s="7" t="s">
        <v>130</v>
      </c>
      <c r="I551" s="7" t="s">
        <v>326</v>
      </c>
      <c r="J551" s="7">
        <v>4</v>
      </c>
      <c r="K551" s="9">
        <v>271.64</v>
      </c>
      <c r="L551" s="9">
        <v>814.92</v>
      </c>
      <c r="M551" s="10">
        <v>25</v>
      </c>
      <c r="N551" s="9">
        <v>92.39</v>
      </c>
      <c r="O551" s="9">
        <v>253.35</v>
      </c>
      <c r="P551" s="7" t="s">
        <v>35</v>
      </c>
      <c r="Q551" s="7" t="s">
        <v>65</v>
      </c>
      <c r="R551" s="30">
        <f t="shared" si="8"/>
        <v>0.11337309183723557</v>
      </c>
    </row>
    <row r="552" spans="1:18" x14ac:dyDescent="0.35">
      <c r="A552" s="3" t="s">
        <v>1083</v>
      </c>
      <c r="B552" s="4">
        <v>45683</v>
      </c>
      <c r="C552" s="3" t="s">
        <v>1077</v>
      </c>
      <c r="D552" s="3" t="s">
        <v>39</v>
      </c>
      <c r="E552" s="3" t="s">
        <v>60</v>
      </c>
      <c r="F552" s="3" t="s">
        <v>104</v>
      </c>
      <c r="G552" s="3" t="s">
        <v>117</v>
      </c>
      <c r="H552" s="3" t="s">
        <v>130</v>
      </c>
      <c r="I552" s="3" t="s">
        <v>310</v>
      </c>
      <c r="J552" s="3">
        <v>3</v>
      </c>
      <c r="K552" s="5">
        <v>1296.22</v>
      </c>
      <c r="L552" s="5">
        <v>2916.49</v>
      </c>
      <c r="M552" s="6">
        <v>25</v>
      </c>
      <c r="N552" s="5">
        <v>316.32</v>
      </c>
      <c r="O552" s="5">
        <v>369.76</v>
      </c>
      <c r="P552" s="3" t="s">
        <v>35</v>
      </c>
      <c r="Q552" s="3" t="s">
        <v>65</v>
      </c>
      <c r="R552" s="30">
        <f t="shared" si="8"/>
        <v>0.10845914095368063</v>
      </c>
    </row>
    <row r="553" spans="1:18" x14ac:dyDescent="0.35">
      <c r="A553" s="7" t="s">
        <v>1084</v>
      </c>
      <c r="B553" s="8">
        <v>45684</v>
      </c>
      <c r="C553" s="7" t="s">
        <v>859</v>
      </c>
      <c r="D553" s="7" t="s">
        <v>39</v>
      </c>
      <c r="E553" s="7" t="s">
        <v>40</v>
      </c>
      <c r="F553" s="7" t="s">
        <v>41</v>
      </c>
      <c r="G553" s="7" t="s">
        <v>22</v>
      </c>
      <c r="H553" s="7" t="s">
        <v>23</v>
      </c>
      <c r="I553" s="7" t="s">
        <v>24</v>
      </c>
      <c r="J553" s="7">
        <v>1</v>
      </c>
      <c r="K553" s="9">
        <v>39705.14</v>
      </c>
      <c r="L553" s="9">
        <v>39705.14</v>
      </c>
      <c r="M553" s="10">
        <v>0</v>
      </c>
      <c r="N553" s="9">
        <v>6516.34</v>
      </c>
      <c r="O553" s="9">
        <v>68.52</v>
      </c>
      <c r="P553" s="7" t="s">
        <v>35</v>
      </c>
      <c r="Q553" s="7" t="s">
        <v>57</v>
      </c>
      <c r="R553" s="30">
        <f t="shared" si="8"/>
        <v>0.16411829803395733</v>
      </c>
    </row>
    <row r="554" spans="1:18" x14ac:dyDescent="0.35">
      <c r="A554" s="3" t="s">
        <v>1085</v>
      </c>
      <c r="B554" s="4">
        <v>45684</v>
      </c>
      <c r="C554" s="3" t="s">
        <v>216</v>
      </c>
      <c r="D554" s="3" t="s">
        <v>39</v>
      </c>
      <c r="E554" s="3" t="s">
        <v>40</v>
      </c>
      <c r="F554" s="3" t="s">
        <v>41</v>
      </c>
      <c r="G554" s="3" t="s">
        <v>32</v>
      </c>
      <c r="H554" s="3" t="s">
        <v>86</v>
      </c>
      <c r="I554" s="3" t="s">
        <v>227</v>
      </c>
      <c r="J554" s="3">
        <v>1</v>
      </c>
      <c r="K554" s="5">
        <v>8643.69</v>
      </c>
      <c r="L554" s="5">
        <v>6482.77</v>
      </c>
      <c r="M554" s="6">
        <v>25</v>
      </c>
      <c r="N554" s="5">
        <v>145.69</v>
      </c>
      <c r="O554" s="5">
        <v>94.55</v>
      </c>
      <c r="P554" s="3" t="s">
        <v>35</v>
      </c>
      <c r="Q554" s="3" t="s">
        <v>65</v>
      </c>
      <c r="R554" s="30">
        <f t="shared" si="8"/>
        <v>2.2473417998787555E-2</v>
      </c>
    </row>
    <row r="555" spans="1:18" x14ac:dyDescent="0.35">
      <c r="A555" s="7" t="s">
        <v>1086</v>
      </c>
      <c r="B555" s="8">
        <v>45684</v>
      </c>
      <c r="C555" s="7" t="s">
        <v>1087</v>
      </c>
      <c r="D555" s="7" t="s">
        <v>39</v>
      </c>
      <c r="E555" s="7" t="s">
        <v>60</v>
      </c>
      <c r="F555" s="7" t="s">
        <v>72</v>
      </c>
      <c r="G555" s="7" t="s">
        <v>117</v>
      </c>
      <c r="H555" s="7" t="s">
        <v>153</v>
      </c>
      <c r="I555" s="7" t="s">
        <v>296</v>
      </c>
      <c r="J555" s="7">
        <v>1</v>
      </c>
      <c r="K555" s="9">
        <v>750.07</v>
      </c>
      <c r="L555" s="9">
        <v>750.07</v>
      </c>
      <c r="M555" s="10">
        <v>0</v>
      </c>
      <c r="N555" s="9">
        <v>208.48</v>
      </c>
      <c r="O555" s="9">
        <v>199.84</v>
      </c>
      <c r="P555" s="7" t="s">
        <v>35</v>
      </c>
      <c r="Q555" s="7" t="s">
        <v>26</v>
      </c>
      <c r="R555" s="30">
        <f t="shared" si="8"/>
        <v>0.27794739157678611</v>
      </c>
    </row>
    <row r="556" spans="1:18" x14ac:dyDescent="0.35">
      <c r="A556" s="3" t="s">
        <v>1088</v>
      </c>
      <c r="B556" s="4">
        <v>45685</v>
      </c>
      <c r="C556" s="3" t="s">
        <v>491</v>
      </c>
      <c r="D556" s="3" t="s">
        <v>39</v>
      </c>
      <c r="E556" s="3" t="s">
        <v>60</v>
      </c>
      <c r="F556" s="3" t="s">
        <v>104</v>
      </c>
      <c r="G556" s="3" t="s">
        <v>32</v>
      </c>
      <c r="H556" s="3" t="s">
        <v>73</v>
      </c>
      <c r="I556" s="3" t="s">
        <v>230</v>
      </c>
      <c r="J556" s="3">
        <v>2</v>
      </c>
      <c r="K556" s="5">
        <v>9554.39</v>
      </c>
      <c r="L556" s="5">
        <v>14331.58</v>
      </c>
      <c r="M556" s="6">
        <v>25</v>
      </c>
      <c r="N556" s="5">
        <v>-196.32</v>
      </c>
      <c r="O556" s="5">
        <v>216.87</v>
      </c>
      <c r="P556" s="3" t="s">
        <v>25</v>
      </c>
      <c r="Q556" s="3" t="s">
        <v>36</v>
      </c>
      <c r="R556" s="30">
        <f t="shared" si="8"/>
        <v>-1.3698419853219254E-2</v>
      </c>
    </row>
    <row r="557" spans="1:18" x14ac:dyDescent="0.35">
      <c r="A557" s="7" t="s">
        <v>1089</v>
      </c>
      <c r="B557" s="8">
        <v>45686</v>
      </c>
      <c r="C557" s="7" t="s">
        <v>1090</v>
      </c>
      <c r="D557" s="7" t="s">
        <v>39</v>
      </c>
      <c r="E557" s="7" t="s">
        <v>60</v>
      </c>
      <c r="F557" s="7" t="s">
        <v>72</v>
      </c>
      <c r="G557" s="7" t="s">
        <v>22</v>
      </c>
      <c r="H557" s="7" t="s">
        <v>105</v>
      </c>
      <c r="I557" s="7" t="s">
        <v>251</v>
      </c>
      <c r="J557" s="7">
        <v>4</v>
      </c>
      <c r="K557" s="9">
        <v>58702.69</v>
      </c>
      <c r="L557" s="9">
        <v>223070.22</v>
      </c>
      <c r="M557" s="10">
        <v>5</v>
      </c>
      <c r="N557" s="9">
        <v>803.76</v>
      </c>
      <c r="O557" s="9">
        <v>156.38</v>
      </c>
      <c r="P557" s="7" t="s">
        <v>35</v>
      </c>
      <c r="Q557" s="7" t="s">
        <v>65</v>
      </c>
      <c r="R557" s="30">
        <f t="shared" si="8"/>
        <v>3.6031703380218121E-3</v>
      </c>
    </row>
    <row r="558" spans="1:18" x14ac:dyDescent="0.35">
      <c r="A558" s="3" t="s">
        <v>1091</v>
      </c>
      <c r="B558" s="4">
        <v>45690</v>
      </c>
      <c r="C558" s="3" t="s">
        <v>695</v>
      </c>
      <c r="D558" s="3" t="s">
        <v>39</v>
      </c>
      <c r="E558" s="3" t="s">
        <v>30</v>
      </c>
      <c r="F558" s="3" t="s">
        <v>48</v>
      </c>
      <c r="G558" s="3" t="s">
        <v>22</v>
      </c>
      <c r="H558" s="3" t="s">
        <v>110</v>
      </c>
      <c r="I558" s="3" t="s">
        <v>480</v>
      </c>
      <c r="J558" s="3">
        <v>3</v>
      </c>
      <c r="K558" s="5">
        <v>26910.14</v>
      </c>
      <c r="L558" s="5">
        <v>64584.34</v>
      </c>
      <c r="M558" s="6">
        <v>20</v>
      </c>
      <c r="N558" s="5">
        <v>440.82</v>
      </c>
      <c r="O558" s="5">
        <v>170.75</v>
      </c>
      <c r="P558" s="3" t="s">
        <v>35</v>
      </c>
      <c r="Q558" s="3" t="s">
        <v>65</v>
      </c>
      <c r="R558" s="30">
        <f t="shared" si="8"/>
        <v>6.8254936103705642E-3</v>
      </c>
    </row>
    <row r="559" spans="1:18" x14ac:dyDescent="0.35">
      <c r="A559" s="7" t="s">
        <v>1092</v>
      </c>
      <c r="B559" s="8">
        <v>45690</v>
      </c>
      <c r="C559" s="7" t="s">
        <v>1093</v>
      </c>
      <c r="D559" s="7" t="s">
        <v>39</v>
      </c>
      <c r="E559" s="7" t="s">
        <v>20</v>
      </c>
      <c r="F559" s="7" t="s">
        <v>21</v>
      </c>
      <c r="G559" s="7" t="s">
        <v>117</v>
      </c>
      <c r="H559" s="7" t="s">
        <v>130</v>
      </c>
      <c r="I559" s="7" t="s">
        <v>131</v>
      </c>
      <c r="J559" s="7">
        <v>3</v>
      </c>
      <c r="K559" s="9">
        <v>658.27</v>
      </c>
      <c r="L559" s="9">
        <v>1974.81</v>
      </c>
      <c r="M559" s="10">
        <v>0</v>
      </c>
      <c r="N559" s="9">
        <v>445.12</v>
      </c>
      <c r="O559" s="9">
        <v>74.39</v>
      </c>
      <c r="P559" s="7" t="s">
        <v>64</v>
      </c>
      <c r="Q559" s="7" t="s">
        <v>65</v>
      </c>
      <c r="R559" s="30">
        <f t="shared" si="8"/>
        <v>0.22539889913460029</v>
      </c>
    </row>
    <row r="560" spans="1:18" x14ac:dyDescent="0.35">
      <c r="A560" s="3" t="s">
        <v>1094</v>
      </c>
      <c r="B560" s="4">
        <v>45690</v>
      </c>
      <c r="C560" s="3" t="s">
        <v>1095</v>
      </c>
      <c r="D560" s="3" t="s">
        <v>19</v>
      </c>
      <c r="E560" s="3" t="s">
        <v>40</v>
      </c>
      <c r="F560" s="3" t="s">
        <v>109</v>
      </c>
      <c r="G560" s="3" t="s">
        <v>42</v>
      </c>
      <c r="H560" s="3" t="s">
        <v>43</v>
      </c>
      <c r="I560" s="3" t="s">
        <v>44</v>
      </c>
      <c r="J560" s="3">
        <v>1</v>
      </c>
      <c r="K560" s="5">
        <v>721.73</v>
      </c>
      <c r="L560" s="5">
        <v>721.73</v>
      </c>
      <c r="M560" s="6">
        <v>0</v>
      </c>
      <c r="N560" s="5">
        <v>93.63</v>
      </c>
      <c r="O560" s="5">
        <v>95.43</v>
      </c>
      <c r="P560" s="3" t="s">
        <v>25</v>
      </c>
      <c r="Q560" s="3" t="s">
        <v>65</v>
      </c>
      <c r="R560" s="30">
        <f t="shared" si="8"/>
        <v>0.12972995441508597</v>
      </c>
    </row>
    <row r="561" spans="1:18" x14ac:dyDescent="0.35">
      <c r="A561" s="7" t="s">
        <v>1096</v>
      </c>
      <c r="B561" s="8">
        <v>45691</v>
      </c>
      <c r="C561" s="7" t="s">
        <v>1097</v>
      </c>
      <c r="D561" s="7" t="s">
        <v>39</v>
      </c>
      <c r="E561" s="7" t="s">
        <v>60</v>
      </c>
      <c r="F561" s="7" t="s">
        <v>61</v>
      </c>
      <c r="G561" s="7" t="s">
        <v>42</v>
      </c>
      <c r="H561" s="7" t="s">
        <v>81</v>
      </c>
      <c r="I561" s="7" t="s">
        <v>248</v>
      </c>
      <c r="J561" s="7">
        <v>3</v>
      </c>
      <c r="K561" s="9">
        <v>581.75</v>
      </c>
      <c r="L561" s="9">
        <v>1657.99</v>
      </c>
      <c r="M561" s="10">
        <v>5</v>
      </c>
      <c r="N561" s="9">
        <v>299.66000000000003</v>
      </c>
      <c r="O561" s="9">
        <v>241.18</v>
      </c>
      <c r="P561" s="7" t="s">
        <v>64</v>
      </c>
      <c r="Q561" s="7" t="s">
        <v>26</v>
      </c>
      <c r="R561" s="30">
        <f t="shared" si="8"/>
        <v>0.18073691638670922</v>
      </c>
    </row>
    <row r="562" spans="1:18" x14ac:dyDescent="0.35">
      <c r="A562" s="3" t="s">
        <v>1098</v>
      </c>
      <c r="B562" s="4">
        <v>45692</v>
      </c>
      <c r="C562" s="3" t="s">
        <v>1099</v>
      </c>
      <c r="D562" s="3" t="s">
        <v>39</v>
      </c>
      <c r="E562" s="3" t="s">
        <v>40</v>
      </c>
      <c r="F562" s="3" t="s">
        <v>41</v>
      </c>
      <c r="G562" s="3" t="s">
        <v>32</v>
      </c>
      <c r="H562" s="3" t="s">
        <v>143</v>
      </c>
      <c r="I562" s="3" t="s">
        <v>321</v>
      </c>
      <c r="J562" s="3">
        <v>2</v>
      </c>
      <c r="K562" s="5">
        <v>9286.35</v>
      </c>
      <c r="L562" s="5">
        <v>14858.16</v>
      </c>
      <c r="M562" s="6">
        <v>20</v>
      </c>
      <c r="N562" s="5">
        <v>508.4</v>
      </c>
      <c r="O562" s="5">
        <v>297.3</v>
      </c>
      <c r="P562" s="3" t="s">
        <v>35</v>
      </c>
      <c r="Q562" s="3" t="s">
        <v>65</v>
      </c>
      <c r="R562" s="30">
        <f t="shared" si="8"/>
        <v>3.4216888228421283E-2</v>
      </c>
    </row>
    <row r="563" spans="1:18" x14ac:dyDescent="0.35">
      <c r="A563" s="7" t="s">
        <v>1100</v>
      </c>
      <c r="B563" s="8">
        <v>45692</v>
      </c>
      <c r="C563" s="7" t="s">
        <v>958</v>
      </c>
      <c r="D563" s="7" t="s">
        <v>29</v>
      </c>
      <c r="E563" s="7" t="s">
        <v>60</v>
      </c>
      <c r="F563" s="7" t="s">
        <v>68</v>
      </c>
      <c r="G563" s="7" t="s">
        <v>32</v>
      </c>
      <c r="H563" s="7" t="s">
        <v>143</v>
      </c>
      <c r="I563" s="7" t="s">
        <v>321</v>
      </c>
      <c r="J563" s="7">
        <v>1</v>
      </c>
      <c r="K563" s="9">
        <v>3395.48</v>
      </c>
      <c r="L563" s="9">
        <v>2376.84</v>
      </c>
      <c r="M563" s="10">
        <v>30</v>
      </c>
      <c r="N563" s="9">
        <v>-149.94</v>
      </c>
      <c r="O563" s="9">
        <v>277.77999999999997</v>
      </c>
      <c r="P563" s="7" t="s">
        <v>35</v>
      </c>
      <c r="Q563" s="7" t="s">
        <v>65</v>
      </c>
      <c r="R563" s="30">
        <f t="shared" si="8"/>
        <v>-6.3083758267279244E-2</v>
      </c>
    </row>
    <row r="564" spans="1:18" x14ac:dyDescent="0.35">
      <c r="A564" s="3" t="s">
        <v>1101</v>
      </c>
      <c r="B564" s="4">
        <v>45692</v>
      </c>
      <c r="C564" s="3" t="s">
        <v>776</v>
      </c>
      <c r="D564" s="3" t="s">
        <v>29</v>
      </c>
      <c r="E564" s="3" t="s">
        <v>30</v>
      </c>
      <c r="F564" s="3" t="s">
        <v>31</v>
      </c>
      <c r="G564" s="3" t="s">
        <v>49</v>
      </c>
      <c r="H564" s="3" t="s">
        <v>91</v>
      </c>
      <c r="I564" s="3" t="s">
        <v>168</v>
      </c>
      <c r="J564" s="3">
        <v>1</v>
      </c>
      <c r="K564" s="5">
        <v>2313.3200000000002</v>
      </c>
      <c r="L564" s="5">
        <v>1619.32</v>
      </c>
      <c r="M564" s="6">
        <v>30</v>
      </c>
      <c r="N564" s="5">
        <v>152.94999999999999</v>
      </c>
      <c r="O564" s="5">
        <v>98.15</v>
      </c>
      <c r="P564" s="3" t="s">
        <v>64</v>
      </c>
      <c r="Q564" s="3" t="s">
        <v>65</v>
      </c>
      <c r="R564" s="30">
        <f t="shared" si="8"/>
        <v>9.4453227280586916E-2</v>
      </c>
    </row>
    <row r="565" spans="1:18" x14ac:dyDescent="0.35">
      <c r="A565" s="7" t="s">
        <v>1102</v>
      </c>
      <c r="B565" s="8">
        <v>45693</v>
      </c>
      <c r="C565" s="7" t="s">
        <v>410</v>
      </c>
      <c r="D565" s="7" t="s">
        <v>19</v>
      </c>
      <c r="E565" s="7" t="s">
        <v>30</v>
      </c>
      <c r="F565" s="7" t="s">
        <v>31</v>
      </c>
      <c r="G565" s="7" t="s">
        <v>22</v>
      </c>
      <c r="H565" s="7" t="s">
        <v>105</v>
      </c>
      <c r="I565" s="7" t="s">
        <v>629</v>
      </c>
      <c r="J565" s="7">
        <v>1</v>
      </c>
      <c r="K565" s="9">
        <v>15530.48</v>
      </c>
      <c r="L565" s="9">
        <v>13977.43</v>
      </c>
      <c r="M565" s="10">
        <v>10</v>
      </c>
      <c r="N565" s="9">
        <v>-171.09</v>
      </c>
      <c r="O565" s="9">
        <v>170.61</v>
      </c>
      <c r="P565" s="7" t="s">
        <v>25</v>
      </c>
      <c r="Q565" s="7" t="s">
        <v>57</v>
      </c>
      <c r="R565" s="30">
        <f t="shared" si="8"/>
        <v>-1.2240447635938796E-2</v>
      </c>
    </row>
    <row r="566" spans="1:18" x14ac:dyDescent="0.35">
      <c r="A566" s="3" t="s">
        <v>1103</v>
      </c>
      <c r="B566" s="4">
        <v>45695</v>
      </c>
      <c r="C566" s="3" t="s">
        <v>1066</v>
      </c>
      <c r="D566" s="3" t="s">
        <v>39</v>
      </c>
      <c r="E566" s="3" t="s">
        <v>20</v>
      </c>
      <c r="F566" s="3" t="s">
        <v>21</v>
      </c>
      <c r="G566" s="3" t="s">
        <v>22</v>
      </c>
      <c r="H566" s="3" t="s">
        <v>110</v>
      </c>
      <c r="I566" s="3" t="s">
        <v>480</v>
      </c>
      <c r="J566" s="3">
        <v>3</v>
      </c>
      <c r="K566" s="5">
        <v>18927.009999999998</v>
      </c>
      <c r="L566" s="5">
        <v>53941.98</v>
      </c>
      <c r="M566" s="6">
        <v>5</v>
      </c>
      <c r="N566" s="5">
        <v>5559.86</v>
      </c>
      <c r="O566" s="5">
        <v>148.41999999999999</v>
      </c>
      <c r="P566" s="3" t="s">
        <v>35</v>
      </c>
      <c r="Q566" s="3" t="s">
        <v>36</v>
      </c>
      <c r="R566" s="30">
        <f t="shared" si="8"/>
        <v>0.10307111455678859</v>
      </c>
    </row>
    <row r="567" spans="1:18" x14ac:dyDescent="0.35">
      <c r="A567" s="7" t="s">
        <v>1104</v>
      </c>
      <c r="B567" s="8">
        <v>45695</v>
      </c>
      <c r="C567" s="7" t="s">
        <v>898</v>
      </c>
      <c r="D567" s="7" t="s">
        <v>39</v>
      </c>
      <c r="E567" s="7" t="s">
        <v>60</v>
      </c>
      <c r="F567" s="7" t="s">
        <v>68</v>
      </c>
      <c r="G567" s="7" t="s">
        <v>49</v>
      </c>
      <c r="H567" s="7" t="s">
        <v>98</v>
      </c>
      <c r="I567" s="7" t="s">
        <v>763</v>
      </c>
      <c r="J567" s="7">
        <v>3</v>
      </c>
      <c r="K567" s="9">
        <v>10391.040000000001</v>
      </c>
      <c r="L567" s="9">
        <v>28055.81</v>
      </c>
      <c r="M567" s="10">
        <v>10</v>
      </c>
      <c r="N567" s="9">
        <v>1131.74</v>
      </c>
      <c r="O567" s="9">
        <v>279.42</v>
      </c>
      <c r="P567" s="7" t="s">
        <v>35</v>
      </c>
      <c r="Q567" s="7" t="s">
        <v>26</v>
      </c>
      <c r="R567" s="30">
        <f t="shared" si="8"/>
        <v>4.0338881679053286E-2</v>
      </c>
    </row>
    <row r="568" spans="1:18" x14ac:dyDescent="0.35">
      <c r="A568" s="3" t="s">
        <v>1105</v>
      </c>
      <c r="B568" s="4">
        <v>45696</v>
      </c>
      <c r="C568" s="3" t="s">
        <v>314</v>
      </c>
      <c r="D568" s="3" t="s">
        <v>39</v>
      </c>
      <c r="E568" s="3" t="s">
        <v>60</v>
      </c>
      <c r="F568" s="3" t="s">
        <v>61</v>
      </c>
      <c r="G568" s="3" t="s">
        <v>22</v>
      </c>
      <c r="H568" s="3" t="s">
        <v>624</v>
      </c>
      <c r="I568" s="3" t="s">
        <v>640</v>
      </c>
      <c r="J568" s="3">
        <v>1</v>
      </c>
      <c r="K568" s="5">
        <v>36208.04</v>
      </c>
      <c r="L568" s="5">
        <v>28966.43</v>
      </c>
      <c r="M568" s="6">
        <v>20</v>
      </c>
      <c r="N568" s="5">
        <v>-3687.22</v>
      </c>
      <c r="O568" s="5">
        <v>316.14999999999998</v>
      </c>
      <c r="P568" s="3" t="s">
        <v>35</v>
      </c>
      <c r="Q568" s="3" t="s">
        <v>36</v>
      </c>
      <c r="R568" s="30">
        <f t="shared" si="8"/>
        <v>-0.12729286971159373</v>
      </c>
    </row>
    <row r="569" spans="1:18" x14ac:dyDescent="0.35">
      <c r="A569" s="7" t="s">
        <v>1106</v>
      </c>
      <c r="B569" s="8">
        <v>45697</v>
      </c>
      <c r="C569" s="7" t="s">
        <v>1107</v>
      </c>
      <c r="D569" s="7" t="s">
        <v>39</v>
      </c>
      <c r="E569" s="7" t="s">
        <v>20</v>
      </c>
      <c r="F569" s="7" t="s">
        <v>129</v>
      </c>
      <c r="G569" s="7" t="s">
        <v>22</v>
      </c>
      <c r="H569" s="7" t="s">
        <v>23</v>
      </c>
      <c r="I569" s="7" t="s">
        <v>24</v>
      </c>
      <c r="J569" s="7">
        <v>2</v>
      </c>
      <c r="K569" s="9">
        <v>39932.32</v>
      </c>
      <c r="L569" s="9">
        <v>79864.639999999999</v>
      </c>
      <c r="M569" s="10">
        <v>0</v>
      </c>
      <c r="N569" s="9">
        <v>7547.46</v>
      </c>
      <c r="O569" s="9">
        <v>247.02</v>
      </c>
      <c r="P569" s="7" t="s">
        <v>64</v>
      </c>
      <c r="Q569" s="7" t="s">
        <v>65</v>
      </c>
      <c r="R569" s="30">
        <f t="shared" si="8"/>
        <v>9.4503149328664104E-2</v>
      </c>
    </row>
    <row r="570" spans="1:18" x14ac:dyDescent="0.35">
      <c r="A570" s="3" t="s">
        <v>1108</v>
      </c>
      <c r="B570" s="4">
        <v>45698</v>
      </c>
      <c r="C570" s="3" t="s">
        <v>1109</v>
      </c>
      <c r="D570" s="3" t="s">
        <v>39</v>
      </c>
      <c r="E570" s="3" t="s">
        <v>40</v>
      </c>
      <c r="F570" s="3" t="s">
        <v>77</v>
      </c>
      <c r="G570" s="3" t="s">
        <v>42</v>
      </c>
      <c r="H570" s="3" t="s">
        <v>172</v>
      </c>
      <c r="I570" s="3" t="s">
        <v>173</v>
      </c>
      <c r="J570" s="3">
        <v>1</v>
      </c>
      <c r="K570" s="5">
        <v>278.95</v>
      </c>
      <c r="L570" s="5">
        <v>251.06</v>
      </c>
      <c r="M570" s="6">
        <v>10</v>
      </c>
      <c r="N570" s="5">
        <v>14.72</v>
      </c>
      <c r="O570" s="5">
        <v>89.62</v>
      </c>
      <c r="P570" s="3" t="s">
        <v>25</v>
      </c>
      <c r="Q570" s="3" t="s">
        <v>65</v>
      </c>
      <c r="R570" s="30">
        <f t="shared" si="8"/>
        <v>5.8631402851907911E-2</v>
      </c>
    </row>
    <row r="571" spans="1:18" x14ac:dyDescent="0.35">
      <c r="A571" s="7" t="s">
        <v>1110</v>
      </c>
      <c r="B571" s="8">
        <v>45699</v>
      </c>
      <c r="C571" s="7" t="s">
        <v>723</v>
      </c>
      <c r="D571" s="7" t="s">
        <v>39</v>
      </c>
      <c r="E571" s="7" t="s">
        <v>40</v>
      </c>
      <c r="F571" s="7" t="s">
        <v>41</v>
      </c>
      <c r="G571" s="7" t="s">
        <v>22</v>
      </c>
      <c r="H571" s="7" t="s">
        <v>624</v>
      </c>
      <c r="I571" s="7" t="s">
        <v>640</v>
      </c>
      <c r="J571" s="7">
        <v>5</v>
      </c>
      <c r="K571" s="9">
        <v>19700.09</v>
      </c>
      <c r="L571" s="9">
        <v>98500.45</v>
      </c>
      <c r="M571" s="10">
        <v>0</v>
      </c>
      <c r="N571" s="9">
        <v>20777.39</v>
      </c>
      <c r="O571" s="9">
        <v>270.25</v>
      </c>
      <c r="P571" s="7" t="s">
        <v>64</v>
      </c>
      <c r="Q571" s="7" t="s">
        <v>26</v>
      </c>
      <c r="R571" s="30">
        <f t="shared" si="8"/>
        <v>0.21093700587154679</v>
      </c>
    </row>
    <row r="572" spans="1:18" x14ac:dyDescent="0.35">
      <c r="A572" s="3" t="s">
        <v>1111</v>
      </c>
      <c r="B572" s="4">
        <v>45702</v>
      </c>
      <c r="C572" s="3" t="s">
        <v>1020</v>
      </c>
      <c r="D572" s="3" t="s">
        <v>39</v>
      </c>
      <c r="E572" s="3" t="s">
        <v>30</v>
      </c>
      <c r="F572" s="3" t="s">
        <v>31</v>
      </c>
      <c r="G572" s="3" t="s">
        <v>49</v>
      </c>
      <c r="H572" s="3" t="s">
        <v>91</v>
      </c>
      <c r="I572" s="3" t="s">
        <v>168</v>
      </c>
      <c r="J572" s="3">
        <v>2</v>
      </c>
      <c r="K572" s="5">
        <v>11248.81</v>
      </c>
      <c r="L572" s="5">
        <v>20247.86</v>
      </c>
      <c r="M572" s="6">
        <v>10</v>
      </c>
      <c r="N572" s="5">
        <v>3086</v>
      </c>
      <c r="O572" s="5">
        <v>55.73</v>
      </c>
      <c r="P572" s="3" t="s">
        <v>45</v>
      </c>
      <c r="Q572" s="3" t="s">
        <v>65</v>
      </c>
      <c r="R572" s="30">
        <f t="shared" si="8"/>
        <v>0.15241116839014099</v>
      </c>
    </row>
    <row r="573" spans="1:18" x14ac:dyDescent="0.35">
      <c r="A573" s="7" t="s">
        <v>1112</v>
      </c>
      <c r="B573" s="8">
        <v>45703</v>
      </c>
      <c r="C573" s="7" t="s">
        <v>1113</v>
      </c>
      <c r="D573" s="7" t="s">
        <v>39</v>
      </c>
      <c r="E573" s="7" t="s">
        <v>20</v>
      </c>
      <c r="F573" s="7" t="s">
        <v>54</v>
      </c>
      <c r="G573" s="7" t="s">
        <v>117</v>
      </c>
      <c r="H573" s="7" t="s">
        <v>153</v>
      </c>
      <c r="I573" s="7" t="s">
        <v>356</v>
      </c>
      <c r="J573" s="7">
        <v>4</v>
      </c>
      <c r="K573" s="9">
        <v>1515.4</v>
      </c>
      <c r="L573" s="9">
        <v>6061.6</v>
      </c>
      <c r="M573" s="10">
        <v>0</v>
      </c>
      <c r="N573" s="9">
        <v>1526.08</v>
      </c>
      <c r="O573" s="9">
        <v>390.6</v>
      </c>
      <c r="P573" s="7" t="s">
        <v>35</v>
      </c>
      <c r="Q573" s="7" t="s">
        <v>36</v>
      </c>
      <c r="R573" s="30">
        <f t="shared" si="8"/>
        <v>0.25176191104658835</v>
      </c>
    </row>
    <row r="574" spans="1:18" x14ac:dyDescent="0.35">
      <c r="A574" s="3" t="s">
        <v>1114</v>
      </c>
      <c r="B574" s="4">
        <v>45705</v>
      </c>
      <c r="C574" s="3" t="s">
        <v>269</v>
      </c>
      <c r="D574" s="3" t="s">
        <v>19</v>
      </c>
      <c r="E574" s="3" t="s">
        <v>30</v>
      </c>
      <c r="F574" s="3" t="s">
        <v>31</v>
      </c>
      <c r="G574" s="3" t="s">
        <v>22</v>
      </c>
      <c r="H574" s="3" t="s">
        <v>105</v>
      </c>
      <c r="I574" s="3" t="s">
        <v>251</v>
      </c>
      <c r="J574" s="3">
        <v>2</v>
      </c>
      <c r="K574" s="5">
        <v>2375.69</v>
      </c>
      <c r="L574" s="5">
        <v>4276.24</v>
      </c>
      <c r="M574" s="6">
        <v>10</v>
      </c>
      <c r="N574" s="5">
        <v>424.71</v>
      </c>
      <c r="O574" s="5">
        <v>170.49</v>
      </c>
      <c r="P574" s="3" t="s">
        <v>45</v>
      </c>
      <c r="Q574" s="3" t="s">
        <v>65</v>
      </c>
      <c r="R574" s="30">
        <f t="shared" si="8"/>
        <v>9.9318560230482855E-2</v>
      </c>
    </row>
    <row r="575" spans="1:18" x14ac:dyDescent="0.35">
      <c r="A575" s="7" t="s">
        <v>1115</v>
      </c>
      <c r="B575" s="8">
        <v>45705</v>
      </c>
      <c r="C575" s="7" t="s">
        <v>1116</v>
      </c>
      <c r="D575" s="7" t="s">
        <v>29</v>
      </c>
      <c r="E575" s="7" t="s">
        <v>20</v>
      </c>
      <c r="F575" s="7" t="s">
        <v>54</v>
      </c>
      <c r="G575" s="7" t="s">
        <v>134</v>
      </c>
      <c r="H575" s="7" t="s">
        <v>135</v>
      </c>
      <c r="I575" s="7" t="s">
        <v>136</v>
      </c>
      <c r="J575" s="7">
        <v>4</v>
      </c>
      <c r="K575" s="9">
        <v>2144.6799999999998</v>
      </c>
      <c r="L575" s="9">
        <v>8578.7199999999993</v>
      </c>
      <c r="M575" s="10">
        <v>0</v>
      </c>
      <c r="N575" s="9">
        <v>1980.75</v>
      </c>
      <c r="O575" s="9">
        <v>270.37</v>
      </c>
      <c r="P575" s="7" t="s">
        <v>25</v>
      </c>
      <c r="Q575" s="7" t="s">
        <v>57</v>
      </c>
      <c r="R575" s="30">
        <f t="shared" si="8"/>
        <v>0.23089108864725741</v>
      </c>
    </row>
    <row r="576" spans="1:18" x14ac:dyDescent="0.35">
      <c r="A576" s="3" t="s">
        <v>1117</v>
      </c>
      <c r="B576" s="4">
        <v>45705</v>
      </c>
      <c r="C576" s="3" t="s">
        <v>1118</v>
      </c>
      <c r="D576" s="3" t="s">
        <v>29</v>
      </c>
      <c r="E576" s="3" t="s">
        <v>40</v>
      </c>
      <c r="F576" s="3" t="s">
        <v>41</v>
      </c>
      <c r="G576" s="3" t="s">
        <v>22</v>
      </c>
      <c r="H576" s="3" t="s">
        <v>110</v>
      </c>
      <c r="I576" s="3" t="s">
        <v>111</v>
      </c>
      <c r="J576" s="3">
        <v>2</v>
      </c>
      <c r="K576" s="5">
        <v>60426.66</v>
      </c>
      <c r="L576" s="5">
        <v>114810.65</v>
      </c>
      <c r="M576" s="6">
        <v>5</v>
      </c>
      <c r="N576" s="5">
        <v>-3251.19</v>
      </c>
      <c r="O576" s="5">
        <v>261.31</v>
      </c>
      <c r="P576" s="3" t="s">
        <v>64</v>
      </c>
      <c r="Q576" s="3" t="s">
        <v>57</v>
      </c>
      <c r="R576" s="30">
        <f t="shared" si="8"/>
        <v>-2.8317843335962302E-2</v>
      </c>
    </row>
    <row r="577" spans="1:18" x14ac:dyDescent="0.35">
      <c r="A577" s="7" t="s">
        <v>1119</v>
      </c>
      <c r="B577" s="8">
        <v>45706</v>
      </c>
      <c r="C577" s="7" t="s">
        <v>1120</v>
      </c>
      <c r="D577" s="7" t="s">
        <v>39</v>
      </c>
      <c r="E577" s="7" t="s">
        <v>40</v>
      </c>
      <c r="F577" s="7" t="s">
        <v>90</v>
      </c>
      <c r="G577" s="7" t="s">
        <v>49</v>
      </c>
      <c r="H577" s="7" t="s">
        <v>62</v>
      </c>
      <c r="I577" s="7" t="s">
        <v>122</v>
      </c>
      <c r="J577" s="7">
        <v>2</v>
      </c>
      <c r="K577" s="9">
        <v>4590.29</v>
      </c>
      <c r="L577" s="9">
        <v>7344.46</v>
      </c>
      <c r="M577" s="10">
        <v>20</v>
      </c>
      <c r="N577" s="9">
        <v>997.17</v>
      </c>
      <c r="O577" s="9">
        <v>194.66</v>
      </c>
      <c r="P577" s="7" t="s">
        <v>64</v>
      </c>
      <c r="Q577" s="7" t="s">
        <v>65</v>
      </c>
      <c r="R577" s="30">
        <f t="shared" si="8"/>
        <v>0.13577172453795106</v>
      </c>
    </row>
    <row r="578" spans="1:18" x14ac:dyDescent="0.35">
      <c r="A578" s="3" t="s">
        <v>1121</v>
      </c>
      <c r="B578" s="4">
        <v>45706</v>
      </c>
      <c r="C578" s="3" t="s">
        <v>1122</v>
      </c>
      <c r="D578" s="3" t="s">
        <v>39</v>
      </c>
      <c r="E578" s="3" t="s">
        <v>30</v>
      </c>
      <c r="F578" s="3" t="s">
        <v>226</v>
      </c>
      <c r="G578" s="3" t="s">
        <v>134</v>
      </c>
      <c r="H578" s="3" t="s">
        <v>91</v>
      </c>
      <c r="I578" s="3" t="s">
        <v>206</v>
      </c>
      <c r="J578" s="3">
        <v>1</v>
      </c>
      <c r="K578" s="5">
        <v>1573.8</v>
      </c>
      <c r="L578" s="5">
        <v>1573.8</v>
      </c>
      <c r="M578" s="6">
        <v>0</v>
      </c>
      <c r="N578" s="5">
        <v>361.22</v>
      </c>
      <c r="O578" s="5">
        <v>200.1</v>
      </c>
      <c r="P578" s="3" t="s">
        <v>45</v>
      </c>
      <c r="Q578" s="3" t="s">
        <v>57</v>
      </c>
      <c r="R578" s="30">
        <f t="shared" si="8"/>
        <v>0.22952090481636805</v>
      </c>
    </row>
    <row r="579" spans="1:18" x14ac:dyDescent="0.35">
      <c r="A579" s="7" t="s">
        <v>1123</v>
      </c>
      <c r="B579" s="8">
        <v>45706</v>
      </c>
      <c r="C579" s="7" t="s">
        <v>509</v>
      </c>
      <c r="D579" s="7" t="s">
        <v>39</v>
      </c>
      <c r="E579" s="7" t="s">
        <v>40</v>
      </c>
      <c r="F579" s="7" t="s">
        <v>77</v>
      </c>
      <c r="G579" s="7" t="s">
        <v>42</v>
      </c>
      <c r="H579" s="7" t="s">
        <v>164</v>
      </c>
      <c r="I579" s="7" t="s">
        <v>853</v>
      </c>
      <c r="J579" s="7">
        <v>3</v>
      </c>
      <c r="K579" s="9">
        <v>655.75</v>
      </c>
      <c r="L579" s="9">
        <v>1672.16</v>
      </c>
      <c r="M579" s="10">
        <v>15</v>
      </c>
      <c r="N579" s="9">
        <v>223.92</v>
      </c>
      <c r="O579" s="9">
        <v>139.59</v>
      </c>
      <c r="P579" s="7" t="s">
        <v>35</v>
      </c>
      <c r="Q579" s="7" t="s">
        <v>65</v>
      </c>
      <c r="R579" s="30">
        <f t="shared" ref="R579:R642" si="9">N579/L579</f>
        <v>0.13391063056166871</v>
      </c>
    </row>
    <row r="580" spans="1:18" x14ac:dyDescent="0.35">
      <c r="A580" s="3" t="s">
        <v>1124</v>
      </c>
      <c r="B580" s="4">
        <v>45707</v>
      </c>
      <c r="C580" s="3" t="s">
        <v>1125</v>
      </c>
      <c r="D580" s="3" t="s">
        <v>29</v>
      </c>
      <c r="E580" s="3" t="s">
        <v>30</v>
      </c>
      <c r="F580" s="3" t="s">
        <v>48</v>
      </c>
      <c r="G580" s="3" t="s">
        <v>32</v>
      </c>
      <c r="H580" s="3" t="s">
        <v>86</v>
      </c>
      <c r="I580" s="3" t="s">
        <v>87</v>
      </c>
      <c r="J580" s="3">
        <v>3</v>
      </c>
      <c r="K580" s="5">
        <v>11218.04</v>
      </c>
      <c r="L580" s="5">
        <v>31971.41</v>
      </c>
      <c r="M580" s="6">
        <v>5</v>
      </c>
      <c r="N580" s="5">
        <v>4756.8999999999996</v>
      </c>
      <c r="O580" s="5">
        <v>245.84</v>
      </c>
      <c r="P580" s="3" t="s">
        <v>35</v>
      </c>
      <c r="Q580" s="3" t="s">
        <v>65</v>
      </c>
      <c r="R580" s="30">
        <f t="shared" si="9"/>
        <v>0.14878605604194498</v>
      </c>
    </row>
    <row r="581" spans="1:18" x14ac:dyDescent="0.35">
      <c r="A581" s="7" t="s">
        <v>1126</v>
      </c>
      <c r="B581" s="8">
        <v>45707</v>
      </c>
      <c r="C581" s="7" t="s">
        <v>1120</v>
      </c>
      <c r="D581" s="7" t="s">
        <v>39</v>
      </c>
      <c r="E581" s="7" t="s">
        <v>20</v>
      </c>
      <c r="F581" s="7" t="s">
        <v>129</v>
      </c>
      <c r="G581" s="7" t="s">
        <v>134</v>
      </c>
      <c r="H581" s="7" t="s">
        <v>139</v>
      </c>
      <c r="I581" s="7" t="s">
        <v>587</v>
      </c>
      <c r="J581" s="7">
        <v>2</v>
      </c>
      <c r="K581" s="9">
        <v>3277.86</v>
      </c>
      <c r="L581" s="9">
        <v>6227.93</v>
      </c>
      <c r="M581" s="10">
        <v>5</v>
      </c>
      <c r="N581" s="9">
        <v>972.65</v>
      </c>
      <c r="O581" s="9">
        <v>101.69</v>
      </c>
      <c r="P581" s="7" t="s">
        <v>35</v>
      </c>
      <c r="Q581" s="7" t="s">
        <v>65</v>
      </c>
      <c r="R581" s="30">
        <f t="shared" si="9"/>
        <v>0.15617548687926805</v>
      </c>
    </row>
    <row r="582" spans="1:18" x14ac:dyDescent="0.35">
      <c r="A582" s="3" t="s">
        <v>1127</v>
      </c>
      <c r="B582" s="4">
        <v>45707</v>
      </c>
      <c r="C582" s="3" t="s">
        <v>1128</v>
      </c>
      <c r="D582" s="3" t="s">
        <v>39</v>
      </c>
      <c r="E582" s="3" t="s">
        <v>30</v>
      </c>
      <c r="F582" s="3" t="s">
        <v>31</v>
      </c>
      <c r="G582" s="3" t="s">
        <v>42</v>
      </c>
      <c r="H582" s="3" t="s">
        <v>43</v>
      </c>
      <c r="I582" s="3" t="s">
        <v>44</v>
      </c>
      <c r="J582" s="3">
        <v>1</v>
      </c>
      <c r="K582" s="5">
        <v>1085.4000000000001</v>
      </c>
      <c r="L582" s="5">
        <v>759.78</v>
      </c>
      <c r="M582" s="6">
        <v>30</v>
      </c>
      <c r="N582" s="5">
        <v>-49.75</v>
      </c>
      <c r="O582" s="5">
        <v>63.71</v>
      </c>
      <c r="P582" s="3" t="s">
        <v>64</v>
      </c>
      <c r="Q582" s="3" t="s">
        <v>36</v>
      </c>
      <c r="R582" s="30">
        <f t="shared" si="9"/>
        <v>-6.547948090236648E-2</v>
      </c>
    </row>
    <row r="583" spans="1:18" x14ac:dyDescent="0.35">
      <c r="A583" s="7" t="s">
        <v>1129</v>
      </c>
      <c r="B583" s="8">
        <v>45708</v>
      </c>
      <c r="C583" s="7" t="s">
        <v>1130</v>
      </c>
      <c r="D583" s="7" t="s">
        <v>19</v>
      </c>
      <c r="E583" s="7" t="s">
        <v>20</v>
      </c>
      <c r="F583" s="7" t="s">
        <v>54</v>
      </c>
      <c r="G583" s="7" t="s">
        <v>117</v>
      </c>
      <c r="H583" s="7" t="s">
        <v>118</v>
      </c>
      <c r="I583" s="7" t="s">
        <v>279</v>
      </c>
      <c r="J583" s="7">
        <v>1</v>
      </c>
      <c r="K583" s="9">
        <v>746.35</v>
      </c>
      <c r="L583" s="9">
        <v>709.03</v>
      </c>
      <c r="M583" s="10">
        <v>5</v>
      </c>
      <c r="N583" s="9">
        <v>118.98</v>
      </c>
      <c r="O583" s="9">
        <v>149.44</v>
      </c>
      <c r="P583" s="7" t="s">
        <v>35</v>
      </c>
      <c r="Q583" s="7" t="s">
        <v>26</v>
      </c>
      <c r="R583" s="30">
        <f t="shared" si="9"/>
        <v>0.16780672185944179</v>
      </c>
    </row>
    <row r="584" spans="1:18" x14ac:dyDescent="0.35">
      <c r="A584" s="3" t="s">
        <v>1131</v>
      </c>
      <c r="B584" s="4">
        <v>45711</v>
      </c>
      <c r="C584" s="3" t="s">
        <v>1132</v>
      </c>
      <c r="D584" s="3" t="s">
        <v>29</v>
      </c>
      <c r="E584" s="3" t="s">
        <v>40</v>
      </c>
      <c r="F584" s="3" t="s">
        <v>109</v>
      </c>
      <c r="G584" s="3" t="s">
        <v>117</v>
      </c>
      <c r="H584" s="3" t="s">
        <v>118</v>
      </c>
      <c r="I584" s="3" t="s">
        <v>119</v>
      </c>
      <c r="J584" s="3">
        <v>2</v>
      </c>
      <c r="K584" s="5">
        <v>1850.56</v>
      </c>
      <c r="L584" s="5">
        <v>2960.9</v>
      </c>
      <c r="M584" s="6">
        <v>20</v>
      </c>
      <c r="N584" s="5">
        <v>520.55999999999995</v>
      </c>
      <c r="O584" s="5">
        <v>308.42</v>
      </c>
      <c r="P584" s="3" t="s">
        <v>35</v>
      </c>
      <c r="Q584" s="3" t="s">
        <v>57</v>
      </c>
      <c r="R584" s="30">
        <f t="shared" si="9"/>
        <v>0.1758114086933027</v>
      </c>
    </row>
    <row r="585" spans="1:18" x14ac:dyDescent="0.35">
      <c r="A585" s="7" t="s">
        <v>1133</v>
      </c>
      <c r="B585" s="8">
        <v>45711</v>
      </c>
      <c r="C585" s="7" t="s">
        <v>437</v>
      </c>
      <c r="D585" s="7" t="s">
        <v>29</v>
      </c>
      <c r="E585" s="7" t="s">
        <v>30</v>
      </c>
      <c r="F585" s="7" t="s">
        <v>226</v>
      </c>
      <c r="G585" s="7" t="s">
        <v>22</v>
      </c>
      <c r="H585" s="7" t="s">
        <v>23</v>
      </c>
      <c r="I585" s="7" t="s">
        <v>24</v>
      </c>
      <c r="J585" s="7">
        <v>3</v>
      </c>
      <c r="K585" s="9">
        <v>24745.58</v>
      </c>
      <c r="L585" s="9">
        <v>70524.899999999994</v>
      </c>
      <c r="M585" s="10">
        <v>5</v>
      </c>
      <c r="N585" s="9">
        <v>4192.25</v>
      </c>
      <c r="O585" s="9">
        <v>300.38</v>
      </c>
      <c r="P585" s="7" t="s">
        <v>45</v>
      </c>
      <c r="Q585" s="7" t="s">
        <v>26</v>
      </c>
      <c r="R585" s="30">
        <f t="shared" si="9"/>
        <v>5.9443544053235105E-2</v>
      </c>
    </row>
    <row r="586" spans="1:18" x14ac:dyDescent="0.35">
      <c r="A586" s="3" t="s">
        <v>1134</v>
      </c>
      <c r="B586" s="4">
        <v>45713</v>
      </c>
      <c r="C586" s="3" t="s">
        <v>1135</v>
      </c>
      <c r="D586" s="3" t="s">
        <v>39</v>
      </c>
      <c r="E586" s="3" t="s">
        <v>60</v>
      </c>
      <c r="F586" s="3" t="s">
        <v>104</v>
      </c>
      <c r="G586" s="3" t="s">
        <v>42</v>
      </c>
      <c r="H586" s="3" t="s">
        <v>81</v>
      </c>
      <c r="I586" s="3" t="s">
        <v>82</v>
      </c>
      <c r="J586" s="3">
        <v>3</v>
      </c>
      <c r="K586" s="5">
        <v>562.01</v>
      </c>
      <c r="L586" s="5">
        <v>1517.43</v>
      </c>
      <c r="M586" s="6">
        <v>10</v>
      </c>
      <c r="N586" s="5">
        <v>158.68</v>
      </c>
      <c r="O586" s="5">
        <v>361.71</v>
      </c>
      <c r="P586" s="3" t="s">
        <v>64</v>
      </c>
      <c r="Q586" s="3" t="s">
        <v>65</v>
      </c>
      <c r="R586" s="30">
        <f t="shared" si="9"/>
        <v>0.10457154531016258</v>
      </c>
    </row>
    <row r="587" spans="1:18" x14ac:dyDescent="0.35">
      <c r="A587" s="7" t="s">
        <v>1136</v>
      </c>
      <c r="B587" s="8">
        <v>45713</v>
      </c>
      <c r="C587" s="7" t="s">
        <v>433</v>
      </c>
      <c r="D587" s="7" t="s">
        <v>39</v>
      </c>
      <c r="E587" s="7" t="s">
        <v>20</v>
      </c>
      <c r="F587" s="7" t="s">
        <v>129</v>
      </c>
      <c r="G587" s="7" t="s">
        <v>134</v>
      </c>
      <c r="H587" s="7" t="s">
        <v>135</v>
      </c>
      <c r="I587" s="7" t="s">
        <v>136</v>
      </c>
      <c r="J587" s="7">
        <v>2</v>
      </c>
      <c r="K587" s="9">
        <v>3109.75</v>
      </c>
      <c r="L587" s="9">
        <v>5597.55</v>
      </c>
      <c r="M587" s="10">
        <v>10</v>
      </c>
      <c r="N587" s="9">
        <v>992.57</v>
      </c>
      <c r="O587" s="9">
        <v>230.82</v>
      </c>
      <c r="P587" s="7" t="s">
        <v>25</v>
      </c>
      <c r="Q587" s="7" t="s">
        <v>26</v>
      </c>
      <c r="R587" s="30">
        <f t="shared" si="9"/>
        <v>0.17732222132897429</v>
      </c>
    </row>
    <row r="588" spans="1:18" x14ac:dyDescent="0.35">
      <c r="A588" s="3" t="s">
        <v>1137</v>
      </c>
      <c r="B588" s="4">
        <v>45713</v>
      </c>
      <c r="C588" s="3" t="s">
        <v>974</v>
      </c>
      <c r="D588" s="3" t="s">
        <v>39</v>
      </c>
      <c r="E588" s="3" t="s">
        <v>60</v>
      </c>
      <c r="F588" s="3" t="s">
        <v>72</v>
      </c>
      <c r="G588" s="3" t="s">
        <v>42</v>
      </c>
      <c r="H588" s="3" t="s">
        <v>81</v>
      </c>
      <c r="I588" s="3" t="s">
        <v>431</v>
      </c>
      <c r="J588" s="3">
        <v>1</v>
      </c>
      <c r="K588" s="5">
        <v>597.39</v>
      </c>
      <c r="L588" s="5">
        <v>597.39</v>
      </c>
      <c r="M588" s="6">
        <v>0</v>
      </c>
      <c r="N588" s="5">
        <v>116.86</v>
      </c>
      <c r="O588" s="5">
        <v>71.83</v>
      </c>
      <c r="P588" s="3" t="s">
        <v>64</v>
      </c>
      <c r="Q588" s="3" t="s">
        <v>65</v>
      </c>
      <c r="R588" s="30">
        <f t="shared" si="9"/>
        <v>0.19561760324076399</v>
      </c>
    </row>
    <row r="589" spans="1:18" x14ac:dyDescent="0.35">
      <c r="A589" s="7" t="s">
        <v>1138</v>
      </c>
      <c r="B589" s="8">
        <v>45714</v>
      </c>
      <c r="C589" s="7" t="s">
        <v>1139</v>
      </c>
      <c r="D589" s="7" t="s">
        <v>19</v>
      </c>
      <c r="E589" s="7" t="s">
        <v>60</v>
      </c>
      <c r="F589" s="7" t="s">
        <v>61</v>
      </c>
      <c r="G589" s="7" t="s">
        <v>42</v>
      </c>
      <c r="H589" s="7" t="s">
        <v>164</v>
      </c>
      <c r="I589" s="7" t="s">
        <v>199</v>
      </c>
      <c r="J589" s="7">
        <v>3</v>
      </c>
      <c r="K589" s="9">
        <v>1181.6500000000001</v>
      </c>
      <c r="L589" s="9">
        <v>2658.71</v>
      </c>
      <c r="M589" s="10">
        <v>25</v>
      </c>
      <c r="N589" s="9">
        <v>-89.72</v>
      </c>
      <c r="O589" s="9">
        <v>200.75</v>
      </c>
      <c r="P589" s="7" t="s">
        <v>35</v>
      </c>
      <c r="Q589" s="7" t="s">
        <v>57</v>
      </c>
      <c r="R589" s="30">
        <f t="shared" si="9"/>
        <v>-3.3745688698654609E-2</v>
      </c>
    </row>
    <row r="590" spans="1:18" x14ac:dyDescent="0.35">
      <c r="A590" s="3" t="s">
        <v>1140</v>
      </c>
      <c r="B590" s="4">
        <v>45715</v>
      </c>
      <c r="C590" s="3" t="s">
        <v>1141</v>
      </c>
      <c r="D590" s="3" t="s">
        <v>29</v>
      </c>
      <c r="E590" s="3" t="s">
        <v>30</v>
      </c>
      <c r="F590" s="3" t="s">
        <v>48</v>
      </c>
      <c r="G590" s="3" t="s">
        <v>134</v>
      </c>
      <c r="H590" s="3" t="s">
        <v>91</v>
      </c>
      <c r="I590" s="3" t="s">
        <v>92</v>
      </c>
      <c r="J590" s="3">
        <v>3</v>
      </c>
      <c r="K590" s="5">
        <v>830.82</v>
      </c>
      <c r="L590" s="5">
        <v>1869.35</v>
      </c>
      <c r="M590" s="6">
        <v>25</v>
      </c>
      <c r="N590" s="5">
        <v>-66.819999999999993</v>
      </c>
      <c r="O590" s="5">
        <v>68.91</v>
      </c>
      <c r="P590" s="3" t="s">
        <v>35</v>
      </c>
      <c r="Q590" s="3" t="s">
        <v>57</v>
      </c>
      <c r="R590" s="30">
        <f t="shared" si="9"/>
        <v>-3.5745045069141682E-2</v>
      </c>
    </row>
    <row r="591" spans="1:18" x14ac:dyDescent="0.35">
      <c r="A591" s="7" t="s">
        <v>1142</v>
      </c>
      <c r="B591" s="8">
        <v>45717</v>
      </c>
      <c r="C591" s="7" t="s">
        <v>361</v>
      </c>
      <c r="D591" s="7" t="s">
        <v>39</v>
      </c>
      <c r="E591" s="7" t="s">
        <v>60</v>
      </c>
      <c r="F591" s="7" t="s">
        <v>72</v>
      </c>
      <c r="G591" s="7" t="s">
        <v>22</v>
      </c>
      <c r="H591" s="7" t="s">
        <v>23</v>
      </c>
      <c r="I591" s="7" t="s">
        <v>78</v>
      </c>
      <c r="J591" s="7">
        <v>3</v>
      </c>
      <c r="K591" s="9">
        <v>54018</v>
      </c>
      <c r="L591" s="9">
        <v>162054</v>
      </c>
      <c r="M591" s="10">
        <v>0</v>
      </c>
      <c r="N591" s="9">
        <v>20385.900000000001</v>
      </c>
      <c r="O591" s="9">
        <v>312.07</v>
      </c>
      <c r="P591" s="7" t="s">
        <v>64</v>
      </c>
      <c r="Q591" s="7" t="s">
        <v>65</v>
      </c>
      <c r="R591" s="30">
        <f t="shared" si="9"/>
        <v>0.12579695657003223</v>
      </c>
    </row>
    <row r="592" spans="1:18" x14ac:dyDescent="0.35">
      <c r="A592" s="3" t="s">
        <v>1143</v>
      </c>
      <c r="B592" s="4">
        <v>45718</v>
      </c>
      <c r="C592" s="3" t="s">
        <v>1144</v>
      </c>
      <c r="D592" s="3" t="s">
        <v>39</v>
      </c>
      <c r="E592" s="3" t="s">
        <v>60</v>
      </c>
      <c r="F592" s="3" t="s">
        <v>68</v>
      </c>
      <c r="G592" s="3" t="s">
        <v>22</v>
      </c>
      <c r="H592" s="3" t="s">
        <v>624</v>
      </c>
      <c r="I592" s="3" t="s">
        <v>640</v>
      </c>
      <c r="J592" s="3">
        <v>1</v>
      </c>
      <c r="K592" s="5">
        <v>32388.41</v>
      </c>
      <c r="L592" s="5">
        <v>22671.89</v>
      </c>
      <c r="M592" s="6">
        <v>30</v>
      </c>
      <c r="N592" s="5">
        <v>-1420.97</v>
      </c>
      <c r="O592" s="5">
        <v>243.4</v>
      </c>
      <c r="P592" s="3" t="s">
        <v>64</v>
      </c>
      <c r="Q592" s="3" t="s">
        <v>57</v>
      </c>
      <c r="R592" s="30">
        <f t="shared" si="9"/>
        <v>-6.2675409945972746E-2</v>
      </c>
    </row>
    <row r="593" spans="1:18" x14ac:dyDescent="0.35">
      <c r="A593" s="7" t="s">
        <v>1145</v>
      </c>
      <c r="B593" s="8">
        <v>45718</v>
      </c>
      <c r="C593" s="7" t="s">
        <v>778</v>
      </c>
      <c r="D593" s="7" t="s">
        <v>29</v>
      </c>
      <c r="E593" s="7" t="s">
        <v>20</v>
      </c>
      <c r="F593" s="7" t="s">
        <v>21</v>
      </c>
      <c r="G593" s="7" t="s">
        <v>117</v>
      </c>
      <c r="H593" s="7" t="s">
        <v>125</v>
      </c>
      <c r="I593" s="7" t="s">
        <v>126</v>
      </c>
      <c r="J593" s="7">
        <v>3</v>
      </c>
      <c r="K593" s="9">
        <v>1087.51</v>
      </c>
      <c r="L593" s="9">
        <v>3262.53</v>
      </c>
      <c r="M593" s="10">
        <v>0</v>
      </c>
      <c r="N593" s="9">
        <v>984.7</v>
      </c>
      <c r="O593" s="9">
        <v>92.4</v>
      </c>
      <c r="P593" s="7" t="s">
        <v>35</v>
      </c>
      <c r="Q593" s="7" t="s">
        <v>57</v>
      </c>
      <c r="R593" s="30">
        <f t="shared" si="9"/>
        <v>0.30182097942394398</v>
      </c>
    </row>
    <row r="594" spans="1:18" x14ac:dyDescent="0.35">
      <c r="A594" s="3" t="s">
        <v>1146</v>
      </c>
      <c r="B594" s="4">
        <v>45718</v>
      </c>
      <c r="C594" s="3" t="s">
        <v>1147</v>
      </c>
      <c r="D594" s="3" t="s">
        <v>39</v>
      </c>
      <c r="E594" s="3" t="s">
        <v>20</v>
      </c>
      <c r="F594" s="3" t="s">
        <v>129</v>
      </c>
      <c r="G594" s="3" t="s">
        <v>134</v>
      </c>
      <c r="H594" s="3" t="s">
        <v>244</v>
      </c>
      <c r="I594" s="3" t="s">
        <v>245</v>
      </c>
      <c r="J594" s="3">
        <v>3</v>
      </c>
      <c r="K594" s="5">
        <v>497.29</v>
      </c>
      <c r="L594" s="5">
        <v>1268.0899999999999</v>
      </c>
      <c r="M594" s="6">
        <v>15</v>
      </c>
      <c r="N594" s="5">
        <v>159.72</v>
      </c>
      <c r="O594" s="5">
        <v>356.98</v>
      </c>
      <c r="P594" s="3" t="s">
        <v>83</v>
      </c>
      <c r="Q594" s="3" t="s">
        <v>65</v>
      </c>
      <c r="R594" s="30">
        <f t="shared" si="9"/>
        <v>0.12595320521414097</v>
      </c>
    </row>
    <row r="595" spans="1:18" x14ac:dyDescent="0.35">
      <c r="A595" s="7" t="s">
        <v>1148</v>
      </c>
      <c r="B595" s="8">
        <v>45719</v>
      </c>
      <c r="C595" s="7" t="s">
        <v>1149</v>
      </c>
      <c r="D595" s="7" t="s">
        <v>39</v>
      </c>
      <c r="E595" s="7" t="s">
        <v>30</v>
      </c>
      <c r="F595" s="7" t="s">
        <v>226</v>
      </c>
      <c r="G595" s="7" t="s">
        <v>49</v>
      </c>
      <c r="H595" s="7" t="s">
        <v>62</v>
      </c>
      <c r="I595" s="7" t="s">
        <v>424</v>
      </c>
      <c r="J595" s="7">
        <v>1</v>
      </c>
      <c r="K595" s="9">
        <v>13500.93</v>
      </c>
      <c r="L595" s="9">
        <v>12150.84</v>
      </c>
      <c r="M595" s="10">
        <v>10</v>
      </c>
      <c r="N595" s="9">
        <v>1191.58</v>
      </c>
      <c r="O595" s="9">
        <v>348.39</v>
      </c>
      <c r="P595" s="7" t="s">
        <v>25</v>
      </c>
      <c r="Q595" s="7" t="s">
        <v>65</v>
      </c>
      <c r="R595" s="30">
        <f t="shared" si="9"/>
        <v>9.8065648136260536E-2</v>
      </c>
    </row>
    <row r="596" spans="1:18" x14ac:dyDescent="0.35">
      <c r="A596" s="3" t="s">
        <v>1150</v>
      </c>
      <c r="B596" s="4">
        <v>45719</v>
      </c>
      <c r="C596" s="3" t="s">
        <v>828</v>
      </c>
      <c r="D596" s="3" t="s">
        <v>39</v>
      </c>
      <c r="E596" s="3" t="s">
        <v>20</v>
      </c>
      <c r="F596" s="3" t="s">
        <v>54</v>
      </c>
      <c r="G596" s="3" t="s">
        <v>49</v>
      </c>
      <c r="H596" s="3" t="s">
        <v>50</v>
      </c>
      <c r="I596" s="3" t="s">
        <v>193</v>
      </c>
      <c r="J596" s="3">
        <v>1</v>
      </c>
      <c r="K596" s="5">
        <v>8727</v>
      </c>
      <c r="L596" s="5">
        <v>8727</v>
      </c>
      <c r="M596" s="6">
        <v>0</v>
      </c>
      <c r="N596" s="5">
        <v>925.25</v>
      </c>
      <c r="O596" s="5">
        <v>329.62</v>
      </c>
      <c r="P596" s="3" t="s">
        <v>64</v>
      </c>
      <c r="Q596" s="3" t="s">
        <v>65</v>
      </c>
      <c r="R596" s="30">
        <f t="shared" si="9"/>
        <v>0.10602154233986479</v>
      </c>
    </row>
    <row r="597" spans="1:18" x14ac:dyDescent="0.35">
      <c r="A597" s="7" t="s">
        <v>1151</v>
      </c>
      <c r="B597" s="8">
        <v>45720</v>
      </c>
      <c r="C597" s="7" t="s">
        <v>28</v>
      </c>
      <c r="D597" s="7" t="s">
        <v>39</v>
      </c>
      <c r="E597" s="7" t="s">
        <v>20</v>
      </c>
      <c r="F597" s="7" t="s">
        <v>54</v>
      </c>
      <c r="G597" s="7" t="s">
        <v>49</v>
      </c>
      <c r="H597" s="7" t="s">
        <v>50</v>
      </c>
      <c r="I597" s="7" t="s">
        <v>51</v>
      </c>
      <c r="J597" s="7">
        <v>1</v>
      </c>
      <c r="K597" s="9">
        <v>2114.5500000000002</v>
      </c>
      <c r="L597" s="9">
        <v>1585.91</v>
      </c>
      <c r="M597" s="10">
        <v>25</v>
      </c>
      <c r="N597" s="9">
        <v>-35.770000000000003</v>
      </c>
      <c r="O597" s="9">
        <v>217.05</v>
      </c>
      <c r="P597" s="7" t="s">
        <v>35</v>
      </c>
      <c r="Q597" s="7" t="s">
        <v>65</v>
      </c>
      <c r="R597" s="30">
        <f t="shared" si="9"/>
        <v>-2.2554873857911231E-2</v>
      </c>
    </row>
    <row r="598" spans="1:18" x14ac:dyDescent="0.35">
      <c r="A598" s="3" t="s">
        <v>1152</v>
      </c>
      <c r="B598" s="4">
        <v>45720</v>
      </c>
      <c r="C598" s="3" t="s">
        <v>614</v>
      </c>
      <c r="D598" s="3" t="s">
        <v>39</v>
      </c>
      <c r="E598" s="3" t="s">
        <v>20</v>
      </c>
      <c r="F598" s="3" t="s">
        <v>54</v>
      </c>
      <c r="G598" s="3" t="s">
        <v>49</v>
      </c>
      <c r="H598" s="3" t="s">
        <v>50</v>
      </c>
      <c r="I598" s="3" t="s">
        <v>95</v>
      </c>
      <c r="J598" s="3">
        <v>2</v>
      </c>
      <c r="K598" s="5">
        <v>5545.21</v>
      </c>
      <c r="L598" s="5">
        <v>8317.82</v>
      </c>
      <c r="M598" s="6">
        <v>25</v>
      </c>
      <c r="N598" s="5">
        <v>-2.54</v>
      </c>
      <c r="O598" s="5">
        <v>119.75</v>
      </c>
      <c r="P598" s="3" t="s">
        <v>45</v>
      </c>
      <c r="Q598" s="3" t="s">
        <v>65</v>
      </c>
      <c r="R598" s="30">
        <f t="shared" si="9"/>
        <v>-3.053684739511074E-4</v>
      </c>
    </row>
    <row r="599" spans="1:18" x14ac:dyDescent="0.35">
      <c r="A599" s="7" t="s">
        <v>1153</v>
      </c>
      <c r="B599" s="8">
        <v>45720</v>
      </c>
      <c r="C599" s="7" t="s">
        <v>658</v>
      </c>
      <c r="D599" s="7" t="s">
        <v>39</v>
      </c>
      <c r="E599" s="7" t="s">
        <v>60</v>
      </c>
      <c r="F599" s="7" t="s">
        <v>104</v>
      </c>
      <c r="G599" s="7" t="s">
        <v>117</v>
      </c>
      <c r="H599" s="7" t="s">
        <v>153</v>
      </c>
      <c r="I599" s="7" t="s">
        <v>154</v>
      </c>
      <c r="J599" s="7">
        <v>1</v>
      </c>
      <c r="K599" s="9">
        <v>1337.4</v>
      </c>
      <c r="L599" s="9">
        <v>1337.4</v>
      </c>
      <c r="M599" s="10">
        <v>0</v>
      </c>
      <c r="N599" s="9">
        <v>337.59</v>
      </c>
      <c r="O599" s="9">
        <v>68.94</v>
      </c>
      <c r="P599" s="7" t="s">
        <v>35</v>
      </c>
      <c r="Q599" s="7" t="s">
        <v>65</v>
      </c>
      <c r="R599" s="30">
        <f t="shared" si="9"/>
        <v>0.25242261103633912</v>
      </c>
    </row>
    <row r="600" spans="1:18" x14ac:dyDescent="0.35">
      <c r="A600" s="3" t="s">
        <v>1154</v>
      </c>
      <c r="B600" s="4">
        <v>45725</v>
      </c>
      <c r="C600" s="3" t="s">
        <v>628</v>
      </c>
      <c r="D600" s="3" t="s">
        <v>29</v>
      </c>
      <c r="E600" s="3" t="s">
        <v>20</v>
      </c>
      <c r="F600" s="3" t="s">
        <v>21</v>
      </c>
      <c r="G600" s="3" t="s">
        <v>49</v>
      </c>
      <c r="H600" s="3" t="s">
        <v>62</v>
      </c>
      <c r="I600" s="3" t="s">
        <v>122</v>
      </c>
      <c r="J600" s="3">
        <v>5</v>
      </c>
      <c r="K600" s="5">
        <v>9793.26</v>
      </c>
      <c r="L600" s="5">
        <v>41621.360000000001</v>
      </c>
      <c r="M600" s="6">
        <v>15</v>
      </c>
      <c r="N600" s="5">
        <v>7638.19</v>
      </c>
      <c r="O600" s="5">
        <v>155.59</v>
      </c>
      <c r="P600" s="3" t="s">
        <v>64</v>
      </c>
      <c r="Q600" s="3" t="s">
        <v>57</v>
      </c>
      <c r="R600" s="30">
        <f t="shared" si="9"/>
        <v>0.18351610807527671</v>
      </c>
    </row>
    <row r="601" spans="1:18" x14ac:dyDescent="0.35">
      <c r="A601" s="7" t="s">
        <v>1155</v>
      </c>
      <c r="B601" s="8">
        <v>45726</v>
      </c>
      <c r="C601" s="7" t="s">
        <v>444</v>
      </c>
      <c r="D601" s="7" t="s">
        <v>39</v>
      </c>
      <c r="E601" s="7" t="s">
        <v>30</v>
      </c>
      <c r="F601" s="7" t="s">
        <v>226</v>
      </c>
      <c r="G601" s="7" t="s">
        <v>42</v>
      </c>
      <c r="H601" s="7" t="s">
        <v>172</v>
      </c>
      <c r="I601" s="7" t="s">
        <v>173</v>
      </c>
      <c r="J601" s="7">
        <v>4</v>
      </c>
      <c r="K601" s="9">
        <v>224.82</v>
      </c>
      <c r="L601" s="9">
        <v>854.32</v>
      </c>
      <c r="M601" s="10">
        <v>5</v>
      </c>
      <c r="N601" s="9">
        <v>68.239999999999995</v>
      </c>
      <c r="O601" s="9">
        <v>169.89</v>
      </c>
      <c r="P601" s="7" t="s">
        <v>64</v>
      </c>
      <c r="Q601" s="7" t="s">
        <v>57</v>
      </c>
      <c r="R601" s="30">
        <f t="shared" si="9"/>
        <v>7.9876392920685449E-2</v>
      </c>
    </row>
    <row r="602" spans="1:18" x14ac:dyDescent="0.35">
      <c r="A602" s="3" t="s">
        <v>1156</v>
      </c>
      <c r="B602" s="4">
        <v>45727</v>
      </c>
      <c r="C602" s="3" t="s">
        <v>593</v>
      </c>
      <c r="D602" s="3" t="s">
        <v>39</v>
      </c>
      <c r="E602" s="3" t="s">
        <v>20</v>
      </c>
      <c r="F602" s="3" t="s">
        <v>54</v>
      </c>
      <c r="G602" s="3" t="s">
        <v>134</v>
      </c>
      <c r="H602" s="3" t="s">
        <v>139</v>
      </c>
      <c r="I602" s="3" t="s">
        <v>140</v>
      </c>
      <c r="J602" s="3">
        <v>1</v>
      </c>
      <c r="K602" s="5">
        <v>4293</v>
      </c>
      <c r="L602" s="5">
        <v>4293</v>
      </c>
      <c r="M602" s="6">
        <v>0</v>
      </c>
      <c r="N602" s="5">
        <v>1083.49</v>
      </c>
      <c r="O602" s="5">
        <v>79.930000000000007</v>
      </c>
      <c r="P602" s="3" t="s">
        <v>35</v>
      </c>
      <c r="Q602" s="3" t="s">
        <v>65</v>
      </c>
      <c r="R602" s="30">
        <f t="shared" si="9"/>
        <v>0.25238527836012115</v>
      </c>
    </row>
    <row r="603" spans="1:18" x14ac:dyDescent="0.35">
      <c r="A603" s="7" t="s">
        <v>1157</v>
      </c>
      <c r="B603" s="8">
        <v>45728</v>
      </c>
      <c r="C603" s="7" t="s">
        <v>353</v>
      </c>
      <c r="D603" s="7" t="s">
        <v>29</v>
      </c>
      <c r="E603" s="7" t="s">
        <v>60</v>
      </c>
      <c r="F603" s="7" t="s">
        <v>61</v>
      </c>
      <c r="G603" s="7" t="s">
        <v>49</v>
      </c>
      <c r="H603" s="7" t="s">
        <v>62</v>
      </c>
      <c r="I603" s="7" t="s">
        <v>63</v>
      </c>
      <c r="J603" s="7">
        <v>1</v>
      </c>
      <c r="K603" s="9">
        <v>5740.33</v>
      </c>
      <c r="L603" s="9">
        <v>4879.28</v>
      </c>
      <c r="M603" s="10">
        <v>15</v>
      </c>
      <c r="N603" s="9">
        <v>320.2</v>
      </c>
      <c r="O603" s="9">
        <v>127.79</v>
      </c>
      <c r="P603" s="7" t="s">
        <v>25</v>
      </c>
      <c r="Q603" s="7" t="s">
        <v>26</v>
      </c>
      <c r="R603" s="30">
        <f t="shared" si="9"/>
        <v>6.5624436392254598E-2</v>
      </c>
    </row>
    <row r="604" spans="1:18" x14ac:dyDescent="0.35">
      <c r="A604" s="3" t="s">
        <v>1158</v>
      </c>
      <c r="B604" s="4">
        <v>45728</v>
      </c>
      <c r="C604" s="3" t="s">
        <v>880</v>
      </c>
      <c r="D604" s="3" t="s">
        <v>39</v>
      </c>
      <c r="E604" s="3" t="s">
        <v>30</v>
      </c>
      <c r="F604" s="3" t="s">
        <v>48</v>
      </c>
      <c r="G604" s="3" t="s">
        <v>22</v>
      </c>
      <c r="H604" s="3" t="s">
        <v>110</v>
      </c>
      <c r="I604" s="3" t="s">
        <v>542</v>
      </c>
      <c r="J604" s="3">
        <v>3</v>
      </c>
      <c r="K604" s="5">
        <v>53193.15</v>
      </c>
      <c r="L604" s="5">
        <v>151600.48000000001</v>
      </c>
      <c r="M604" s="6">
        <v>5</v>
      </c>
      <c r="N604" s="5">
        <v>16013.77</v>
      </c>
      <c r="O604" s="5">
        <v>120.07</v>
      </c>
      <c r="P604" s="3" t="s">
        <v>45</v>
      </c>
      <c r="Q604" s="3" t="s">
        <v>36</v>
      </c>
      <c r="R604" s="30">
        <f t="shared" si="9"/>
        <v>0.10563139377922813</v>
      </c>
    </row>
    <row r="605" spans="1:18" x14ac:dyDescent="0.35">
      <c r="A605" s="7" t="s">
        <v>1159</v>
      </c>
      <c r="B605" s="8">
        <v>45728</v>
      </c>
      <c r="C605" s="7" t="s">
        <v>415</v>
      </c>
      <c r="D605" s="7" t="s">
        <v>39</v>
      </c>
      <c r="E605" s="7" t="s">
        <v>40</v>
      </c>
      <c r="F605" s="7" t="s">
        <v>77</v>
      </c>
      <c r="G605" s="7" t="s">
        <v>22</v>
      </c>
      <c r="H605" s="7" t="s">
        <v>110</v>
      </c>
      <c r="I605" s="7" t="s">
        <v>359</v>
      </c>
      <c r="J605" s="7">
        <v>2</v>
      </c>
      <c r="K605" s="9">
        <v>35696.559999999998</v>
      </c>
      <c r="L605" s="9">
        <v>67823.460000000006</v>
      </c>
      <c r="M605" s="10">
        <v>5</v>
      </c>
      <c r="N605" s="9">
        <v>11839.55</v>
      </c>
      <c r="O605" s="9">
        <v>75.89</v>
      </c>
      <c r="P605" s="7" t="s">
        <v>25</v>
      </c>
      <c r="Q605" s="7" t="s">
        <v>57</v>
      </c>
      <c r="R605" s="30">
        <f t="shared" si="9"/>
        <v>0.17456422895558554</v>
      </c>
    </row>
    <row r="606" spans="1:18" x14ac:dyDescent="0.35">
      <c r="A606" s="3" t="s">
        <v>1160</v>
      </c>
      <c r="B606" s="4">
        <v>45729</v>
      </c>
      <c r="C606" s="3" t="s">
        <v>883</v>
      </c>
      <c r="D606" s="3" t="s">
        <v>29</v>
      </c>
      <c r="E606" s="3" t="s">
        <v>20</v>
      </c>
      <c r="F606" s="3" t="s">
        <v>21</v>
      </c>
      <c r="G606" s="3" t="s">
        <v>22</v>
      </c>
      <c r="H606" s="3" t="s">
        <v>23</v>
      </c>
      <c r="I606" s="3" t="s">
        <v>176</v>
      </c>
      <c r="J606" s="3">
        <v>1</v>
      </c>
      <c r="K606" s="5">
        <v>28222.36</v>
      </c>
      <c r="L606" s="5">
        <v>25400.12</v>
      </c>
      <c r="M606" s="6">
        <v>10</v>
      </c>
      <c r="N606" s="5">
        <v>129.69999999999999</v>
      </c>
      <c r="O606" s="5">
        <v>76.180000000000007</v>
      </c>
      <c r="P606" s="3" t="s">
        <v>64</v>
      </c>
      <c r="Q606" s="3" t="s">
        <v>57</v>
      </c>
      <c r="R606" s="30">
        <f t="shared" si="9"/>
        <v>5.1062750884641487E-3</v>
      </c>
    </row>
    <row r="607" spans="1:18" x14ac:dyDescent="0.35">
      <c r="A607" s="7" t="s">
        <v>1161</v>
      </c>
      <c r="B607" s="8">
        <v>45730</v>
      </c>
      <c r="C607" s="7" t="s">
        <v>1162</v>
      </c>
      <c r="D607" s="7" t="s">
        <v>39</v>
      </c>
      <c r="E607" s="7" t="s">
        <v>40</v>
      </c>
      <c r="F607" s="7" t="s">
        <v>77</v>
      </c>
      <c r="G607" s="7" t="s">
        <v>134</v>
      </c>
      <c r="H607" s="7" t="s">
        <v>244</v>
      </c>
      <c r="I607" s="7" t="s">
        <v>334</v>
      </c>
      <c r="J607" s="7">
        <v>2</v>
      </c>
      <c r="K607" s="9">
        <v>4286.95</v>
      </c>
      <c r="L607" s="9">
        <v>7716.51</v>
      </c>
      <c r="M607" s="10">
        <v>10</v>
      </c>
      <c r="N607" s="9">
        <v>1478.91</v>
      </c>
      <c r="O607" s="9">
        <v>326.47000000000003</v>
      </c>
      <c r="P607" s="7" t="s">
        <v>25</v>
      </c>
      <c r="Q607" s="7" t="s">
        <v>65</v>
      </c>
      <c r="R607" s="30">
        <f t="shared" si="9"/>
        <v>0.19165529494551295</v>
      </c>
    </row>
    <row r="608" spans="1:18" x14ac:dyDescent="0.35">
      <c r="A608" s="3" t="s">
        <v>1163</v>
      </c>
      <c r="B608" s="4">
        <v>45730</v>
      </c>
      <c r="C608" s="3" t="s">
        <v>1164</v>
      </c>
      <c r="D608" s="3" t="s">
        <v>39</v>
      </c>
      <c r="E608" s="3" t="s">
        <v>30</v>
      </c>
      <c r="F608" s="3" t="s">
        <v>226</v>
      </c>
      <c r="G608" s="3" t="s">
        <v>117</v>
      </c>
      <c r="H608" s="3" t="s">
        <v>130</v>
      </c>
      <c r="I608" s="3" t="s">
        <v>131</v>
      </c>
      <c r="J608" s="3">
        <v>2</v>
      </c>
      <c r="K608" s="5">
        <v>1549.2</v>
      </c>
      <c r="L608" s="5">
        <v>2788.56</v>
      </c>
      <c r="M608" s="6">
        <v>10</v>
      </c>
      <c r="N608" s="5">
        <v>686.59</v>
      </c>
      <c r="O608" s="5">
        <v>321.10000000000002</v>
      </c>
      <c r="P608" s="3" t="s">
        <v>64</v>
      </c>
      <c r="Q608" s="3" t="s">
        <v>65</v>
      </c>
      <c r="R608" s="30">
        <f t="shared" si="9"/>
        <v>0.24621668531428409</v>
      </c>
    </row>
    <row r="609" spans="1:18" x14ac:dyDescent="0.35">
      <c r="A609" s="7" t="s">
        <v>1165</v>
      </c>
      <c r="B609" s="8">
        <v>45730</v>
      </c>
      <c r="C609" s="7" t="s">
        <v>729</v>
      </c>
      <c r="D609" s="7" t="s">
        <v>39</v>
      </c>
      <c r="E609" s="7" t="s">
        <v>60</v>
      </c>
      <c r="F609" s="7" t="s">
        <v>104</v>
      </c>
      <c r="G609" s="7" t="s">
        <v>42</v>
      </c>
      <c r="H609" s="7" t="s">
        <v>43</v>
      </c>
      <c r="I609" s="7" t="s">
        <v>44</v>
      </c>
      <c r="J609" s="7">
        <v>2</v>
      </c>
      <c r="K609" s="9">
        <v>1077.06</v>
      </c>
      <c r="L609" s="9">
        <v>1938.71</v>
      </c>
      <c r="M609" s="10">
        <v>10</v>
      </c>
      <c r="N609" s="9">
        <v>160.04</v>
      </c>
      <c r="O609" s="9">
        <v>255.89</v>
      </c>
      <c r="P609" s="7" t="s">
        <v>35</v>
      </c>
      <c r="Q609" s="7" t="s">
        <v>36</v>
      </c>
      <c r="R609" s="30">
        <f t="shared" si="9"/>
        <v>8.2549736680576261E-2</v>
      </c>
    </row>
    <row r="610" spans="1:18" x14ac:dyDescent="0.35">
      <c r="A610" s="3" t="s">
        <v>1166</v>
      </c>
      <c r="B610" s="4">
        <v>45731</v>
      </c>
      <c r="C610" s="3" t="s">
        <v>1167</v>
      </c>
      <c r="D610" s="3" t="s">
        <v>29</v>
      </c>
      <c r="E610" s="3" t="s">
        <v>30</v>
      </c>
      <c r="F610" s="3" t="s">
        <v>48</v>
      </c>
      <c r="G610" s="3" t="s">
        <v>22</v>
      </c>
      <c r="H610" s="3" t="s">
        <v>110</v>
      </c>
      <c r="I610" s="3" t="s">
        <v>359</v>
      </c>
      <c r="J610" s="3">
        <v>1</v>
      </c>
      <c r="K610" s="5">
        <v>57611.89</v>
      </c>
      <c r="L610" s="5">
        <v>57611.89</v>
      </c>
      <c r="M610" s="6">
        <v>0</v>
      </c>
      <c r="N610" s="5">
        <v>8156.53</v>
      </c>
      <c r="O610" s="5">
        <v>346.54</v>
      </c>
      <c r="P610" s="3" t="s">
        <v>25</v>
      </c>
      <c r="Q610" s="3" t="s">
        <v>57</v>
      </c>
      <c r="R610" s="30">
        <f t="shared" si="9"/>
        <v>0.14157719873449734</v>
      </c>
    </row>
    <row r="611" spans="1:18" x14ac:dyDescent="0.35">
      <c r="A611" s="7" t="s">
        <v>1168</v>
      </c>
      <c r="B611" s="8">
        <v>45731</v>
      </c>
      <c r="C611" s="7" t="s">
        <v>76</v>
      </c>
      <c r="D611" s="7" t="s">
        <v>39</v>
      </c>
      <c r="E611" s="7" t="s">
        <v>20</v>
      </c>
      <c r="F611" s="7" t="s">
        <v>129</v>
      </c>
      <c r="G611" s="7" t="s">
        <v>32</v>
      </c>
      <c r="H611" s="7" t="s">
        <v>143</v>
      </c>
      <c r="I611" s="7" t="s">
        <v>321</v>
      </c>
      <c r="J611" s="7">
        <v>1</v>
      </c>
      <c r="K611" s="9">
        <v>2321.29</v>
      </c>
      <c r="L611" s="9">
        <v>1973.1</v>
      </c>
      <c r="M611" s="10">
        <v>15</v>
      </c>
      <c r="N611" s="9">
        <v>137.69999999999999</v>
      </c>
      <c r="O611" s="9">
        <v>273.81</v>
      </c>
      <c r="P611" s="7" t="s">
        <v>64</v>
      </c>
      <c r="Q611" s="7" t="s">
        <v>36</v>
      </c>
      <c r="R611" s="30">
        <f t="shared" si="9"/>
        <v>6.9788657442603014E-2</v>
      </c>
    </row>
    <row r="612" spans="1:18" x14ac:dyDescent="0.35">
      <c r="A612" s="3" t="s">
        <v>1169</v>
      </c>
      <c r="B612" s="4">
        <v>45734</v>
      </c>
      <c r="C612" s="3" t="s">
        <v>1170</v>
      </c>
      <c r="D612" s="3" t="s">
        <v>29</v>
      </c>
      <c r="E612" s="3" t="s">
        <v>30</v>
      </c>
      <c r="F612" s="3" t="s">
        <v>226</v>
      </c>
      <c r="G612" s="3" t="s">
        <v>117</v>
      </c>
      <c r="H612" s="3" t="s">
        <v>118</v>
      </c>
      <c r="I612" s="3" t="s">
        <v>438</v>
      </c>
      <c r="J612" s="3">
        <v>3</v>
      </c>
      <c r="K612" s="5">
        <v>818.75</v>
      </c>
      <c r="L612" s="5">
        <v>2087.81</v>
      </c>
      <c r="M612" s="6">
        <v>15</v>
      </c>
      <c r="N612" s="5">
        <v>420.55</v>
      </c>
      <c r="O612" s="5">
        <v>225.63</v>
      </c>
      <c r="P612" s="3" t="s">
        <v>35</v>
      </c>
      <c r="Q612" s="3" t="s">
        <v>65</v>
      </c>
      <c r="R612" s="30">
        <f t="shared" si="9"/>
        <v>0.20143116471326414</v>
      </c>
    </row>
    <row r="613" spans="1:18" x14ac:dyDescent="0.35">
      <c r="A613" s="7" t="s">
        <v>1171</v>
      </c>
      <c r="B613" s="8">
        <v>45735</v>
      </c>
      <c r="C613" s="7" t="s">
        <v>1024</v>
      </c>
      <c r="D613" s="7" t="s">
        <v>39</v>
      </c>
      <c r="E613" s="7" t="s">
        <v>20</v>
      </c>
      <c r="F613" s="7" t="s">
        <v>21</v>
      </c>
      <c r="G613" s="7" t="s">
        <v>32</v>
      </c>
      <c r="H613" s="7" t="s">
        <v>86</v>
      </c>
      <c r="I613" s="7" t="s">
        <v>233</v>
      </c>
      <c r="J613" s="7">
        <v>5</v>
      </c>
      <c r="K613" s="9">
        <v>5542.36</v>
      </c>
      <c r="L613" s="9">
        <v>27711.8</v>
      </c>
      <c r="M613" s="10">
        <v>0</v>
      </c>
      <c r="N613" s="9">
        <v>4139.8100000000004</v>
      </c>
      <c r="O613" s="9">
        <v>267.08</v>
      </c>
      <c r="P613" s="7" t="s">
        <v>45</v>
      </c>
      <c r="Q613" s="7" t="s">
        <v>26</v>
      </c>
      <c r="R613" s="30">
        <f t="shared" si="9"/>
        <v>0.14938798634516706</v>
      </c>
    </row>
    <row r="614" spans="1:18" x14ac:dyDescent="0.35">
      <c r="A614" s="3" t="s">
        <v>1172</v>
      </c>
      <c r="B614" s="4">
        <v>45736</v>
      </c>
      <c r="C614" s="3" t="s">
        <v>1020</v>
      </c>
      <c r="D614" s="3" t="s">
        <v>39</v>
      </c>
      <c r="E614" s="3" t="s">
        <v>40</v>
      </c>
      <c r="F614" s="3" t="s">
        <v>77</v>
      </c>
      <c r="G614" s="3" t="s">
        <v>42</v>
      </c>
      <c r="H614" s="3" t="s">
        <v>172</v>
      </c>
      <c r="I614" s="3" t="s">
        <v>223</v>
      </c>
      <c r="J614" s="3">
        <v>1</v>
      </c>
      <c r="K614" s="5">
        <v>1100.6500000000001</v>
      </c>
      <c r="L614" s="5">
        <v>825.49</v>
      </c>
      <c r="M614" s="6">
        <v>25</v>
      </c>
      <c r="N614" s="5">
        <v>-34.78</v>
      </c>
      <c r="O614" s="5">
        <v>59.21</v>
      </c>
      <c r="P614" s="3" t="s">
        <v>64</v>
      </c>
      <c r="Q614" s="3" t="s">
        <v>57</v>
      </c>
      <c r="R614" s="30">
        <f t="shared" si="9"/>
        <v>-4.2132551575427932E-2</v>
      </c>
    </row>
    <row r="615" spans="1:18" x14ac:dyDescent="0.35">
      <c r="A615" s="7" t="s">
        <v>1173</v>
      </c>
      <c r="B615" s="8">
        <v>45738</v>
      </c>
      <c r="C615" s="7" t="s">
        <v>1174</v>
      </c>
      <c r="D615" s="7" t="s">
        <v>29</v>
      </c>
      <c r="E615" s="7" t="s">
        <v>20</v>
      </c>
      <c r="F615" s="7" t="s">
        <v>21</v>
      </c>
      <c r="G615" s="7" t="s">
        <v>117</v>
      </c>
      <c r="H615" s="7" t="s">
        <v>153</v>
      </c>
      <c r="I615" s="7" t="s">
        <v>356</v>
      </c>
      <c r="J615" s="7">
        <v>4</v>
      </c>
      <c r="K615" s="9">
        <v>2465.15</v>
      </c>
      <c r="L615" s="9">
        <v>8874.5400000000009</v>
      </c>
      <c r="M615" s="10">
        <v>10</v>
      </c>
      <c r="N615" s="9">
        <v>1384.71</v>
      </c>
      <c r="O615" s="9">
        <v>375.48</v>
      </c>
      <c r="P615" s="7" t="s">
        <v>64</v>
      </c>
      <c r="Q615" s="7" t="s">
        <v>65</v>
      </c>
      <c r="R615" s="30">
        <f t="shared" si="9"/>
        <v>0.15603174925122879</v>
      </c>
    </row>
    <row r="616" spans="1:18" x14ac:dyDescent="0.35">
      <c r="A616" s="3" t="s">
        <v>1175</v>
      </c>
      <c r="B616" s="4">
        <v>45739</v>
      </c>
      <c r="C616" s="3" t="s">
        <v>1095</v>
      </c>
      <c r="D616" s="3" t="s">
        <v>39</v>
      </c>
      <c r="E616" s="3" t="s">
        <v>20</v>
      </c>
      <c r="F616" s="3" t="s">
        <v>21</v>
      </c>
      <c r="G616" s="3" t="s">
        <v>49</v>
      </c>
      <c r="H616" s="3" t="s">
        <v>50</v>
      </c>
      <c r="I616" s="3" t="s">
        <v>51</v>
      </c>
      <c r="J616" s="3">
        <v>1</v>
      </c>
      <c r="K616" s="5">
        <v>9421.85</v>
      </c>
      <c r="L616" s="5">
        <v>9421.85</v>
      </c>
      <c r="M616" s="6">
        <v>0</v>
      </c>
      <c r="N616" s="5">
        <v>2138.16</v>
      </c>
      <c r="O616" s="5">
        <v>300.36</v>
      </c>
      <c r="P616" s="3" t="s">
        <v>35</v>
      </c>
      <c r="Q616" s="3" t="s">
        <v>36</v>
      </c>
      <c r="R616" s="30">
        <f t="shared" si="9"/>
        <v>0.22693632354580043</v>
      </c>
    </row>
    <row r="617" spans="1:18" x14ac:dyDescent="0.35">
      <c r="A617" s="7" t="s">
        <v>1176</v>
      </c>
      <c r="B617" s="8">
        <v>45739</v>
      </c>
      <c r="C617" s="7" t="s">
        <v>314</v>
      </c>
      <c r="D617" s="7" t="s">
        <v>19</v>
      </c>
      <c r="E617" s="7" t="s">
        <v>20</v>
      </c>
      <c r="F617" s="7" t="s">
        <v>21</v>
      </c>
      <c r="G617" s="7" t="s">
        <v>42</v>
      </c>
      <c r="H617" s="7" t="s">
        <v>172</v>
      </c>
      <c r="I617" s="7" t="s">
        <v>173</v>
      </c>
      <c r="J617" s="7">
        <v>1</v>
      </c>
      <c r="K617" s="9">
        <v>325.07</v>
      </c>
      <c r="L617" s="9">
        <v>325.07</v>
      </c>
      <c r="M617" s="10">
        <v>0</v>
      </c>
      <c r="N617" s="9">
        <v>72.040000000000006</v>
      </c>
      <c r="O617" s="9">
        <v>311.16000000000003</v>
      </c>
      <c r="P617" s="7" t="s">
        <v>25</v>
      </c>
      <c r="Q617" s="7" t="s">
        <v>26</v>
      </c>
      <c r="R617" s="30">
        <f t="shared" si="9"/>
        <v>0.22161380625711388</v>
      </c>
    </row>
    <row r="618" spans="1:18" x14ac:dyDescent="0.35">
      <c r="A618" s="3" t="s">
        <v>1177</v>
      </c>
      <c r="B618" s="4">
        <v>45740</v>
      </c>
      <c r="C618" s="3" t="s">
        <v>786</v>
      </c>
      <c r="D618" s="3" t="s">
        <v>39</v>
      </c>
      <c r="E618" s="3" t="s">
        <v>30</v>
      </c>
      <c r="F618" s="3" t="s">
        <v>31</v>
      </c>
      <c r="G618" s="3" t="s">
        <v>32</v>
      </c>
      <c r="H618" s="3" t="s">
        <v>33</v>
      </c>
      <c r="I618" s="3" t="s">
        <v>470</v>
      </c>
      <c r="J618" s="3">
        <v>2</v>
      </c>
      <c r="K618" s="5">
        <v>578.58000000000004</v>
      </c>
      <c r="L618" s="5">
        <v>1157.1600000000001</v>
      </c>
      <c r="M618" s="6">
        <v>0</v>
      </c>
      <c r="N618" s="5">
        <v>119.7</v>
      </c>
      <c r="O618" s="5">
        <v>189.08</v>
      </c>
      <c r="P618" s="3" t="s">
        <v>83</v>
      </c>
      <c r="Q618" s="3" t="s">
        <v>57</v>
      </c>
      <c r="R618" s="30">
        <f t="shared" si="9"/>
        <v>0.1034429119568599</v>
      </c>
    </row>
    <row r="619" spans="1:18" x14ac:dyDescent="0.35">
      <c r="A619" s="7" t="s">
        <v>1178</v>
      </c>
      <c r="B619" s="8">
        <v>45740</v>
      </c>
      <c r="C619" s="7" t="s">
        <v>1179</v>
      </c>
      <c r="D619" s="7" t="s">
        <v>29</v>
      </c>
      <c r="E619" s="7" t="s">
        <v>30</v>
      </c>
      <c r="F619" s="7" t="s">
        <v>31</v>
      </c>
      <c r="G619" s="7" t="s">
        <v>32</v>
      </c>
      <c r="H619" s="7" t="s">
        <v>86</v>
      </c>
      <c r="I619" s="7" t="s">
        <v>211</v>
      </c>
      <c r="J619" s="7">
        <v>2</v>
      </c>
      <c r="K619" s="9">
        <v>2762.54</v>
      </c>
      <c r="L619" s="9">
        <v>4972.57</v>
      </c>
      <c r="M619" s="10">
        <v>10</v>
      </c>
      <c r="N619" s="9">
        <v>17.239999999999998</v>
      </c>
      <c r="O619" s="9">
        <v>149.82</v>
      </c>
      <c r="P619" s="7" t="s">
        <v>83</v>
      </c>
      <c r="Q619" s="7" t="s">
        <v>26</v>
      </c>
      <c r="R619" s="30">
        <f t="shared" si="9"/>
        <v>3.4670200721156263E-3</v>
      </c>
    </row>
    <row r="620" spans="1:18" x14ac:dyDescent="0.35">
      <c r="A620" s="3" t="s">
        <v>1180</v>
      </c>
      <c r="B620" s="4">
        <v>45740</v>
      </c>
      <c r="C620" s="3" t="s">
        <v>316</v>
      </c>
      <c r="D620" s="3" t="s">
        <v>29</v>
      </c>
      <c r="E620" s="3" t="s">
        <v>40</v>
      </c>
      <c r="F620" s="3" t="s">
        <v>109</v>
      </c>
      <c r="G620" s="3" t="s">
        <v>42</v>
      </c>
      <c r="H620" s="3" t="s">
        <v>172</v>
      </c>
      <c r="I620" s="3" t="s">
        <v>173</v>
      </c>
      <c r="J620" s="3">
        <v>2</v>
      </c>
      <c r="K620" s="5">
        <v>441.8</v>
      </c>
      <c r="L620" s="5">
        <v>751.06</v>
      </c>
      <c r="M620" s="6">
        <v>15</v>
      </c>
      <c r="N620" s="5">
        <v>54.26</v>
      </c>
      <c r="O620" s="5">
        <v>255.42</v>
      </c>
      <c r="P620" s="3" t="s">
        <v>25</v>
      </c>
      <c r="Q620" s="3" t="s">
        <v>57</v>
      </c>
      <c r="R620" s="30">
        <f t="shared" si="9"/>
        <v>7.2244561020424466E-2</v>
      </c>
    </row>
    <row r="621" spans="1:18" x14ac:dyDescent="0.35">
      <c r="A621" s="7" t="s">
        <v>1181</v>
      </c>
      <c r="B621" s="8">
        <v>45741</v>
      </c>
      <c r="C621" s="7" t="s">
        <v>937</v>
      </c>
      <c r="D621" s="7" t="s">
        <v>39</v>
      </c>
      <c r="E621" s="7" t="s">
        <v>60</v>
      </c>
      <c r="F621" s="7" t="s">
        <v>104</v>
      </c>
      <c r="G621" s="7" t="s">
        <v>49</v>
      </c>
      <c r="H621" s="7" t="s">
        <v>62</v>
      </c>
      <c r="I621" s="7" t="s">
        <v>424</v>
      </c>
      <c r="J621" s="7">
        <v>3</v>
      </c>
      <c r="K621" s="9">
        <v>14517.32</v>
      </c>
      <c r="L621" s="9">
        <v>37019.17</v>
      </c>
      <c r="M621" s="10">
        <v>15</v>
      </c>
      <c r="N621" s="9">
        <v>6015.59</v>
      </c>
      <c r="O621" s="9">
        <v>307.39</v>
      </c>
      <c r="P621" s="7" t="s">
        <v>45</v>
      </c>
      <c r="Q621" s="7" t="s">
        <v>65</v>
      </c>
      <c r="R621" s="30">
        <f t="shared" si="9"/>
        <v>0.16249932129758718</v>
      </c>
    </row>
    <row r="622" spans="1:18" x14ac:dyDescent="0.35">
      <c r="A622" s="3" t="s">
        <v>1182</v>
      </c>
      <c r="B622" s="4">
        <v>45741</v>
      </c>
      <c r="C622" s="3" t="s">
        <v>1183</v>
      </c>
      <c r="D622" s="3" t="s">
        <v>19</v>
      </c>
      <c r="E622" s="3" t="s">
        <v>60</v>
      </c>
      <c r="F622" s="3" t="s">
        <v>104</v>
      </c>
      <c r="G622" s="3" t="s">
        <v>42</v>
      </c>
      <c r="H622" s="3" t="s">
        <v>43</v>
      </c>
      <c r="I622" s="3" t="s">
        <v>751</v>
      </c>
      <c r="J622" s="3">
        <v>2</v>
      </c>
      <c r="K622" s="5">
        <v>895.62</v>
      </c>
      <c r="L622" s="5">
        <v>1522.55</v>
      </c>
      <c r="M622" s="6">
        <v>15</v>
      </c>
      <c r="N622" s="5">
        <v>7.49</v>
      </c>
      <c r="O622" s="5">
        <v>321.29000000000002</v>
      </c>
      <c r="P622" s="3" t="s">
        <v>64</v>
      </c>
      <c r="Q622" s="3" t="s">
        <v>57</v>
      </c>
      <c r="R622" s="30">
        <f t="shared" si="9"/>
        <v>4.9193786739351745E-3</v>
      </c>
    </row>
    <row r="623" spans="1:18" x14ac:dyDescent="0.35">
      <c r="A623" s="7" t="s">
        <v>1184</v>
      </c>
      <c r="B623" s="8">
        <v>45742</v>
      </c>
      <c r="C623" s="7" t="s">
        <v>1185</v>
      </c>
      <c r="D623" s="7" t="s">
        <v>19</v>
      </c>
      <c r="E623" s="7" t="s">
        <v>30</v>
      </c>
      <c r="F623" s="7" t="s">
        <v>48</v>
      </c>
      <c r="G623" s="7" t="s">
        <v>32</v>
      </c>
      <c r="H623" s="7" t="s">
        <v>33</v>
      </c>
      <c r="I623" s="7" t="s">
        <v>470</v>
      </c>
      <c r="J623" s="7">
        <v>1</v>
      </c>
      <c r="K623" s="9">
        <v>10777.86</v>
      </c>
      <c r="L623" s="9">
        <v>9700.07</v>
      </c>
      <c r="M623" s="10">
        <v>10</v>
      </c>
      <c r="N623" s="9">
        <v>1532.98</v>
      </c>
      <c r="O623" s="9">
        <v>30.14</v>
      </c>
      <c r="P623" s="7" t="s">
        <v>45</v>
      </c>
      <c r="Q623" s="7" t="s">
        <v>26</v>
      </c>
      <c r="R623" s="30">
        <f t="shared" si="9"/>
        <v>0.15803803477706863</v>
      </c>
    </row>
    <row r="624" spans="1:18" x14ac:dyDescent="0.35">
      <c r="A624" s="3" t="s">
        <v>1186</v>
      </c>
      <c r="B624" s="4">
        <v>45743</v>
      </c>
      <c r="C624" s="3" t="s">
        <v>765</v>
      </c>
      <c r="D624" s="3" t="s">
        <v>39</v>
      </c>
      <c r="E624" s="3" t="s">
        <v>20</v>
      </c>
      <c r="F624" s="3" t="s">
        <v>129</v>
      </c>
      <c r="G624" s="3" t="s">
        <v>49</v>
      </c>
      <c r="H624" s="3" t="s">
        <v>50</v>
      </c>
      <c r="I624" s="3" t="s">
        <v>95</v>
      </c>
      <c r="J624" s="3">
        <v>3</v>
      </c>
      <c r="K624" s="5">
        <v>5980.8</v>
      </c>
      <c r="L624" s="5">
        <v>14353.92</v>
      </c>
      <c r="M624" s="6">
        <v>20</v>
      </c>
      <c r="N624" s="5">
        <v>1105.04</v>
      </c>
      <c r="O624" s="5">
        <v>135.19</v>
      </c>
      <c r="P624" s="3" t="s">
        <v>35</v>
      </c>
      <c r="Q624" s="3" t="s">
        <v>36</v>
      </c>
      <c r="R624" s="30">
        <f t="shared" si="9"/>
        <v>7.6985241662207951E-2</v>
      </c>
    </row>
    <row r="625" spans="1:18" x14ac:dyDescent="0.35">
      <c r="A625" s="7" t="s">
        <v>1187</v>
      </c>
      <c r="B625" s="8">
        <v>45743</v>
      </c>
      <c r="C625" s="7" t="s">
        <v>707</v>
      </c>
      <c r="D625" s="7" t="s">
        <v>19</v>
      </c>
      <c r="E625" s="7" t="s">
        <v>20</v>
      </c>
      <c r="F625" s="7" t="s">
        <v>21</v>
      </c>
      <c r="G625" s="7" t="s">
        <v>117</v>
      </c>
      <c r="H625" s="7" t="s">
        <v>125</v>
      </c>
      <c r="I625" s="7" t="s">
        <v>217</v>
      </c>
      <c r="J625" s="7">
        <v>2</v>
      </c>
      <c r="K625" s="9">
        <v>1815.84</v>
      </c>
      <c r="L625" s="9">
        <v>3086.93</v>
      </c>
      <c r="M625" s="10">
        <v>15</v>
      </c>
      <c r="N625" s="9">
        <v>491.18</v>
      </c>
      <c r="O625" s="9">
        <v>295.18</v>
      </c>
      <c r="P625" s="7" t="s">
        <v>64</v>
      </c>
      <c r="Q625" s="7" t="s">
        <v>26</v>
      </c>
      <c r="R625" s="30">
        <f t="shared" si="9"/>
        <v>0.15911601494041006</v>
      </c>
    </row>
    <row r="626" spans="1:18" x14ac:dyDescent="0.35">
      <c r="A626" s="3" t="s">
        <v>1188</v>
      </c>
      <c r="B626" s="4">
        <v>45746</v>
      </c>
      <c r="C626" s="3" t="s">
        <v>523</v>
      </c>
      <c r="D626" s="3" t="s">
        <v>39</v>
      </c>
      <c r="E626" s="3" t="s">
        <v>60</v>
      </c>
      <c r="F626" s="3" t="s">
        <v>61</v>
      </c>
      <c r="G626" s="3" t="s">
        <v>32</v>
      </c>
      <c r="H626" s="3" t="s">
        <v>73</v>
      </c>
      <c r="I626" s="3" t="s">
        <v>214</v>
      </c>
      <c r="J626" s="3">
        <v>1</v>
      </c>
      <c r="K626" s="5">
        <v>11498.89</v>
      </c>
      <c r="L626" s="5">
        <v>9774.06</v>
      </c>
      <c r="M626" s="6">
        <v>15</v>
      </c>
      <c r="N626" s="5">
        <v>781.82</v>
      </c>
      <c r="O626" s="5">
        <v>187.77</v>
      </c>
      <c r="P626" s="3" t="s">
        <v>35</v>
      </c>
      <c r="Q626" s="3" t="s">
        <v>65</v>
      </c>
      <c r="R626" s="30">
        <f t="shared" si="9"/>
        <v>7.9989277741286641E-2</v>
      </c>
    </row>
    <row r="627" spans="1:18" x14ac:dyDescent="0.35">
      <c r="A627" s="7" t="s">
        <v>1189</v>
      </c>
      <c r="B627" s="8">
        <v>45746</v>
      </c>
      <c r="C627" s="7" t="s">
        <v>1190</v>
      </c>
      <c r="D627" s="7" t="s">
        <v>39</v>
      </c>
      <c r="E627" s="7" t="s">
        <v>30</v>
      </c>
      <c r="F627" s="7" t="s">
        <v>48</v>
      </c>
      <c r="G627" s="7" t="s">
        <v>134</v>
      </c>
      <c r="H627" s="7" t="s">
        <v>139</v>
      </c>
      <c r="I627" s="7" t="s">
        <v>587</v>
      </c>
      <c r="J627" s="7">
        <v>2</v>
      </c>
      <c r="K627" s="9">
        <v>3523.78</v>
      </c>
      <c r="L627" s="9">
        <v>7047.56</v>
      </c>
      <c r="M627" s="10">
        <v>0</v>
      </c>
      <c r="N627" s="9">
        <v>1985.69</v>
      </c>
      <c r="O627" s="9">
        <v>317.11</v>
      </c>
      <c r="P627" s="7" t="s">
        <v>25</v>
      </c>
      <c r="Q627" s="7" t="s">
        <v>26</v>
      </c>
      <c r="R627" s="30">
        <f t="shared" si="9"/>
        <v>0.2817556714664366</v>
      </c>
    </row>
    <row r="628" spans="1:18" x14ac:dyDescent="0.35">
      <c r="A628" s="3" t="s">
        <v>1191</v>
      </c>
      <c r="B628" s="4">
        <v>45747</v>
      </c>
      <c r="C628" s="3" t="s">
        <v>479</v>
      </c>
      <c r="D628" s="3" t="s">
        <v>39</v>
      </c>
      <c r="E628" s="3" t="s">
        <v>60</v>
      </c>
      <c r="F628" s="3" t="s">
        <v>104</v>
      </c>
      <c r="G628" s="3" t="s">
        <v>22</v>
      </c>
      <c r="H628" s="3" t="s">
        <v>110</v>
      </c>
      <c r="I628" s="3" t="s">
        <v>111</v>
      </c>
      <c r="J628" s="3">
        <v>2</v>
      </c>
      <c r="K628" s="5">
        <v>36587.14</v>
      </c>
      <c r="L628" s="5">
        <v>69515.570000000007</v>
      </c>
      <c r="M628" s="6">
        <v>5</v>
      </c>
      <c r="N628" s="5">
        <v>6344.35</v>
      </c>
      <c r="O628" s="5">
        <v>193.22</v>
      </c>
      <c r="P628" s="3" t="s">
        <v>35</v>
      </c>
      <c r="Q628" s="3" t="s">
        <v>36</v>
      </c>
      <c r="R628" s="30">
        <f t="shared" si="9"/>
        <v>9.1265165487386488E-2</v>
      </c>
    </row>
    <row r="629" spans="1:18" x14ac:dyDescent="0.35">
      <c r="A629" s="7" t="s">
        <v>1192</v>
      </c>
      <c r="B629" s="8">
        <v>45750</v>
      </c>
      <c r="C629" s="7" t="s">
        <v>1193</v>
      </c>
      <c r="D629" s="7" t="s">
        <v>39</v>
      </c>
      <c r="E629" s="7" t="s">
        <v>60</v>
      </c>
      <c r="F629" s="7" t="s">
        <v>68</v>
      </c>
      <c r="G629" s="7" t="s">
        <v>22</v>
      </c>
      <c r="H629" s="7" t="s">
        <v>105</v>
      </c>
      <c r="I629" s="7" t="s">
        <v>157</v>
      </c>
      <c r="J629" s="7">
        <v>1</v>
      </c>
      <c r="K629" s="9">
        <v>64442.13</v>
      </c>
      <c r="L629" s="9">
        <v>61220.02</v>
      </c>
      <c r="M629" s="10">
        <v>5</v>
      </c>
      <c r="N629" s="9">
        <v>9302.74</v>
      </c>
      <c r="O629" s="9">
        <v>71.09</v>
      </c>
      <c r="P629" s="7" t="s">
        <v>35</v>
      </c>
      <c r="Q629" s="7" t="s">
        <v>26</v>
      </c>
      <c r="R629" s="30">
        <f t="shared" si="9"/>
        <v>0.15195584712321231</v>
      </c>
    </row>
    <row r="630" spans="1:18" x14ac:dyDescent="0.35">
      <c r="A630" s="3" t="s">
        <v>1194</v>
      </c>
      <c r="B630" s="4">
        <v>45750</v>
      </c>
      <c r="C630" s="3" t="s">
        <v>757</v>
      </c>
      <c r="D630" s="3" t="s">
        <v>39</v>
      </c>
      <c r="E630" s="3" t="s">
        <v>20</v>
      </c>
      <c r="F630" s="3" t="s">
        <v>129</v>
      </c>
      <c r="G630" s="3" t="s">
        <v>49</v>
      </c>
      <c r="H630" s="3" t="s">
        <v>50</v>
      </c>
      <c r="I630" s="3" t="s">
        <v>51</v>
      </c>
      <c r="J630" s="3">
        <v>2</v>
      </c>
      <c r="K630" s="5">
        <v>4353.25</v>
      </c>
      <c r="L630" s="5">
        <v>7400.52</v>
      </c>
      <c r="M630" s="6">
        <v>15</v>
      </c>
      <c r="N630" s="5">
        <v>1054.6500000000001</v>
      </c>
      <c r="O630" s="5">
        <v>179.31</v>
      </c>
      <c r="P630" s="3" t="s">
        <v>35</v>
      </c>
      <c r="Q630" s="3" t="s">
        <v>65</v>
      </c>
      <c r="R630" s="30">
        <f t="shared" si="9"/>
        <v>0.14251025603606232</v>
      </c>
    </row>
    <row r="631" spans="1:18" x14ac:dyDescent="0.35">
      <c r="A631" s="7" t="s">
        <v>1195</v>
      </c>
      <c r="B631" s="8">
        <v>45751</v>
      </c>
      <c r="C631" s="7" t="s">
        <v>1196</v>
      </c>
      <c r="D631" s="7" t="s">
        <v>19</v>
      </c>
      <c r="E631" s="7" t="s">
        <v>30</v>
      </c>
      <c r="F631" s="7" t="s">
        <v>226</v>
      </c>
      <c r="G631" s="7" t="s">
        <v>49</v>
      </c>
      <c r="H631" s="7" t="s">
        <v>98</v>
      </c>
      <c r="I631" s="7" t="s">
        <v>763</v>
      </c>
      <c r="J631" s="7">
        <v>3</v>
      </c>
      <c r="K631" s="9">
        <v>11806.71</v>
      </c>
      <c r="L631" s="9">
        <v>35420.129999999997</v>
      </c>
      <c r="M631" s="10">
        <v>0</v>
      </c>
      <c r="N631" s="9">
        <v>8481.91</v>
      </c>
      <c r="O631" s="9">
        <v>286.8</v>
      </c>
      <c r="P631" s="7" t="s">
        <v>35</v>
      </c>
      <c r="Q631" s="7" t="s">
        <v>65</v>
      </c>
      <c r="R631" s="30">
        <f t="shared" si="9"/>
        <v>0.23946580659077199</v>
      </c>
    </row>
    <row r="632" spans="1:18" x14ac:dyDescent="0.35">
      <c r="A632" s="3" t="s">
        <v>1197</v>
      </c>
      <c r="B632" s="4">
        <v>45751</v>
      </c>
      <c r="C632" s="3" t="s">
        <v>267</v>
      </c>
      <c r="D632" s="3" t="s">
        <v>39</v>
      </c>
      <c r="E632" s="3" t="s">
        <v>40</v>
      </c>
      <c r="F632" s="3" t="s">
        <v>77</v>
      </c>
      <c r="G632" s="3" t="s">
        <v>22</v>
      </c>
      <c r="H632" s="3" t="s">
        <v>624</v>
      </c>
      <c r="I632" s="3" t="s">
        <v>625</v>
      </c>
      <c r="J632" s="3">
        <v>5</v>
      </c>
      <c r="K632" s="5">
        <v>2768.65</v>
      </c>
      <c r="L632" s="5">
        <v>13151.09</v>
      </c>
      <c r="M632" s="6">
        <v>5</v>
      </c>
      <c r="N632" s="5">
        <v>2177.0300000000002</v>
      </c>
      <c r="O632" s="5">
        <v>97.08</v>
      </c>
      <c r="P632" s="3" t="s">
        <v>35</v>
      </c>
      <c r="Q632" s="3" t="s">
        <v>26</v>
      </c>
      <c r="R632" s="30">
        <f t="shared" si="9"/>
        <v>0.16553989060982779</v>
      </c>
    </row>
    <row r="633" spans="1:18" x14ac:dyDescent="0.35">
      <c r="A633" s="7" t="s">
        <v>1198</v>
      </c>
      <c r="B633" s="8">
        <v>45751</v>
      </c>
      <c r="C633" s="7" t="s">
        <v>1199</v>
      </c>
      <c r="D633" s="7" t="s">
        <v>19</v>
      </c>
      <c r="E633" s="7" t="s">
        <v>20</v>
      </c>
      <c r="F633" s="7" t="s">
        <v>54</v>
      </c>
      <c r="G633" s="7" t="s">
        <v>32</v>
      </c>
      <c r="H633" s="7" t="s">
        <v>143</v>
      </c>
      <c r="I633" s="7" t="s">
        <v>516</v>
      </c>
      <c r="J633" s="7">
        <v>2</v>
      </c>
      <c r="K633" s="9">
        <v>7495.18</v>
      </c>
      <c r="L633" s="9">
        <v>14990.36</v>
      </c>
      <c r="M633" s="10">
        <v>0</v>
      </c>
      <c r="N633" s="9">
        <v>870.11</v>
      </c>
      <c r="O633" s="9">
        <v>59.93</v>
      </c>
      <c r="P633" s="7" t="s">
        <v>64</v>
      </c>
      <c r="Q633" s="7" t="s">
        <v>65</v>
      </c>
      <c r="R633" s="30">
        <f t="shared" si="9"/>
        <v>5.8044636686510533E-2</v>
      </c>
    </row>
    <row r="634" spans="1:18" x14ac:dyDescent="0.35">
      <c r="A634" s="3" t="s">
        <v>1200</v>
      </c>
      <c r="B634" s="4">
        <v>45753</v>
      </c>
      <c r="C634" s="3" t="s">
        <v>1052</v>
      </c>
      <c r="D634" s="3" t="s">
        <v>39</v>
      </c>
      <c r="E634" s="3" t="s">
        <v>40</v>
      </c>
      <c r="F634" s="3" t="s">
        <v>90</v>
      </c>
      <c r="G634" s="3" t="s">
        <v>134</v>
      </c>
      <c r="H634" s="3" t="s">
        <v>244</v>
      </c>
      <c r="I634" s="3" t="s">
        <v>270</v>
      </c>
      <c r="J634" s="3">
        <v>3</v>
      </c>
      <c r="K634" s="5">
        <v>4149.7299999999996</v>
      </c>
      <c r="L634" s="5">
        <v>12449.19</v>
      </c>
      <c r="M634" s="6">
        <v>0</v>
      </c>
      <c r="N634" s="5">
        <v>2096.61</v>
      </c>
      <c r="O634" s="5">
        <v>102.45</v>
      </c>
      <c r="P634" s="3" t="s">
        <v>45</v>
      </c>
      <c r="Q634" s="3" t="s">
        <v>26</v>
      </c>
      <c r="R634" s="30">
        <f t="shared" si="9"/>
        <v>0.16841336665277018</v>
      </c>
    </row>
    <row r="635" spans="1:18" x14ac:dyDescent="0.35">
      <c r="A635" s="7" t="s">
        <v>1201</v>
      </c>
      <c r="B635" s="8">
        <v>45753</v>
      </c>
      <c r="C635" s="7" t="s">
        <v>645</v>
      </c>
      <c r="D635" s="7" t="s">
        <v>39</v>
      </c>
      <c r="E635" s="7" t="s">
        <v>40</v>
      </c>
      <c r="F635" s="7" t="s">
        <v>77</v>
      </c>
      <c r="G635" s="7" t="s">
        <v>49</v>
      </c>
      <c r="H635" s="7" t="s">
        <v>50</v>
      </c>
      <c r="I635" s="7" t="s">
        <v>95</v>
      </c>
      <c r="J635" s="7">
        <v>1</v>
      </c>
      <c r="K635" s="9">
        <v>14038.48</v>
      </c>
      <c r="L635" s="9">
        <v>13336.56</v>
      </c>
      <c r="M635" s="10">
        <v>5</v>
      </c>
      <c r="N635" s="9">
        <v>3135.32</v>
      </c>
      <c r="O635" s="9">
        <v>326.18</v>
      </c>
      <c r="P635" s="7" t="s">
        <v>25</v>
      </c>
      <c r="Q635" s="7" t="s">
        <v>26</v>
      </c>
      <c r="R635" s="30">
        <f t="shared" si="9"/>
        <v>0.23509210770993422</v>
      </c>
    </row>
    <row r="636" spans="1:18" x14ac:dyDescent="0.35">
      <c r="A636" s="3" t="s">
        <v>1202</v>
      </c>
      <c r="B636" s="4">
        <v>45753</v>
      </c>
      <c r="C636" s="3" t="s">
        <v>1203</v>
      </c>
      <c r="D636" s="3" t="s">
        <v>19</v>
      </c>
      <c r="E636" s="3" t="s">
        <v>40</v>
      </c>
      <c r="F636" s="3" t="s">
        <v>41</v>
      </c>
      <c r="G636" s="3" t="s">
        <v>134</v>
      </c>
      <c r="H636" s="3" t="s">
        <v>139</v>
      </c>
      <c r="I636" s="3" t="s">
        <v>587</v>
      </c>
      <c r="J636" s="3">
        <v>3</v>
      </c>
      <c r="K636" s="5">
        <v>2157.94</v>
      </c>
      <c r="L636" s="5">
        <v>5826.44</v>
      </c>
      <c r="M636" s="6">
        <v>10</v>
      </c>
      <c r="N636" s="5">
        <v>600.79999999999995</v>
      </c>
      <c r="O636" s="5">
        <v>73.59</v>
      </c>
      <c r="P636" s="3" t="s">
        <v>25</v>
      </c>
      <c r="Q636" s="3" t="s">
        <v>65</v>
      </c>
      <c r="R636" s="30">
        <f t="shared" si="9"/>
        <v>0.10311613952945538</v>
      </c>
    </row>
    <row r="637" spans="1:18" x14ac:dyDescent="0.35">
      <c r="A637" s="7" t="s">
        <v>1204</v>
      </c>
      <c r="B637" s="8">
        <v>45754</v>
      </c>
      <c r="C637" s="7" t="s">
        <v>331</v>
      </c>
      <c r="D637" s="7" t="s">
        <v>39</v>
      </c>
      <c r="E637" s="7" t="s">
        <v>20</v>
      </c>
      <c r="F637" s="7" t="s">
        <v>129</v>
      </c>
      <c r="G637" s="7" t="s">
        <v>134</v>
      </c>
      <c r="H637" s="7" t="s">
        <v>244</v>
      </c>
      <c r="I637" s="7" t="s">
        <v>411</v>
      </c>
      <c r="J637" s="7">
        <v>4</v>
      </c>
      <c r="K637" s="9">
        <v>2424.58</v>
      </c>
      <c r="L637" s="9">
        <v>8728.49</v>
      </c>
      <c r="M637" s="10">
        <v>10</v>
      </c>
      <c r="N637" s="9">
        <v>1515.86</v>
      </c>
      <c r="O637" s="9">
        <v>344.02</v>
      </c>
      <c r="P637" s="7" t="s">
        <v>35</v>
      </c>
      <c r="Q637" s="7" t="s">
        <v>26</v>
      </c>
      <c r="R637" s="30">
        <f t="shared" si="9"/>
        <v>0.17366806858918324</v>
      </c>
    </row>
    <row r="638" spans="1:18" x14ac:dyDescent="0.35">
      <c r="A638" s="3" t="s">
        <v>1205</v>
      </c>
      <c r="B638" s="4">
        <v>45757</v>
      </c>
      <c r="C638" s="3" t="s">
        <v>1206</v>
      </c>
      <c r="D638" s="3" t="s">
        <v>39</v>
      </c>
      <c r="E638" s="3" t="s">
        <v>20</v>
      </c>
      <c r="F638" s="3" t="s">
        <v>129</v>
      </c>
      <c r="G638" s="3" t="s">
        <v>49</v>
      </c>
      <c r="H638" s="3" t="s">
        <v>98</v>
      </c>
      <c r="I638" s="3" t="s">
        <v>763</v>
      </c>
      <c r="J638" s="3">
        <v>1</v>
      </c>
      <c r="K638" s="5">
        <v>1931.38</v>
      </c>
      <c r="L638" s="5">
        <v>1738.24</v>
      </c>
      <c r="M638" s="6">
        <v>10</v>
      </c>
      <c r="N638" s="5">
        <v>191.02</v>
      </c>
      <c r="O638" s="5">
        <v>338.84</v>
      </c>
      <c r="P638" s="3" t="s">
        <v>64</v>
      </c>
      <c r="Q638" s="3" t="s">
        <v>26</v>
      </c>
      <c r="R638" s="30">
        <f t="shared" si="9"/>
        <v>0.10989276509572903</v>
      </c>
    </row>
    <row r="639" spans="1:18" x14ac:dyDescent="0.35">
      <c r="A639" s="7" t="s">
        <v>1207</v>
      </c>
      <c r="B639" s="8">
        <v>45758</v>
      </c>
      <c r="C639" s="7" t="s">
        <v>571</v>
      </c>
      <c r="D639" s="7" t="s">
        <v>19</v>
      </c>
      <c r="E639" s="7" t="s">
        <v>40</v>
      </c>
      <c r="F639" s="7" t="s">
        <v>77</v>
      </c>
      <c r="G639" s="7" t="s">
        <v>134</v>
      </c>
      <c r="H639" s="7" t="s">
        <v>91</v>
      </c>
      <c r="I639" s="7" t="s">
        <v>188</v>
      </c>
      <c r="J639" s="7">
        <v>1</v>
      </c>
      <c r="K639" s="9">
        <v>719.89</v>
      </c>
      <c r="L639" s="9">
        <v>683.9</v>
      </c>
      <c r="M639" s="10">
        <v>5</v>
      </c>
      <c r="N639" s="9">
        <v>182.02</v>
      </c>
      <c r="O639" s="9">
        <v>176.96</v>
      </c>
      <c r="P639" s="7" t="s">
        <v>35</v>
      </c>
      <c r="Q639" s="7" t="s">
        <v>26</v>
      </c>
      <c r="R639" s="30">
        <f t="shared" si="9"/>
        <v>0.26615002193303117</v>
      </c>
    </row>
    <row r="640" spans="1:18" x14ac:dyDescent="0.35">
      <c r="A640" s="3" t="s">
        <v>1208</v>
      </c>
      <c r="B640" s="4">
        <v>45760</v>
      </c>
      <c r="C640" s="3" t="s">
        <v>1209</v>
      </c>
      <c r="D640" s="3" t="s">
        <v>39</v>
      </c>
      <c r="E640" s="3" t="s">
        <v>20</v>
      </c>
      <c r="F640" s="3" t="s">
        <v>129</v>
      </c>
      <c r="G640" s="3" t="s">
        <v>22</v>
      </c>
      <c r="H640" s="3" t="s">
        <v>55</v>
      </c>
      <c r="I640" s="3" t="s">
        <v>416</v>
      </c>
      <c r="J640" s="3">
        <v>2</v>
      </c>
      <c r="K640" s="5">
        <v>34068.080000000002</v>
      </c>
      <c r="L640" s="5">
        <v>61322.54</v>
      </c>
      <c r="M640" s="6">
        <v>10</v>
      </c>
      <c r="N640" s="5">
        <v>2339.34</v>
      </c>
      <c r="O640" s="5">
        <v>223.34</v>
      </c>
      <c r="P640" s="3" t="s">
        <v>64</v>
      </c>
      <c r="Q640" s="3" t="s">
        <v>65</v>
      </c>
      <c r="R640" s="30">
        <f t="shared" si="9"/>
        <v>3.8148126284397225E-2</v>
      </c>
    </row>
    <row r="641" spans="1:18" x14ac:dyDescent="0.35">
      <c r="A641" s="7" t="s">
        <v>1210</v>
      </c>
      <c r="B641" s="8">
        <v>45760</v>
      </c>
      <c r="C641" s="7" t="s">
        <v>1211</v>
      </c>
      <c r="D641" s="7" t="s">
        <v>39</v>
      </c>
      <c r="E641" s="7" t="s">
        <v>60</v>
      </c>
      <c r="F641" s="7" t="s">
        <v>61</v>
      </c>
      <c r="G641" s="7" t="s">
        <v>42</v>
      </c>
      <c r="H641" s="7" t="s">
        <v>172</v>
      </c>
      <c r="I641" s="7" t="s">
        <v>1014</v>
      </c>
      <c r="J641" s="7">
        <v>1</v>
      </c>
      <c r="K641" s="9">
        <v>939.99</v>
      </c>
      <c r="L641" s="9">
        <v>845.99</v>
      </c>
      <c r="M641" s="10">
        <v>10</v>
      </c>
      <c r="N641" s="9">
        <v>102.54</v>
      </c>
      <c r="O641" s="9">
        <v>59.19</v>
      </c>
      <c r="P641" s="7" t="s">
        <v>64</v>
      </c>
      <c r="Q641" s="7" t="s">
        <v>65</v>
      </c>
      <c r="R641" s="30">
        <f t="shared" si="9"/>
        <v>0.12120710646697952</v>
      </c>
    </row>
    <row r="642" spans="1:18" x14ac:dyDescent="0.35">
      <c r="A642" s="3" t="s">
        <v>1212</v>
      </c>
      <c r="B642" s="4">
        <v>45761</v>
      </c>
      <c r="C642" s="3" t="s">
        <v>1213</v>
      </c>
      <c r="D642" s="3" t="s">
        <v>29</v>
      </c>
      <c r="E642" s="3" t="s">
        <v>40</v>
      </c>
      <c r="F642" s="3" t="s">
        <v>41</v>
      </c>
      <c r="G642" s="3" t="s">
        <v>22</v>
      </c>
      <c r="H642" s="3" t="s">
        <v>105</v>
      </c>
      <c r="I642" s="3" t="s">
        <v>251</v>
      </c>
      <c r="J642" s="3">
        <v>2</v>
      </c>
      <c r="K642" s="5">
        <v>18119.91</v>
      </c>
      <c r="L642" s="5">
        <v>30803.85</v>
      </c>
      <c r="M642" s="6">
        <v>15</v>
      </c>
      <c r="N642" s="5">
        <v>1661.36</v>
      </c>
      <c r="O642" s="5">
        <v>246.96</v>
      </c>
      <c r="P642" s="3" t="s">
        <v>35</v>
      </c>
      <c r="Q642" s="3" t="s">
        <v>57</v>
      </c>
      <c r="R642" s="30">
        <f t="shared" si="9"/>
        <v>5.3933518050503428E-2</v>
      </c>
    </row>
    <row r="643" spans="1:18" x14ac:dyDescent="0.35">
      <c r="A643" s="7" t="s">
        <v>1214</v>
      </c>
      <c r="B643" s="8">
        <v>45762</v>
      </c>
      <c r="C643" s="7" t="s">
        <v>67</v>
      </c>
      <c r="D643" s="7" t="s">
        <v>39</v>
      </c>
      <c r="E643" s="7" t="s">
        <v>60</v>
      </c>
      <c r="F643" s="7" t="s">
        <v>104</v>
      </c>
      <c r="G643" s="7" t="s">
        <v>22</v>
      </c>
      <c r="H643" s="7" t="s">
        <v>624</v>
      </c>
      <c r="I643" s="7" t="s">
        <v>1215</v>
      </c>
      <c r="J643" s="7">
        <v>1</v>
      </c>
      <c r="K643" s="9">
        <v>2961.95</v>
      </c>
      <c r="L643" s="9">
        <v>2369.56</v>
      </c>
      <c r="M643" s="10">
        <v>20</v>
      </c>
      <c r="N643" s="9">
        <v>29.78</v>
      </c>
      <c r="O643" s="9">
        <v>215.24</v>
      </c>
      <c r="P643" s="7" t="s">
        <v>45</v>
      </c>
      <c r="Q643" s="7" t="s">
        <v>26</v>
      </c>
      <c r="R643" s="30">
        <f t="shared" ref="R643:R706" si="10">N643/L643</f>
        <v>1.2567734094093419E-2</v>
      </c>
    </row>
    <row r="644" spans="1:18" x14ac:dyDescent="0.35">
      <c r="A644" s="3" t="s">
        <v>1216</v>
      </c>
      <c r="B644" s="4">
        <v>45762</v>
      </c>
      <c r="C644" s="3" t="s">
        <v>1217</v>
      </c>
      <c r="D644" s="3" t="s">
        <v>39</v>
      </c>
      <c r="E644" s="3" t="s">
        <v>60</v>
      </c>
      <c r="F644" s="3" t="s">
        <v>72</v>
      </c>
      <c r="G644" s="3" t="s">
        <v>49</v>
      </c>
      <c r="H644" s="3" t="s">
        <v>62</v>
      </c>
      <c r="I644" s="3" t="s">
        <v>63</v>
      </c>
      <c r="J644" s="3">
        <v>2</v>
      </c>
      <c r="K644" s="5">
        <v>9525.6200000000008</v>
      </c>
      <c r="L644" s="5">
        <v>19051.240000000002</v>
      </c>
      <c r="M644" s="6">
        <v>0</v>
      </c>
      <c r="N644" s="5">
        <v>4498.9399999999996</v>
      </c>
      <c r="O644" s="5">
        <v>342.08</v>
      </c>
      <c r="P644" s="3" t="s">
        <v>35</v>
      </c>
      <c r="Q644" s="3" t="s">
        <v>26</v>
      </c>
      <c r="R644" s="30">
        <f t="shared" si="10"/>
        <v>0.23614945798803644</v>
      </c>
    </row>
    <row r="645" spans="1:18" x14ac:dyDescent="0.35">
      <c r="A645" s="7" t="s">
        <v>1218</v>
      </c>
      <c r="B645" s="8">
        <v>45764</v>
      </c>
      <c r="C645" s="7" t="s">
        <v>1219</v>
      </c>
      <c r="D645" s="7" t="s">
        <v>19</v>
      </c>
      <c r="E645" s="7" t="s">
        <v>30</v>
      </c>
      <c r="F645" s="7" t="s">
        <v>226</v>
      </c>
      <c r="G645" s="7" t="s">
        <v>42</v>
      </c>
      <c r="H645" s="7" t="s">
        <v>43</v>
      </c>
      <c r="I645" s="7" t="s">
        <v>1220</v>
      </c>
      <c r="J645" s="7">
        <v>1</v>
      </c>
      <c r="K645" s="9">
        <v>369.53</v>
      </c>
      <c r="L645" s="9">
        <v>277.14999999999998</v>
      </c>
      <c r="M645" s="10">
        <v>25</v>
      </c>
      <c r="N645" s="9">
        <v>25.95</v>
      </c>
      <c r="O645" s="9">
        <v>103.14</v>
      </c>
      <c r="P645" s="7" t="s">
        <v>35</v>
      </c>
      <c r="Q645" s="7" t="s">
        <v>26</v>
      </c>
      <c r="R645" s="30">
        <f t="shared" si="10"/>
        <v>9.3631607432798122E-2</v>
      </c>
    </row>
    <row r="646" spans="1:18" x14ac:dyDescent="0.35">
      <c r="A646" s="3" t="s">
        <v>1221</v>
      </c>
      <c r="B646" s="4">
        <v>45765</v>
      </c>
      <c r="C646" s="3" t="s">
        <v>1077</v>
      </c>
      <c r="D646" s="3" t="s">
        <v>39</v>
      </c>
      <c r="E646" s="3" t="s">
        <v>60</v>
      </c>
      <c r="F646" s="3" t="s">
        <v>104</v>
      </c>
      <c r="G646" s="3" t="s">
        <v>117</v>
      </c>
      <c r="H646" s="3" t="s">
        <v>118</v>
      </c>
      <c r="I646" s="3" t="s">
        <v>279</v>
      </c>
      <c r="J646" s="3">
        <v>2</v>
      </c>
      <c r="K646" s="5">
        <v>2414.09</v>
      </c>
      <c r="L646" s="5">
        <v>4586.7700000000004</v>
      </c>
      <c r="M646" s="6">
        <v>5</v>
      </c>
      <c r="N646" s="5">
        <v>1262.51</v>
      </c>
      <c r="O646" s="5">
        <v>175.86</v>
      </c>
      <c r="P646" s="3" t="s">
        <v>35</v>
      </c>
      <c r="Q646" s="3" t="s">
        <v>26</v>
      </c>
      <c r="R646" s="30">
        <f t="shared" si="10"/>
        <v>0.27525033956357087</v>
      </c>
    </row>
    <row r="647" spans="1:18" x14ac:dyDescent="0.35">
      <c r="A647" s="7" t="s">
        <v>1222</v>
      </c>
      <c r="B647" s="8">
        <v>45765</v>
      </c>
      <c r="C647" s="7" t="s">
        <v>28</v>
      </c>
      <c r="D647" s="7" t="s">
        <v>29</v>
      </c>
      <c r="E647" s="7" t="s">
        <v>40</v>
      </c>
      <c r="F647" s="7" t="s">
        <v>90</v>
      </c>
      <c r="G647" s="7" t="s">
        <v>134</v>
      </c>
      <c r="H647" s="7" t="s">
        <v>91</v>
      </c>
      <c r="I647" s="7" t="s">
        <v>168</v>
      </c>
      <c r="J647" s="7">
        <v>2</v>
      </c>
      <c r="K647" s="9">
        <v>984.75</v>
      </c>
      <c r="L647" s="9">
        <v>1871.02</v>
      </c>
      <c r="M647" s="10">
        <v>5</v>
      </c>
      <c r="N647" s="9">
        <v>154.97999999999999</v>
      </c>
      <c r="O647" s="9">
        <v>296.58999999999997</v>
      </c>
      <c r="P647" s="7" t="s">
        <v>64</v>
      </c>
      <c r="Q647" s="7" t="s">
        <v>36</v>
      </c>
      <c r="R647" s="30">
        <f t="shared" si="10"/>
        <v>8.2831824352492214E-2</v>
      </c>
    </row>
    <row r="648" spans="1:18" x14ac:dyDescent="0.35">
      <c r="A648" s="3" t="s">
        <v>1223</v>
      </c>
      <c r="B648" s="4">
        <v>45767</v>
      </c>
      <c r="C648" s="3" t="s">
        <v>1224</v>
      </c>
      <c r="D648" s="3" t="s">
        <v>39</v>
      </c>
      <c r="E648" s="3" t="s">
        <v>20</v>
      </c>
      <c r="F648" s="3" t="s">
        <v>21</v>
      </c>
      <c r="G648" s="3" t="s">
        <v>42</v>
      </c>
      <c r="H648" s="3" t="s">
        <v>43</v>
      </c>
      <c r="I648" s="3" t="s">
        <v>1220</v>
      </c>
      <c r="J648" s="3">
        <v>3</v>
      </c>
      <c r="K648" s="5">
        <v>1003.55</v>
      </c>
      <c r="L648" s="5">
        <v>2559.0500000000002</v>
      </c>
      <c r="M648" s="6">
        <v>15</v>
      </c>
      <c r="N648" s="5">
        <v>347.55</v>
      </c>
      <c r="O648" s="5">
        <v>362.33</v>
      </c>
      <c r="P648" s="3" t="s">
        <v>45</v>
      </c>
      <c r="Q648" s="3" t="s">
        <v>26</v>
      </c>
      <c r="R648" s="30">
        <f t="shared" si="10"/>
        <v>0.13581211777808169</v>
      </c>
    </row>
    <row r="649" spans="1:18" x14ac:dyDescent="0.35">
      <c r="A649" s="7" t="s">
        <v>1225</v>
      </c>
      <c r="B649" s="8">
        <v>45767</v>
      </c>
      <c r="C649" s="7" t="s">
        <v>1226</v>
      </c>
      <c r="D649" s="7" t="s">
        <v>39</v>
      </c>
      <c r="E649" s="7" t="s">
        <v>30</v>
      </c>
      <c r="F649" s="7" t="s">
        <v>31</v>
      </c>
      <c r="G649" s="7" t="s">
        <v>49</v>
      </c>
      <c r="H649" s="7" t="s">
        <v>50</v>
      </c>
      <c r="I649" s="7" t="s">
        <v>51</v>
      </c>
      <c r="J649" s="7">
        <v>1</v>
      </c>
      <c r="K649" s="9">
        <v>11127.46</v>
      </c>
      <c r="L649" s="9">
        <v>8901.9699999999993</v>
      </c>
      <c r="M649" s="10">
        <v>20</v>
      </c>
      <c r="N649" s="9">
        <v>256.29000000000002</v>
      </c>
      <c r="O649" s="9">
        <v>233.58</v>
      </c>
      <c r="P649" s="7" t="s">
        <v>35</v>
      </c>
      <c r="Q649" s="7" t="s">
        <v>65</v>
      </c>
      <c r="R649" s="30">
        <f t="shared" si="10"/>
        <v>2.879025653872121E-2</v>
      </c>
    </row>
    <row r="650" spans="1:18" x14ac:dyDescent="0.35">
      <c r="A650" s="3" t="s">
        <v>1227</v>
      </c>
      <c r="B650" s="4">
        <v>45768</v>
      </c>
      <c r="C650" s="3" t="s">
        <v>889</v>
      </c>
      <c r="D650" s="3" t="s">
        <v>39</v>
      </c>
      <c r="E650" s="3" t="s">
        <v>30</v>
      </c>
      <c r="F650" s="3" t="s">
        <v>226</v>
      </c>
      <c r="G650" s="3" t="s">
        <v>117</v>
      </c>
      <c r="H650" s="3" t="s">
        <v>118</v>
      </c>
      <c r="I650" s="3" t="s">
        <v>119</v>
      </c>
      <c r="J650" s="3">
        <v>3</v>
      </c>
      <c r="K650" s="5">
        <v>1787.01</v>
      </c>
      <c r="L650" s="5">
        <v>4824.93</v>
      </c>
      <c r="M650" s="6">
        <v>10</v>
      </c>
      <c r="N650" s="5">
        <v>909.76</v>
      </c>
      <c r="O650" s="5">
        <v>124.3</v>
      </c>
      <c r="P650" s="3" t="s">
        <v>64</v>
      </c>
      <c r="Q650" s="3" t="s">
        <v>57</v>
      </c>
      <c r="R650" s="30">
        <f t="shared" si="10"/>
        <v>0.18855403083568051</v>
      </c>
    </row>
    <row r="651" spans="1:18" x14ac:dyDescent="0.35">
      <c r="A651" s="7" t="s">
        <v>1228</v>
      </c>
      <c r="B651" s="8">
        <v>45768</v>
      </c>
      <c r="C651" s="7" t="s">
        <v>1229</v>
      </c>
      <c r="D651" s="7" t="s">
        <v>39</v>
      </c>
      <c r="E651" s="7" t="s">
        <v>40</v>
      </c>
      <c r="F651" s="7" t="s">
        <v>77</v>
      </c>
      <c r="G651" s="7" t="s">
        <v>117</v>
      </c>
      <c r="H651" s="7" t="s">
        <v>125</v>
      </c>
      <c r="I651" s="7" t="s">
        <v>126</v>
      </c>
      <c r="J651" s="7">
        <v>3</v>
      </c>
      <c r="K651" s="9">
        <v>1285.75</v>
      </c>
      <c r="L651" s="9">
        <v>3085.8</v>
      </c>
      <c r="M651" s="10">
        <v>20</v>
      </c>
      <c r="N651" s="9">
        <v>383.74</v>
      </c>
      <c r="O651" s="9">
        <v>308.17</v>
      </c>
      <c r="P651" s="7" t="s">
        <v>35</v>
      </c>
      <c r="Q651" s="7" t="s">
        <v>26</v>
      </c>
      <c r="R651" s="30">
        <f t="shared" si="10"/>
        <v>0.12435673083155097</v>
      </c>
    </row>
    <row r="652" spans="1:18" x14ac:dyDescent="0.35">
      <c r="A652" s="3" t="s">
        <v>1230</v>
      </c>
      <c r="B652" s="4">
        <v>45768</v>
      </c>
      <c r="C652" s="3" t="s">
        <v>493</v>
      </c>
      <c r="D652" s="3" t="s">
        <v>29</v>
      </c>
      <c r="E652" s="3" t="s">
        <v>30</v>
      </c>
      <c r="F652" s="3" t="s">
        <v>226</v>
      </c>
      <c r="G652" s="3" t="s">
        <v>134</v>
      </c>
      <c r="H652" s="3" t="s">
        <v>139</v>
      </c>
      <c r="I652" s="3" t="s">
        <v>140</v>
      </c>
      <c r="J652" s="3">
        <v>2</v>
      </c>
      <c r="K652" s="5">
        <v>3820.24</v>
      </c>
      <c r="L652" s="5">
        <v>7640.48</v>
      </c>
      <c r="M652" s="6">
        <v>0</v>
      </c>
      <c r="N652" s="5">
        <v>1467.69</v>
      </c>
      <c r="O652" s="5">
        <v>130.69</v>
      </c>
      <c r="P652" s="3" t="s">
        <v>35</v>
      </c>
      <c r="Q652" s="3" t="s">
        <v>65</v>
      </c>
      <c r="R652" s="30">
        <f t="shared" si="10"/>
        <v>0.19209395221242645</v>
      </c>
    </row>
    <row r="653" spans="1:18" x14ac:dyDescent="0.35">
      <c r="A653" s="7" t="s">
        <v>1231</v>
      </c>
      <c r="B653" s="8">
        <v>45768</v>
      </c>
      <c r="C653" s="7" t="s">
        <v>1232</v>
      </c>
      <c r="D653" s="7" t="s">
        <v>19</v>
      </c>
      <c r="E653" s="7" t="s">
        <v>30</v>
      </c>
      <c r="F653" s="7" t="s">
        <v>31</v>
      </c>
      <c r="G653" s="7" t="s">
        <v>134</v>
      </c>
      <c r="H653" s="7" t="s">
        <v>244</v>
      </c>
      <c r="I653" s="7" t="s">
        <v>334</v>
      </c>
      <c r="J653" s="7">
        <v>2</v>
      </c>
      <c r="K653" s="9">
        <v>4372.26</v>
      </c>
      <c r="L653" s="9">
        <v>7432.84</v>
      </c>
      <c r="M653" s="10">
        <v>15</v>
      </c>
      <c r="N653" s="9">
        <v>1372.1</v>
      </c>
      <c r="O653" s="9">
        <v>293.04000000000002</v>
      </c>
      <c r="P653" s="7" t="s">
        <v>25</v>
      </c>
      <c r="Q653" s="7" t="s">
        <v>65</v>
      </c>
      <c r="R653" s="30">
        <f t="shared" si="10"/>
        <v>0.18459969540579374</v>
      </c>
    </row>
    <row r="654" spans="1:18" x14ac:dyDescent="0.35">
      <c r="A654" s="3" t="s">
        <v>1233</v>
      </c>
      <c r="B654" s="4">
        <v>45769</v>
      </c>
      <c r="C654" s="3" t="s">
        <v>1037</v>
      </c>
      <c r="D654" s="3" t="s">
        <v>39</v>
      </c>
      <c r="E654" s="3" t="s">
        <v>60</v>
      </c>
      <c r="F654" s="3" t="s">
        <v>72</v>
      </c>
      <c r="G654" s="3" t="s">
        <v>49</v>
      </c>
      <c r="H654" s="3" t="s">
        <v>62</v>
      </c>
      <c r="I654" s="3" t="s">
        <v>63</v>
      </c>
      <c r="J654" s="3">
        <v>3</v>
      </c>
      <c r="K654" s="5">
        <v>2982.36</v>
      </c>
      <c r="L654" s="5">
        <v>8947.08</v>
      </c>
      <c r="M654" s="6">
        <v>0</v>
      </c>
      <c r="N654" s="5">
        <v>2406.81</v>
      </c>
      <c r="O654" s="5">
        <v>136.01</v>
      </c>
      <c r="P654" s="3" t="s">
        <v>35</v>
      </c>
      <c r="Q654" s="3" t="s">
        <v>26</v>
      </c>
      <c r="R654" s="30">
        <f t="shared" si="10"/>
        <v>0.26900508322268268</v>
      </c>
    </row>
    <row r="655" spans="1:18" x14ac:dyDescent="0.35">
      <c r="A655" s="7" t="s">
        <v>1234</v>
      </c>
      <c r="B655" s="8">
        <v>45769</v>
      </c>
      <c r="C655" s="7" t="s">
        <v>1217</v>
      </c>
      <c r="D655" s="7" t="s">
        <v>39</v>
      </c>
      <c r="E655" s="7" t="s">
        <v>40</v>
      </c>
      <c r="F655" s="7" t="s">
        <v>109</v>
      </c>
      <c r="G655" s="7" t="s">
        <v>22</v>
      </c>
      <c r="H655" s="7" t="s">
        <v>23</v>
      </c>
      <c r="I655" s="7" t="s">
        <v>238</v>
      </c>
      <c r="J655" s="7">
        <v>3</v>
      </c>
      <c r="K655" s="9">
        <v>1535.19</v>
      </c>
      <c r="L655" s="9">
        <v>3684.46</v>
      </c>
      <c r="M655" s="10">
        <v>20</v>
      </c>
      <c r="N655" s="9">
        <v>-130.38999999999999</v>
      </c>
      <c r="O655" s="9">
        <v>318.38</v>
      </c>
      <c r="P655" s="7" t="s">
        <v>45</v>
      </c>
      <c r="Q655" s="7" t="s">
        <v>26</v>
      </c>
      <c r="R655" s="30">
        <f t="shared" si="10"/>
        <v>-3.5389175075859147E-2</v>
      </c>
    </row>
    <row r="656" spans="1:18" x14ac:dyDescent="0.35">
      <c r="A656" s="3" t="s">
        <v>1235</v>
      </c>
      <c r="B656" s="4">
        <v>45771</v>
      </c>
      <c r="C656" s="3" t="s">
        <v>351</v>
      </c>
      <c r="D656" s="3" t="s">
        <v>29</v>
      </c>
      <c r="E656" s="3" t="s">
        <v>30</v>
      </c>
      <c r="F656" s="3" t="s">
        <v>48</v>
      </c>
      <c r="G656" s="3" t="s">
        <v>134</v>
      </c>
      <c r="H656" s="3" t="s">
        <v>91</v>
      </c>
      <c r="I656" s="3" t="s">
        <v>168</v>
      </c>
      <c r="J656" s="3">
        <v>4</v>
      </c>
      <c r="K656" s="5">
        <v>2475.63</v>
      </c>
      <c r="L656" s="5">
        <v>9407.39</v>
      </c>
      <c r="M656" s="6">
        <v>5</v>
      </c>
      <c r="N656" s="5">
        <v>1980.14</v>
      </c>
      <c r="O656" s="5">
        <v>273.55</v>
      </c>
      <c r="P656" s="3" t="s">
        <v>83</v>
      </c>
      <c r="Q656" s="3" t="s">
        <v>65</v>
      </c>
      <c r="R656" s="30">
        <f t="shared" si="10"/>
        <v>0.21048771231978267</v>
      </c>
    </row>
    <row r="657" spans="1:18" x14ac:dyDescent="0.35">
      <c r="A657" s="7" t="s">
        <v>1236</v>
      </c>
      <c r="B657" s="8">
        <v>45772</v>
      </c>
      <c r="C657" s="7" t="s">
        <v>1237</v>
      </c>
      <c r="D657" s="7" t="s">
        <v>39</v>
      </c>
      <c r="E657" s="7" t="s">
        <v>20</v>
      </c>
      <c r="F657" s="7" t="s">
        <v>21</v>
      </c>
      <c r="G657" s="7" t="s">
        <v>42</v>
      </c>
      <c r="H657" s="7" t="s">
        <v>81</v>
      </c>
      <c r="I657" s="7" t="s">
        <v>248</v>
      </c>
      <c r="J657" s="7">
        <v>1</v>
      </c>
      <c r="K657" s="9">
        <v>398.78</v>
      </c>
      <c r="L657" s="9">
        <v>338.96</v>
      </c>
      <c r="M657" s="10">
        <v>15</v>
      </c>
      <c r="N657" s="9">
        <v>9.43</v>
      </c>
      <c r="O657" s="9">
        <v>246.77</v>
      </c>
      <c r="P657" s="7" t="s">
        <v>25</v>
      </c>
      <c r="Q657" s="7" t="s">
        <v>65</v>
      </c>
      <c r="R657" s="30">
        <f t="shared" si="10"/>
        <v>2.7820391786641491E-2</v>
      </c>
    </row>
    <row r="658" spans="1:18" x14ac:dyDescent="0.35">
      <c r="A658" s="3" t="s">
        <v>1238</v>
      </c>
      <c r="B658" s="4">
        <v>45772</v>
      </c>
      <c r="C658" s="3" t="s">
        <v>705</v>
      </c>
      <c r="D658" s="3" t="s">
        <v>19</v>
      </c>
      <c r="E658" s="3" t="s">
        <v>20</v>
      </c>
      <c r="F658" s="3" t="s">
        <v>54</v>
      </c>
      <c r="G658" s="3" t="s">
        <v>49</v>
      </c>
      <c r="H658" s="3" t="s">
        <v>62</v>
      </c>
      <c r="I658" s="3" t="s">
        <v>341</v>
      </c>
      <c r="J658" s="3">
        <v>2</v>
      </c>
      <c r="K658" s="5">
        <v>675.5</v>
      </c>
      <c r="L658" s="5">
        <v>1148.3499999999999</v>
      </c>
      <c r="M658" s="6">
        <v>15</v>
      </c>
      <c r="N658" s="5">
        <v>129.32</v>
      </c>
      <c r="O658" s="5">
        <v>353.21</v>
      </c>
      <c r="P658" s="3" t="s">
        <v>45</v>
      </c>
      <c r="Q658" s="3" t="s">
        <v>36</v>
      </c>
      <c r="R658" s="30">
        <f t="shared" si="10"/>
        <v>0.11261375016327775</v>
      </c>
    </row>
    <row r="659" spans="1:18" x14ac:dyDescent="0.35">
      <c r="A659" s="7" t="s">
        <v>1239</v>
      </c>
      <c r="B659" s="8">
        <v>45772</v>
      </c>
      <c r="C659" s="7" t="s">
        <v>1147</v>
      </c>
      <c r="D659" s="7" t="s">
        <v>19</v>
      </c>
      <c r="E659" s="7" t="s">
        <v>40</v>
      </c>
      <c r="F659" s="7" t="s">
        <v>77</v>
      </c>
      <c r="G659" s="7" t="s">
        <v>134</v>
      </c>
      <c r="H659" s="7" t="s">
        <v>135</v>
      </c>
      <c r="I659" s="7" t="s">
        <v>136</v>
      </c>
      <c r="J659" s="7">
        <v>3</v>
      </c>
      <c r="K659" s="9">
        <v>672.12</v>
      </c>
      <c r="L659" s="9">
        <v>1613.09</v>
      </c>
      <c r="M659" s="10">
        <v>20</v>
      </c>
      <c r="N659" s="9">
        <v>136.86000000000001</v>
      </c>
      <c r="O659" s="9">
        <v>130.6</v>
      </c>
      <c r="P659" s="7" t="s">
        <v>83</v>
      </c>
      <c r="Q659" s="7" t="s">
        <v>65</v>
      </c>
      <c r="R659" s="30">
        <f t="shared" si="10"/>
        <v>8.484337513715913E-2</v>
      </c>
    </row>
    <row r="660" spans="1:18" x14ac:dyDescent="0.35">
      <c r="A660" s="3" t="s">
        <v>1240</v>
      </c>
      <c r="B660" s="4">
        <v>45773</v>
      </c>
      <c r="C660" s="3" t="s">
        <v>1037</v>
      </c>
      <c r="D660" s="3" t="s">
        <v>19</v>
      </c>
      <c r="E660" s="3" t="s">
        <v>20</v>
      </c>
      <c r="F660" s="3" t="s">
        <v>54</v>
      </c>
      <c r="G660" s="3" t="s">
        <v>22</v>
      </c>
      <c r="H660" s="3" t="s">
        <v>55</v>
      </c>
      <c r="I660" s="3" t="s">
        <v>56</v>
      </c>
      <c r="J660" s="3">
        <v>2</v>
      </c>
      <c r="K660" s="5">
        <v>18657.38</v>
      </c>
      <c r="L660" s="5">
        <v>35449.019999999997</v>
      </c>
      <c r="M660" s="6">
        <v>5</v>
      </c>
      <c r="N660" s="5">
        <v>3777.48</v>
      </c>
      <c r="O660" s="5">
        <v>364.08</v>
      </c>
      <c r="P660" s="3" t="s">
        <v>45</v>
      </c>
      <c r="Q660" s="3" t="s">
        <v>36</v>
      </c>
      <c r="R660" s="30">
        <f t="shared" si="10"/>
        <v>0.10656091480102978</v>
      </c>
    </row>
    <row r="661" spans="1:18" x14ac:dyDescent="0.35">
      <c r="A661" s="7" t="s">
        <v>1241</v>
      </c>
      <c r="B661" s="8">
        <v>45774</v>
      </c>
      <c r="C661" s="7" t="s">
        <v>1242</v>
      </c>
      <c r="D661" s="7" t="s">
        <v>39</v>
      </c>
      <c r="E661" s="7" t="s">
        <v>20</v>
      </c>
      <c r="F661" s="7" t="s">
        <v>54</v>
      </c>
      <c r="G661" s="7" t="s">
        <v>22</v>
      </c>
      <c r="H661" s="7" t="s">
        <v>110</v>
      </c>
      <c r="I661" s="7" t="s">
        <v>317</v>
      </c>
      <c r="J661" s="7">
        <v>1</v>
      </c>
      <c r="K661" s="9">
        <v>3028.02</v>
      </c>
      <c r="L661" s="9">
        <v>3028.02</v>
      </c>
      <c r="M661" s="10">
        <v>0</v>
      </c>
      <c r="N661" s="9">
        <v>286.72000000000003</v>
      </c>
      <c r="O661" s="9">
        <v>216.64</v>
      </c>
      <c r="P661" s="7" t="s">
        <v>35</v>
      </c>
      <c r="Q661" s="7" t="s">
        <v>57</v>
      </c>
      <c r="R661" s="30">
        <f t="shared" si="10"/>
        <v>9.4688938646376189E-2</v>
      </c>
    </row>
    <row r="662" spans="1:18" x14ac:dyDescent="0.35">
      <c r="A662" s="3" t="s">
        <v>1243</v>
      </c>
      <c r="B662" s="4">
        <v>45774</v>
      </c>
      <c r="C662" s="3" t="s">
        <v>807</v>
      </c>
      <c r="D662" s="3" t="s">
        <v>39</v>
      </c>
      <c r="E662" s="3" t="s">
        <v>40</v>
      </c>
      <c r="F662" s="3" t="s">
        <v>77</v>
      </c>
      <c r="G662" s="3" t="s">
        <v>32</v>
      </c>
      <c r="H662" s="3" t="s">
        <v>143</v>
      </c>
      <c r="I662" s="3" t="s">
        <v>144</v>
      </c>
      <c r="J662" s="3">
        <v>1</v>
      </c>
      <c r="K662" s="5">
        <v>4666.01</v>
      </c>
      <c r="L662" s="5">
        <v>4199.41</v>
      </c>
      <c r="M662" s="6">
        <v>10</v>
      </c>
      <c r="N662" s="5">
        <v>757.53</v>
      </c>
      <c r="O662" s="5">
        <v>264.76</v>
      </c>
      <c r="P662" s="3" t="s">
        <v>83</v>
      </c>
      <c r="Q662" s="3" t="s">
        <v>57</v>
      </c>
      <c r="R662" s="30">
        <f t="shared" si="10"/>
        <v>0.18038962616177034</v>
      </c>
    </row>
    <row r="663" spans="1:18" x14ac:dyDescent="0.35">
      <c r="A663" s="7" t="s">
        <v>1244</v>
      </c>
      <c r="B663" s="8">
        <v>45774</v>
      </c>
      <c r="C663" s="7" t="s">
        <v>419</v>
      </c>
      <c r="D663" s="7" t="s">
        <v>19</v>
      </c>
      <c r="E663" s="7" t="s">
        <v>20</v>
      </c>
      <c r="F663" s="7" t="s">
        <v>129</v>
      </c>
      <c r="G663" s="7" t="s">
        <v>134</v>
      </c>
      <c r="H663" s="7" t="s">
        <v>91</v>
      </c>
      <c r="I663" s="7" t="s">
        <v>206</v>
      </c>
      <c r="J663" s="7">
        <v>2</v>
      </c>
      <c r="K663" s="9">
        <v>3182.57</v>
      </c>
      <c r="L663" s="9">
        <v>4455.6000000000004</v>
      </c>
      <c r="M663" s="10">
        <v>30</v>
      </c>
      <c r="N663" s="9">
        <v>88.65</v>
      </c>
      <c r="O663" s="9">
        <v>312.85000000000002</v>
      </c>
      <c r="P663" s="7" t="s">
        <v>64</v>
      </c>
      <c r="Q663" s="7" t="s">
        <v>65</v>
      </c>
      <c r="R663" s="30">
        <f t="shared" si="10"/>
        <v>1.9896310261244277E-2</v>
      </c>
    </row>
    <row r="664" spans="1:18" x14ac:dyDescent="0.35">
      <c r="A664" s="3" t="s">
        <v>1245</v>
      </c>
      <c r="B664" s="4">
        <v>45775</v>
      </c>
      <c r="C664" s="3" t="s">
        <v>1246</v>
      </c>
      <c r="D664" s="3" t="s">
        <v>39</v>
      </c>
      <c r="E664" s="3" t="s">
        <v>40</v>
      </c>
      <c r="F664" s="3" t="s">
        <v>41</v>
      </c>
      <c r="G664" s="3" t="s">
        <v>42</v>
      </c>
      <c r="H664" s="3" t="s">
        <v>43</v>
      </c>
      <c r="I664" s="3" t="s">
        <v>44</v>
      </c>
      <c r="J664" s="3">
        <v>3</v>
      </c>
      <c r="K664" s="5">
        <v>221.23</v>
      </c>
      <c r="L664" s="5">
        <v>597.32000000000005</v>
      </c>
      <c r="M664" s="6">
        <v>10</v>
      </c>
      <c r="N664" s="5">
        <v>85.82</v>
      </c>
      <c r="O664" s="5">
        <v>81.55</v>
      </c>
      <c r="P664" s="3" t="s">
        <v>45</v>
      </c>
      <c r="Q664" s="3" t="s">
        <v>65</v>
      </c>
      <c r="R664" s="30">
        <f t="shared" si="10"/>
        <v>0.14367508203308108</v>
      </c>
    </row>
    <row r="665" spans="1:18" x14ac:dyDescent="0.35">
      <c r="A665" s="7" t="s">
        <v>1247</v>
      </c>
      <c r="B665" s="8">
        <v>45776</v>
      </c>
      <c r="C665" s="7" t="s">
        <v>384</v>
      </c>
      <c r="D665" s="7" t="s">
        <v>39</v>
      </c>
      <c r="E665" s="7" t="s">
        <v>20</v>
      </c>
      <c r="F665" s="7" t="s">
        <v>129</v>
      </c>
      <c r="G665" s="7" t="s">
        <v>32</v>
      </c>
      <c r="H665" s="7" t="s">
        <v>73</v>
      </c>
      <c r="I665" s="7" t="s">
        <v>74</v>
      </c>
      <c r="J665" s="7">
        <v>1</v>
      </c>
      <c r="K665" s="9">
        <v>8430.41</v>
      </c>
      <c r="L665" s="9">
        <v>8430.41</v>
      </c>
      <c r="M665" s="10">
        <v>0</v>
      </c>
      <c r="N665" s="9">
        <v>2059.61</v>
      </c>
      <c r="O665" s="9">
        <v>301.74</v>
      </c>
      <c r="P665" s="7" t="s">
        <v>83</v>
      </c>
      <c r="Q665" s="7" t="s">
        <v>65</v>
      </c>
      <c r="R665" s="30">
        <f t="shared" si="10"/>
        <v>0.24430721637500433</v>
      </c>
    </row>
    <row r="666" spans="1:18" x14ac:dyDescent="0.35">
      <c r="A666" s="3" t="s">
        <v>1248</v>
      </c>
      <c r="B666" s="4">
        <v>45776</v>
      </c>
      <c r="C666" s="3" t="s">
        <v>702</v>
      </c>
      <c r="D666" s="3" t="s">
        <v>39</v>
      </c>
      <c r="E666" s="3" t="s">
        <v>60</v>
      </c>
      <c r="F666" s="3" t="s">
        <v>72</v>
      </c>
      <c r="G666" s="3" t="s">
        <v>117</v>
      </c>
      <c r="H666" s="3" t="s">
        <v>118</v>
      </c>
      <c r="I666" s="3" t="s">
        <v>279</v>
      </c>
      <c r="J666" s="3">
        <v>2</v>
      </c>
      <c r="K666" s="5">
        <v>2121.6</v>
      </c>
      <c r="L666" s="5">
        <v>4031.04</v>
      </c>
      <c r="M666" s="6">
        <v>5</v>
      </c>
      <c r="N666" s="5">
        <v>724.83</v>
      </c>
      <c r="O666" s="5">
        <v>196.68</v>
      </c>
      <c r="P666" s="3" t="s">
        <v>83</v>
      </c>
      <c r="Q666" s="3" t="s">
        <v>57</v>
      </c>
      <c r="R666" s="30">
        <f t="shared" si="10"/>
        <v>0.17981215765658493</v>
      </c>
    </row>
    <row r="667" spans="1:18" x14ac:dyDescent="0.35">
      <c r="A667" s="7" t="s">
        <v>1249</v>
      </c>
      <c r="B667" s="8">
        <v>45776</v>
      </c>
      <c r="C667" s="7" t="s">
        <v>1093</v>
      </c>
      <c r="D667" s="7" t="s">
        <v>29</v>
      </c>
      <c r="E667" s="7" t="s">
        <v>30</v>
      </c>
      <c r="F667" s="7" t="s">
        <v>226</v>
      </c>
      <c r="G667" s="7" t="s">
        <v>134</v>
      </c>
      <c r="H667" s="7" t="s">
        <v>139</v>
      </c>
      <c r="I667" s="7" t="s">
        <v>147</v>
      </c>
      <c r="J667" s="7">
        <v>1</v>
      </c>
      <c r="K667" s="9">
        <v>2851.69</v>
      </c>
      <c r="L667" s="9">
        <v>2851.69</v>
      </c>
      <c r="M667" s="10">
        <v>0</v>
      </c>
      <c r="N667" s="9">
        <v>622.42999999999995</v>
      </c>
      <c r="O667" s="9">
        <v>84.57</v>
      </c>
      <c r="P667" s="7" t="s">
        <v>64</v>
      </c>
      <c r="Q667" s="7" t="s">
        <v>65</v>
      </c>
      <c r="R667" s="30">
        <f t="shared" si="10"/>
        <v>0.2182670626891422</v>
      </c>
    </row>
    <row r="668" spans="1:18" x14ac:dyDescent="0.35">
      <c r="A668" s="3" t="s">
        <v>1250</v>
      </c>
      <c r="B668" s="4">
        <v>45778</v>
      </c>
      <c r="C668" s="3" t="s">
        <v>1251</v>
      </c>
      <c r="D668" s="3" t="s">
        <v>19</v>
      </c>
      <c r="E668" s="3" t="s">
        <v>30</v>
      </c>
      <c r="F668" s="3" t="s">
        <v>226</v>
      </c>
      <c r="G668" s="3" t="s">
        <v>117</v>
      </c>
      <c r="H668" s="3" t="s">
        <v>130</v>
      </c>
      <c r="I668" s="3" t="s">
        <v>326</v>
      </c>
      <c r="J668" s="3">
        <v>2</v>
      </c>
      <c r="K668" s="5">
        <v>1104.24</v>
      </c>
      <c r="L668" s="5">
        <v>2098.06</v>
      </c>
      <c r="M668" s="6">
        <v>5</v>
      </c>
      <c r="N668" s="5">
        <v>576</v>
      </c>
      <c r="O668" s="5">
        <v>120.82</v>
      </c>
      <c r="P668" s="3" t="s">
        <v>83</v>
      </c>
      <c r="Q668" s="3" t="s">
        <v>36</v>
      </c>
      <c r="R668" s="30">
        <f t="shared" si="10"/>
        <v>0.27453933633928485</v>
      </c>
    </row>
    <row r="669" spans="1:18" x14ac:dyDescent="0.35">
      <c r="A669" s="7" t="s">
        <v>1252</v>
      </c>
      <c r="B669" s="8">
        <v>45779</v>
      </c>
      <c r="C669" s="7" t="s">
        <v>1253</v>
      </c>
      <c r="D669" s="7" t="s">
        <v>39</v>
      </c>
      <c r="E669" s="7" t="s">
        <v>30</v>
      </c>
      <c r="F669" s="7" t="s">
        <v>226</v>
      </c>
      <c r="G669" s="7" t="s">
        <v>117</v>
      </c>
      <c r="H669" s="7" t="s">
        <v>153</v>
      </c>
      <c r="I669" s="7" t="s">
        <v>296</v>
      </c>
      <c r="J669" s="7">
        <v>1</v>
      </c>
      <c r="K669" s="9">
        <v>1276.75</v>
      </c>
      <c r="L669" s="9">
        <v>1276.75</v>
      </c>
      <c r="M669" s="10">
        <v>0</v>
      </c>
      <c r="N669" s="9">
        <v>305.89999999999998</v>
      </c>
      <c r="O669" s="9">
        <v>43.76</v>
      </c>
      <c r="P669" s="7" t="s">
        <v>35</v>
      </c>
      <c r="Q669" s="7" t="s">
        <v>65</v>
      </c>
      <c r="R669" s="30">
        <f t="shared" si="10"/>
        <v>0.23959271588016445</v>
      </c>
    </row>
    <row r="670" spans="1:18" x14ac:dyDescent="0.35">
      <c r="A670" s="3" t="s">
        <v>1254</v>
      </c>
      <c r="B670" s="4">
        <v>45779</v>
      </c>
      <c r="C670" s="3" t="s">
        <v>1255</v>
      </c>
      <c r="D670" s="3" t="s">
        <v>39</v>
      </c>
      <c r="E670" s="3" t="s">
        <v>20</v>
      </c>
      <c r="F670" s="3" t="s">
        <v>21</v>
      </c>
      <c r="G670" s="3" t="s">
        <v>32</v>
      </c>
      <c r="H670" s="3" t="s">
        <v>143</v>
      </c>
      <c r="I670" s="3" t="s">
        <v>385</v>
      </c>
      <c r="J670" s="3">
        <v>2</v>
      </c>
      <c r="K670" s="5">
        <v>11241.52</v>
      </c>
      <c r="L670" s="5">
        <v>19110.580000000002</v>
      </c>
      <c r="M670" s="6">
        <v>15</v>
      </c>
      <c r="N670" s="5">
        <v>1978.96</v>
      </c>
      <c r="O670" s="5">
        <v>255.28</v>
      </c>
      <c r="P670" s="3" t="s">
        <v>64</v>
      </c>
      <c r="Q670" s="3" t="s">
        <v>26</v>
      </c>
      <c r="R670" s="30">
        <f t="shared" si="10"/>
        <v>0.1035531103713231</v>
      </c>
    </row>
    <row r="671" spans="1:18" x14ac:dyDescent="0.35">
      <c r="A671" s="7" t="s">
        <v>1256</v>
      </c>
      <c r="B671" s="8">
        <v>45780</v>
      </c>
      <c r="C671" s="7" t="s">
        <v>1226</v>
      </c>
      <c r="D671" s="7" t="s">
        <v>39</v>
      </c>
      <c r="E671" s="7" t="s">
        <v>40</v>
      </c>
      <c r="F671" s="7" t="s">
        <v>41</v>
      </c>
      <c r="G671" s="7" t="s">
        <v>134</v>
      </c>
      <c r="H671" s="7" t="s">
        <v>139</v>
      </c>
      <c r="I671" s="7" t="s">
        <v>587</v>
      </c>
      <c r="J671" s="7">
        <v>2</v>
      </c>
      <c r="K671" s="9">
        <v>3178.86</v>
      </c>
      <c r="L671" s="9">
        <v>6039.83</v>
      </c>
      <c r="M671" s="10">
        <v>5</v>
      </c>
      <c r="N671" s="9">
        <v>1017.04</v>
      </c>
      <c r="O671" s="9">
        <v>164.65</v>
      </c>
      <c r="P671" s="7" t="s">
        <v>64</v>
      </c>
      <c r="Q671" s="7" t="s">
        <v>26</v>
      </c>
      <c r="R671" s="30">
        <f t="shared" si="10"/>
        <v>0.16838884538140975</v>
      </c>
    </row>
    <row r="672" spans="1:18" x14ac:dyDescent="0.35">
      <c r="A672" s="3" t="s">
        <v>1257</v>
      </c>
      <c r="B672" s="4">
        <v>45780</v>
      </c>
      <c r="C672" s="3" t="s">
        <v>878</v>
      </c>
      <c r="D672" s="3" t="s">
        <v>39</v>
      </c>
      <c r="E672" s="3" t="s">
        <v>20</v>
      </c>
      <c r="F672" s="3" t="s">
        <v>129</v>
      </c>
      <c r="G672" s="3" t="s">
        <v>117</v>
      </c>
      <c r="H672" s="3" t="s">
        <v>153</v>
      </c>
      <c r="I672" s="3" t="s">
        <v>154</v>
      </c>
      <c r="J672" s="3">
        <v>2</v>
      </c>
      <c r="K672" s="5">
        <v>2355.9699999999998</v>
      </c>
      <c r="L672" s="5">
        <v>4711.9399999999996</v>
      </c>
      <c r="M672" s="6">
        <v>0</v>
      </c>
      <c r="N672" s="5">
        <v>1225.69</v>
      </c>
      <c r="O672" s="5">
        <v>238.05</v>
      </c>
      <c r="P672" s="3" t="s">
        <v>35</v>
      </c>
      <c r="Q672" s="3" t="s">
        <v>65</v>
      </c>
      <c r="R672" s="30">
        <f t="shared" si="10"/>
        <v>0.26012428002054361</v>
      </c>
    </row>
    <row r="673" spans="1:18" x14ac:dyDescent="0.35">
      <c r="A673" s="7" t="s">
        <v>1258</v>
      </c>
      <c r="B673" s="8">
        <v>45781</v>
      </c>
      <c r="C673" s="7" t="s">
        <v>1050</v>
      </c>
      <c r="D673" s="7" t="s">
        <v>39</v>
      </c>
      <c r="E673" s="7" t="s">
        <v>20</v>
      </c>
      <c r="F673" s="7" t="s">
        <v>129</v>
      </c>
      <c r="G673" s="7" t="s">
        <v>134</v>
      </c>
      <c r="H673" s="7" t="s">
        <v>91</v>
      </c>
      <c r="I673" s="7" t="s">
        <v>206</v>
      </c>
      <c r="J673" s="7">
        <v>5</v>
      </c>
      <c r="K673" s="9">
        <v>3007.1</v>
      </c>
      <c r="L673" s="9">
        <v>13531.95</v>
      </c>
      <c r="M673" s="10">
        <v>10</v>
      </c>
      <c r="N673" s="9">
        <v>1303.08</v>
      </c>
      <c r="O673" s="9">
        <v>269.42</v>
      </c>
      <c r="P673" s="7" t="s">
        <v>35</v>
      </c>
      <c r="Q673" s="7" t="s">
        <v>65</v>
      </c>
      <c r="R673" s="30">
        <f t="shared" si="10"/>
        <v>9.6296542626894119E-2</v>
      </c>
    </row>
    <row r="674" spans="1:18" x14ac:dyDescent="0.35">
      <c r="A674" s="3" t="s">
        <v>1259</v>
      </c>
      <c r="B674" s="4">
        <v>45781</v>
      </c>
      <c r="C674" s="3" t="s">
        <v>1012</v>
      </c>
      <c r="D674" s="3" t="s">
        <v>39</v>
      </c>
      <c r="E674" s="3" t="s">
        <v>60</v>
      </c>
      <c r="F674" s="3" t="s">
        <v>68</v>
      </c>
      <c r="G674" s="3" t="s">
        <v>49</v>
      </c>
      <c r="H674" s="3" t="s">
        <v>50</v>
      </c>
      <c r="I674" s="3" t="s">
        <v>485</v>
      </c>
      <c r="J674" s="3">
        <v>2</v>
      </c>
      <c r="K674" s="5">
        <v>12397.88</v>
      </c>
      <c r="L674" s="5">
        <v>21076.400000000001</v>
      </c>
      <c r="M674" s="6">
        <v>15</v>
      </c>
      <c r="N674" s="5">
        <v>3410</v>
      </c>
      <c r="O674" s="5">
        <v>63.23</v>
      </c>
      <c r="P674" s="3" t="s">
        <v>35</v>
      </c>
      <c r="Q674" s="3" t="s">
        <v>57</v>
      </c>
      <c r="R674" s="30">
        <f t="shared" si="10"/>
        <v>0.16179233645214552</v>
      </c>
    </row>
    <row r="675" spans="1:18" x14ac:dyDescent="0.35">
      <c r="A675" s="7" t="s">
        <v>1260</v>
      </c>
      <c r="B675" s="8">
        <v>45781</v>
      </c>
      <c r="C675" s="7" t="s">
        <v>1261</v>
      </c>
      <c r="D675" s="7" t="s">
        <v>39</v>
      </c>
      <c r="E675" s="7" t="s">
        <v>30</v>
      </c>
      <c r="F675" s="7" t="s">
        <v>48</v>
      </c>
      <c r="G675" s="7" t="s">
        <v>49</v>
      </c>
      <c r="H675" s="7" t="s">
        <v>98</v>
      </c>
      <c r="I675" s="7" t="s">
        <v>763</v>
      </c>
      <c r="J675" s="7">
        <v>5</v>
      </c>
      <c r="K675" s="9">
        <v>7691.89</v>
      </c>
      <c r="L675" s="9">
        <v>36536.480000000003</v>
      </c>
      <c r="M675" s="10">
        <v>5</v>
      </c>
      <c r="N675" s="9">
        <v>8772.5400000000009</v>
      </c>
      <c r="O675" s="9">
        <v>217.1</v>
      </c>
      <c r="P675" s="7" t="s">
        <v>25</v>
      </c>
      <c r="Q675" s="7" t="s">
        <v>26</v>
      </c>
      <c r="R675" s="30">
        <f t="shared" si="10"/>
        <v>0.24010358961782854</v>
      </c>
    </row>
    <row r="676" spans="1:18" x14ac:dyDescent="0.35">
      <c r="A676" s="3" t="s">
        <v>1262</v>
      </c>
      <c r="B676" s="4">
        <v>45782</v>
      </c>
      <c r="C676" s="3" t="s">
        <v>679</v>
      </c>
      <c r="D676" s="3" t="s">
        <v>39</v>
      </c>
      <c r="E676" s="3" t="s">
        <v>40</v>
      </c>
      <c r="F676" s="3" t="s">
        <v>41</v>
      </c>
      <c r="G676" s="3" t="s">
        <v>22</v>
      </c>
      <c r="H676" s="3" t="s">
        <v>23</v>
      </c>
      <c r="I676" s="3" t="s">
        <v>78</v>
      </c>
      <c r="J676" s="3">
        <v>1</v>
      </c>
      <c r="K676" s="5">
        <v>38791.89</v>
      </c>
      <c r="L676" s="5">
        <v>34912.699999999997</v>
      </c>
      <c r="M676" s="6">
        <v>10</v>
      </c>
      <c r="N676" s="5">
        <v>2437.6</v>
      </c>
      <c r="O676" s="5">
        <v>175.37</v>
      </c>
      <c r="P676" s="3" t="s">
        <v>35</v>
      </c>
      <c r="Q676" s="3" t="s">
        <v>26</v>
      </c>
      <c r="R676" s="30">
        <f t="shared" si="10"/>
        <v>6.9819864977501034E-2</v>
      </c>
    </row>
    <row r="677" spans="1:18" x14ac:dyDescent="0.35">
      <c r="A677" s="7" t="s">
        <v>1263</v>
      </c>
      <c r="B677" s="8">
        <v>45785</v>
      </c>
      <c r="C677" s="7" t="s">
        <v>523</v>
      </c>
      <c r="D677" s="7" t="s">
        <v>39</v>
      </c>
      <c r="E677" s="7" t="s">
        <v>30</v>
      </c>
      <c r="F677" s="7" t="s">
        <v>31</v>
      </c>
      <c r="G677" s="7" t="s">
        <v>49</v>
      </c>
      <c r="H677" s="7" t="s">
        <v>98</v>
      </c>
      <c r="I677" s="7" t="s">
        <v>763</v>
      </c>
      <c r="J677" s="7">
        <v>1</v>
      </c>
      <c r="K677" s="9">
        <v>1830.32</v>
      </c>
      <c r="L677" s="9">
        <v>1647.29</v>
      </c>
      <c r="M677" s="10">
        <v>10</v>
      </c>
      <c r="N677" s="9">
        <v>196.77</v>
      </c>
      <c r="O677" s="9">
        <v>251.49</v>
      </c>
      <c r="P677" s="7" t="s">
        <v>64</v>
      </c>
      <c r="Q677" s="7" t="s">
        <v>36</v>
      </c>
      <c r="R677" s="30">
        <f t="shared" si="10"/>
        <v>0.11945073423623043</v>
      </c>
    </row>
    <row r="678" spans="1:18" x14ac:dyDescent="0.35">
      <c r="A678" s="3" t="s">
        <v>1264</v>
      </c>
      <c r="B678" s="4">
        <v>45785</v>
      </c>
      <c r="C678" s="3" t="s">
        <v>623</v>
      </c>
      <c r="D678" s="3" t="s">
        <v>39</v>
      </c>
      <c r="E678" s="3" t="s">
        <v>60</v>
      </c>
      <c r="F678" s="3" t="s">
        <v>72</v>
      </c>
      <c r="G678" s="3" t="s">
        <v>22</v>
      </c>
      <c r="H678" s="3" t="s">
        <v>624</v>
      </c>
      <c r="I678" s="3" t="s">
        <v>1215</v>
      </c>
      <c r="J678" s="3">
        <v>4</v>
      </c>
      <c r="K678" s="5">
        <v>26280.03</v>
      </c>
      <c r="L678" s="5">
        <v>105120.12</v>
      </c>
      <c r="M678" s="6">
        <v>0</v>
      </c>
      <c r="N678" s="5">
        <v>16024.02</v>
      </c>
      <c r="O678" s="5">
        <v>127.17</v>
      </c>
      <c r="P678" s="3" t="s">
        <v>25</v>
      </c>
      <c r="Q678" s="3" t="s">
        <v>26</v>
      </c>
      <c r="R678" s="30">
        <f t="shared" si="10"/>
        <v>0.15243532827017323</v>
      </c>
    </row>
    <row r="679" spans="1:18" x14ac:dyDescent="0.35">
      <c r="A679" s="7" t="s">
        <v>1265</v>
      </c>
      <c r="B679" s="8">
        <v>45785</v>
      </c>
      <c r="C679" s="7" t="s">
        <v>232</v>
      </c>
      <c r="D679" s="7" t="s">
        <v>19</v>
      </c>
      <c r="E679" s="7" t="s">
        <v>20</v>
      </c>
      <c r="F679" s="7" t="s">
        <v>21</v>
      </c>
      <c r="G679" s="7" t="s">
        <v>117</v>
      </c>
      <c r="H679" s="7" t="s">
        <v>153</v>
      </c>
      <c r="I679" s="7" t="s">
        <v>356</v>
      </c>
      <c r="J679" s="7">
        <v>3</v>
      </c>
      <c r="K679" s="9">
        <v>2168.1</v>
      </c>
      <c r="L679" s="9">
        <v>6504.3</v>
      </c>
      <c r="M679" s="10">
        <v>0</v>
      </c>
      <c r="N679" s="9">
        <v>1270.9000000000001</v>
      </c>
      <c r="O679" s="9">
        <v>226.86</v>
      </c>
      <c r="P679" s="7" t="s">
        <v>64</v>
      </c>
      <c r="Q679" s="7" t="s">
        <v>65</v>
      </c>
      <c r="R679" s="30">
        <f t="shared" si="10"/>
        <v>0.19539381639838263</v>
      </c>
    </row>
    <row r="680" spans="1:18" x14ac:dyDescent="0.35">
      <c r="A680" s="3" t="s">
        <v>1266</v>
      </c>
      <c r="B680" s="4">
        <v>45786</v>
      </c>
      <c r="C680" s="3" t="s">
        <v>316</v>
      </c>
      <c r="D680" s="3" t="s">
        <v>19</v>
      </c>
      <c r="E680" s="3" t="s">
        <v>60</v>
      </c>
      <c r="F680" s="3" t="s">
        <v>61</v>
      </c>
      <c r="G680" s="3" t="s">
        <v>42</v>
      </c>
      <c r="H680" s="3" t="s">
        <v>81</v>
      </c>
      <c r="I680" s="3" t="s">
        <v>621</v>
      </c>
      <c r="J680" s="3">
        <v>1</v>
      </c>
      <c r="K680" s="5">
        <v>393.64</v>
      </c>
      <c r="L680" s="5">
        <v>295.23</v>
      </c>
      <c r="M680" s="6">
        <v>25</v>
      </c>
      <c r="N680" s="5">
        <v>-4.6900000000000004</v>
      </c>
      <c r="O680" s="5">
        <v>176.64</v>
      </c>
      <c r="P680" s="3" t="s">
        <v>35</v>
      </c>
      <c r="Q680" s="3" t="s">
        <v>57</v>
      </c>
      <c r="R680" s="30">
        <f t="shared" si="10"/>
        <v>-1.5885919452630154E-2</v>
      </c>
    </row>
    <row r="681" spans="1:18" x14ac:dyDescent="0.35">
      <c r="A681" s="7" t="s">
        <v>1267</v>
      </c>
      <c r="B681" s="8">
        <v>45789</v>
      </c>
      <c r="C681" s="7" t="s">
        <v>636</v>
      </c>
      <c r="D681" s="7" t="s">
        <v>19</v>
      </c>
      <c r="E681" s="7" t="s">
        <v>40</v>
      </c>
      <c r="F681" s="7" t="s">
        <v>109</v>
      </c>
      <c r="G681" s="7" t="s">
        <v>42</v>
      </c>
      <c r="H681" s="7" t="s">
        <v>164</v>
      </c>
      <c r="I681" s="7" t="s">
        <v>329</v>
      </c>
      <c r="J681" s="7">
        <v>1</v>
      </c>
      <c r="K681" s="9">
        <v>567.76</v>
      </c>
      <c r="L681" s="9">
        <v>482.6</v>
      </c>
      <c r="M681" s="10">
        <v>15</v>
      </c>
      <c r="N681" s="9">
        <v>31.84</v>
      </c>
      <c r="O681" s="9">
        <v>294.82</v>
      </c>
      <c r="P681" s="7" t="s">
        <v>45</v>
      </c>
      <c r="Q681" s="7" t="s">
        <v>57</v>
      </c>
      <c r="R681" s="30">
        <f t="shared" si="10"/>
        <v>6.5975963530874426E-2</v>
      </c>
    </row>
    <row r="682" spans="1:18" x14ac:dyDescent="0.35">
      <c r="A682" s="3" t="s">
        <v>1268</v>
      </c>
      <c r="B682" s="4">
        <v>45790</v>
      </c>
      <c r="C682" s="3" t="s">
        <v>505</v>
      </c>
      <c r="D682" s="3" t="s">
        <v>39</v>
      </c>
      <c r="E682" s="3" t="s">
        <v>40</v>
      </c>
      <c r="F682" s="3" t="s">
        <v>109</v>
      </c>
      <c r="G682" s="3" t="s">
        <v>49</v>
      </c>
      <c r="H682" s="3" t="s">
        <v>62</v>
      </c>
      <c r="I682" s="3" t="s">
        <v>122</v>
      </c>
      <c r="J682" s="3">
        <v>1</v>
      </c>
      <c r="K682" s="5">
        <v>3063.12</v>
      </c>
      <c r="L682" s="5">
        <v>2603.65</v>
      </c>
      <c r="M682" s="6">
        <v>15</v>
      </c>
      <c r="N682" s="5">
        <v>440.76</v>
      </c>
      <c r="O682" s="5">
        <v>114.81</v>
      </c>
      <c r="P682" s="3" t="s">
        <v>25</v>
      </c>
      <c r="Q682" s="3" t="s">
        <v>57</v>
      </c>
      <c r="R682" s="30">
        <f t="shared" si="10"/>
        <v>0.16928542622856374</v>
      </c>
    </row>
    <row r="683" spans="1:18" x14ac:dyDescent="0.35">
      <c r="A683" s="7" t="s">
        <v>1269</v>
      </c>
      <c r="B683" s="8">
        <v>45792</v>
      </c>
      <c r="C683" s="7" t="s">
        <v>71</v>
      </c>
      <c r="D683" s="7" t="s">
        <v>19</v>
      </c>
      <c r="E683" s="7" t="s">
        <v>40</v>
      </c>
      <c r="F683" s="7" t="s">
        <v>77</v>
      </c>
      <c r="G683" s="7" t="s">
        <v>49</v>
      </c>
      <c r="H683" s="7" t="s">
        <v>62</v>
      </c>
      <c r="I683" s="7" t="s">
        <v>341</v>
      </c>
      <c r="J683" s="7">
        <v>1</v>
      </c>
      <c r="K683" s="9">
        <v>5395.22</v>
      </c>
      <c r="L683" s="9">
        <v>4585.9399999999996</v>
      </c>
      <c r="M683" s="10">
        <v>15</v>
      </c>
      <c r="N683" s="9">
        <v>264.63</v>
      </c>
      <c r="O683" s="9">
        <v>255.58</v>
      </c>
      <c r="P683" s="7" t="s">
        <v>35</v>
      </c>
      <c r="Q683" s="7" t="s">
        <v>26</v>
      </c>
      <c r="R683" s="30">
        <f t="shared" si="10"/>
        <v>5.7704636345002336E-2</v>
      </c>
    </row>
    <row r="684" spans="1:18" x14ac:dyDescent="0.35">
      <c r="A684" s="3" t="s">
        <v>1270</v>
      </c>
      <c r="B684" s="4">
        <v>45793</v>
      </c>
      <c r="C684" s="3" t="s">
        <v>267</v>
      </c>
      <c r="D684" s="3" t="s">
        <v>39</v>
      </c>
      <c r="E684" s="3" t="s">
        <v>30</v>
      </c>
      <c r="F684" s="3" t="s">
        <v>31</v>
      </c>
      <c r="G684" s="3" t="s">
        <v>49</v>
      </c>
      <c r="H684" s="3" t="s">
        <v>98</v>
      </c>
      <c r="I684" s="3" t="s">
        <v>763</v>
      </c>
      <c r="J684" s="3">
        <v>2</v>
      </c>
      <c r="K684" s="5">
        <v>14367.12</v>
      </c>
      <c r="L684" s="5">
        <v>25860.82</v>
      </c>
      <c r="M684" s="6">
        <v>10</v>
      </c>
      <c r="N684" s="5">
        <v>-42.05</v>
      </c>
      <c r="O684" s="5">
        <v>191.46</v>
      </c>
      <c r="P684" s="3" t="s">
        <v>25</v>
      </c>
      <c r="Q684" s="3" t="s">
        <v>57</v>
      </c>
      <c r="R684" s="30">
        <f t="shared" si="10"/>
        <v>-1.6260118588660374E-3</v>
      </c>
    </row>
    <row r="685" spans="1:18" x14ac:dyDescent="0.35">
      <c r="A685" s="7" t="s">
        <v>1271</v>
      </c>
      <c r="B685" s="8">
        <v>45794</v>
      </c>
      <c r="C685" s="7" t="s">
        <v>695</v>
      </c>
      <c r="D685" s="7" t="s">
        <v>39</v>
      </c>
      <c r="E685" s="7" t="s">
        <v>40</v>
      </c>
      <c r="F685" s="7" t="s">
        <v>90</v>
      </c>
      <c r="G685" s="7" t="s">
        <v>32</v>
      </c>
      <c r="H685" s="7" t="s">
        <v>143</v>
      </c>
      <c r="I685" s="7" t="s">
        <v>516</v>
      </c>
      <c r="J685" s="7">
        <v>3</v>
      </c>
      <c r="K685" s="9">
        <v>3345.68</v>
      </c>
      <c r="L685" s="9">
        <v>9535.19</v>
      </c>
      <c r="M685" s="10">
        <v>5</v>
      </c>
      <c r="N685" s="9">
        <v>2036.89</v>
      </c>
      <c r="O685" s="9">
        <v>309.60000000000002</v>
      </c>
      <c r="P685" s="7" t="s">
        <v>25</v>
      </c>
      <c r="Q685" s="7" t="s">
        <v>65</v>
      </c>
      <c r="R685" s="30">
        <f t="shared" si="10"/>
        <v>0.21361818694750709</v>
      </c>
    </row>
    <row r="686" spans="1:18" x14ac:dyDescent="0.35">
      <c r="A686" s="3" t="s">
        <v>1272</v>
      </c>
      <c r="B686" s="4">
        <v>45794</v>
      </c>
      <c r="C686" s="3" t="s">
        <v>1273</v>
      </c>
      <c r="D686" s="3" t="s">
        <v>39</v>
      </c>
      <c r="E686" s="3" t="s">
        <v>40</v>
      </c>
      <c r="F686" s="3" t="s">
        <v>109</v>
      </c>
      <c r="G686" s="3" t="s">
        <v>42</v>
      </c>
      <c r="H686" s="3" t="s">
        <v>43</v>
      </c>
      <c r="I686" s="3" t="s">
        <v>44</v>
      </c>
      <c r="J686" s="3">
        <v>2</v>
      </c>
      <c r="K686" s="5">
        <v>1030.42</v>
      </c>
      <c r="L686" s="5">
        <v>1545.63</v>
      </c>
      <c r="M686" s="6">
        <v>25</v>
      </c>
      <c r="N686" s="5">
        <v>38.619999999999997</v>
      </c>
      <c r="O686" s="5">
        <v>343.47</v>
      </c>
      <c r="P686" s="3" t="s">
        <v>35</v>
      </c>
      <c r="Q686" s="3" t="s">
        <v>65</v>
      </c>
      <c r="R686" s="30">
        <f t="shared" si="10"/>
        <v>2.4986575053538036E-2</v>
      </c>
    </row>
    <row r="687" spans="1:18" x14ac:dyDescent="0.35">
      <c r="A687" s="7" t="s">
        <v>1274</v>
      </c>
      <c r="B687" s="8">
        <v>45794</v>
      </c>
      <c r="C687" s="7" t="s">
        <v>628</v>
      </c>
      <c r="D687" s="7" t="s">
        <v>19</v>
      </c>
      <c r="E687" s="7" t="s">
        <v>40</v>
      </c>
      <c r="F687" s="7" t="s">
        <v>90</v>
      </c>
      <c r="G687" s="7" t="s">
        <v>49</v>
      </c>
      <c r="H687" s="7" t="s">
        <v>91</v>
      </c>
      <c r="I687" s="7" t="s">
        <v>206</v>
      </c>
      <c r="J687" s="7">
        <v>1</v>
      </c>
      <c r="K687" s="9">
        <v>8141.71</v>
      </c>
      <c r="L687" s="9">
        <v>8141.71</v>
      </c>
      <c r="M687" s="10">
        <v>0</v>
      </c>
      <c r="N687" s="9">
        <v>696.5</v>
      </c>
      <c r="O687" s="9">
        <v>136.5</v>
      </c>
      <c r="P687" s="7" t="s">
        <v>25</v>
      </c>
      <c r="Q687" s="7" t="s">
        <v>26</v>
      </c>
      <c r="R687" s="30">
        <f t="shared" si="10"/>
        <v>8.554713936015898E-2</v>
      </c>
    </row>
    <row r="688" spans="1:18" x14ac:dyDescent="0.35">
      <c r="A688" s="3" t="s">
        <v>1275</v>
      </c>
      <c r="B688" s="4">
        <v>45796</v>
      </c>
      <c r="C688" s="3" t="s">
        <v>538</v>
      </c>
      <c r="D688" s="3" t="s">
        <v>39</v>
      </c>
      <c r="E688" s="3" t="s">
        <v>20</v>
      </c>
      <c r="F688" s="3" t="s">
        <v>54</v>
      </c>
      <c r="G688" s="3" t="s">
        <v>117</v>
      </c>
      <c r="H688" s="3" t="s">
        <v>153</v>
      </c>
      <c r="I688" s="3" t="s">
        <v>296</v>
      </c>
      <c r="J688" s="3">
        <v>1</v>
      </c>
      <c r="K688" s="5">
        <v>1062.2</v>
      </c>
      <c r="L688" s="5">
        <v>1062.2</v>
      </c>
      <c r="M688" s="6">
        <v>0</v>
      </c>
      <c r="N688" s="5">
        <v>334.07</v>
      </c>
      <c r="O688" s="5">
        <v>101.55</v>
      </c>
      <c r="P688" s="3" t="s">
        <v>83</v>
      </c>
      <c r="Q688" s="3" t="s">
        <v>57</v>
      </c>
      <c r="R688" s="30">
        <f t="shared" si="10"/>
        <v>0.31450762568254564</v>
      </c>
    </row>
    <row r="689" spans="1:18" x14ac:dyDescent="0.35">
      <c r="A689" s="7" t="s">
        <v>1276</v>
      </c>
      <c r="B689" s="8">
        <v>45797</v>
      </c>
      <c r="C689" s="7" t="s">
        <v>187</v>
      </c>
      <c r="D689" s="7" t="s">
        <v>39</v>
      </c>
      <c r="E689" s="7" t="s">
        <v>20</v>
      </c>
      <c r="F689" s="7" t="s">
        <v>54</v>
      </c>
      <c r="G689" s="7" t="s">
        <v>42</v>
      </c>
      <c r="H689" s="7" t="s">
        <v>81</v>
      </c>
      <c r="I689" s="7" t="s">
        <v>248</v>
      </c>
      <c r="J689" s="7">
        <v>1</v>
      </c>
      <c r="K689" s="9">
        <v>155.44</v>
      </c>
      <c r="L689" s="9">
        <v>132.12</v>
      </c>
      <c r="M689" s="10">
        <v>15</v>
      </c>
      <c r="N689" s="9">
        <v>19.68</v>
      </c>
      <c r="O689" s="9">
        <v>230.93</v>
      </c>
      <c r="P689" s="7" t="s">
        <v>64</v>
      </c>
      <c r="Q689" s="7" t="s">
        <v>57</v>
      </c>
      <c r="R689" s="30">
        <f t="shared" si="10"/>
        <v>0.14895549500454131</v>
      </c>
    </row>
    <row r="690" spans="1:18" x14ac:dyDescent="0.35">
      <c r="A690" s="3" t="s">
        <v>1277</v>
      </c>
      <c r="B690" s="4">
        <v>45800</v>
      </c>
      <c r="C690" s="3" t="s">
        <v>499</v>
      </c>
      <c r="D690" s="3" t="s">
        <v>39</v>
      </c>
      <c r="E690" s="3" t="s">
        <v>20</v>
      </c>
      <c r="F690" s="3" t="s">
        <v>21</v>
      </c>
      <c r="G690" s="3" t="s">
        <v>117</v>
      </c>
      <c r="H690" s="3" t="s">
        <v>118</v>
      </c>
      <c r="I690" s="3" t="s">
        <v>438</v>
      </c>
      <c r="J690" s="3">
        <v>3</v>
      </c>
      <c r="K690" s="5">
        <v>2116.35</v>
      </c>
      <c r="L690" s="5">
        <v>5714.15</v>
      </c>
      <c r="M690" s="6">
        <v>10</v>
      </c>
      <c r="N690" s="5">
        <v>1576.94</v>
      </c>
      <c r="O690" s="5">
        <v>115.48</v>
      </c>
      <c r="P690" s="3" t="s">
        <v>35</v>
      </c>
      <c r="Q690" s="3" t="s">
        <v>26</v>
      </c>
      <c r="R690" s="30">
        <f t="shared" si="10"/>
        <v>0.27597105431253993</v>
      </c>
    </row>
    <row r="691" spans="1:18" x14ac:dyDescent="0.35">
      <c r="A691" s="7" t="s">
        <v>1278</v>
      </c>
      <c r="B691" s="8">
        <v>45800</v>
      </c>
      <c r="C691" s="7" t="s">
        <v>1255</v>
      </c>
      <c r="D691" s="7" t="s">
        <v>39</v>
      </c>
      <c r="E691" s="7" t="s">
        <v>30</v>
      </c>
      <c r="F691" s="7" t="s">
        <v>226</v>
      </c>
      <c r="G691" s="7" t="s">
        <v>134</v>
      </c>
      <c r="H691" s="7" t="s">
        <v>139</v>
      </c>
      <c r="I691" s="7" t="s">
        <v>147</v>
      </c>
      <c r="J691" s="7">
        <v>1</v>
      </c>
      <c r="K691" s="9">
        <v>545.51</v>
      </c>
      <c r="L691" s="9">
        <v>490.96</v>
      </c>
      <c r="M691" s="10">
        <v>10</v>
      </c>
      <c r="N691" s="9">
        <v>49.34</v>
      </c>
      <c r="O691" s="9">
        <v>75.37</v>
      </c>
      <c r="P691" s="7" t="s">
        <v>64</v>
      </c>
      <c r="Q691" s="7" t="s">
        <v>57</v>
      </c>
      <c r="R691" s="30">
        <f t="shared" si="10"/>
        <v>0.10049698549780024</v>
      </c>
    </row>
    <row r="692" spans="1:18" x14ac:dyDescent="0.35">
      <c r="A692" s="3" t="s">
        <v>1279</v>
      </c>
      <c r="B692" s="4">
        <v>45801</v>
      </c>
      <c r="C692" s="3" t="s">
        <v>538</v>
      </c>
      <c r="D692" s="3" t="s">
        <v>19</v>
      </c>
      <c r="E692" s="3" t="s">
        <v>40</v>
      </c>
      <c r="F692" s="3" t="s">
        <v>41</v>
      </c>
      <c r="G692" s="3" t="s">
        <v>32</v>
      </c>
      <c r="H692" s="3" t="s">
        <v>143</v>
      </c>
      <c r="I692" s="3" t="s">
        <v>321</v>
      </c>
      <c r="J692" s="3">
        <v>1</v>
      </c>
      <c r="K692" s="5">
        <v>11305.55</v>
      </c>
      <c r="L692" s="5">
        <v>11305.55</v>
      </c>
      <c r="M692" s="6">
        <v>0</v>
      </c>
      <c r="N692" s="5">
        <v>1954.17</v>
      </c>
      <c r="O692" s="5">
        <v>173.5</v>
      </c>
      <c r="P692" s="3" t="s">
        <v>45</v>
      </c>
      <c r="Q692" s="3" t="s">
        <v>26</v>
      </c>
      <c r="R692" s="30">
        <f t="shared" si="10"/>
        <v>0.17285050262923965</v>
      </c>
    </row>
    <row r="693" spans="1:18" x14ac:dyDescent="0.35">
      <c r="A693" s="7" t="s">
        <v>1280</v>
      </c>
      <c r="B693" s="8">
        <v>45802</v>
      </c>
      <c r="C693" s="7" t="s">
        <v>1281</v>
      </c>
      <c r="D693" s="7" t="s">
        <v>19</v>
      </c>
      <c r="E693" s="7" t="s">
        <v>60</v>
      </c>
      <c r="F693" s="7" t="s">
        <v>104</v>
      </c>
      <c r="G693" s="7" t="s">
        <v>22</v>
      </c>
      <c r="H693" s="7" t="s">
        <v>23</v>
      </c>
      <c r="I693" s="7" t="s">
        <v>78</v>
      </c>
      <c r="J693" s="7">
        <v>5</v>
      </c>
      <c r="K693" s="9">
        <v>36218.080000000002</v>
      </c>
      <c r="L693" s="9">
        <v>172035.88</v>
      </c>
      <c r="M693" s="10">
        <v>5</v>
      </c>
      <c r="N693" s="9">
        <v>24241.919999999998</v>
      </c>
      <c r="O693" s="9">
        <v>214.39</v>
      </c>
      <c r="P693" s="7" t="s">
        <v>25</v>
      </c>
      <c r="Q693" s="7" t="s">
        <v>26</v>
      </c>
      <c r="R693" s="30">
        <f t="shared" si="10"/>
        <v>0.14091200045013863</v>
      </c>
    </row>
    <row r="694" spans="1:18" x14ac:dyDescent="0.35">
      <c r="A694" s="3" t="s">
        <v>1282</v>
      </c>
      <c r="B694" s="4">
        <v>45804</v>
      </c>
      <c r="C694" s="3" t="s">
        <v>467</v>
      </c>
      <c r="D694" s="3" t="s">
        <v>29</v>
      </c>
      <c r="E694" s="3" t="s">
        <v>60</v>
      </c>
      <c r="F694" s="3" t="s">
        <v>104</v>
      </c>
      <c r="G694" s="3" t="s">
        <v>22</v>
      </c>
      <c r="H694" s="3" t="s">
        <v>23</v>
      </c>
      <c r="I694" s="3" t="s">
        <v>24</v>
      </c>
      <c r="J694" s="3">
        <v>1</v>
      </c>
      <c r="K694" s="5">
        <v>41238.21</v>
      </c>
      <c r="L694" s="5">
        <v>41238.21</v>
      </c>
      <c r="M694" s="6">
        <v>0</v>
      </c>
      <c r="N694" s="5">
        <v>5922.47</v>
      </c>
      <c r="O694" s="5">
        <v>44.54</v>
      </c>
      <c r="P694" s="3" t="s">
        <v>45</v>
      </c>
      <c r="Q694" s="3" t="s">
        <v>57</v>
      </c>
      <c r="R694" s="30">
        <f t="shared" si="10"/>
        <v>0.14361607838943544</v>
      </c>
    </row>
    <row r="695" spans="1:18" x14ac:dyDescent="0.35">
      <c r="A695" s="7" t="s">
        <v>1283</v>
      </c>
      <c r="B695" s="8">
        <v>45805</v>
      </c>
      <c r="C695" s="7" t="s">
        <v>281</v>
      </c>
      <c r="D695" s="7" t="s">
        <v>39</v>
      </c>
      <c r="E695" s="7" t="s">
        <v>40</v>
      </c>
      <c r="F695" s="7" t="s">
        <v>90</v>
      </c>
      <c r="G695" s="7" t="s">
        <v>49</v>
      </c>
      <c r="H695" s="7" t="s">
        <v>98</v>
      </c>
      <c r="I695" s="7" t="s">
        <v>299</v>
      </c>
      <c r="J695" s="7">
        <v>1</v>
      </c>
      <c r="K695" s="9">
        <v>2307.98</v>
      </c>
      <c r="L695" s="9">
        <v>2192.58</v>
      </c>
      <c r="M695" s="10">
        <v>5</v>
      </c>
      <c r="N695" s="9">
        <v>173.41</v>
      </c>
      <c r="O695" s="9">
        <v>336.72</v>
      </c>
      <c r="P695" s="7" t="s">
        <v>35</v>
      </c>
      <c r="Q695" s="7" t="s">
        <v>26</v>
      </c>
      <c r="R695" s="30">
        <f t="shared" si="10"/>
        <v>7.9089474500360302E-2</v>
      </c>
    </row>
    <row r="696" spans="1:18" x14ac:dyDescent="0.35">
      <c r="A696" s="3" t="s">
        <v>1284</v>
      </c>
      <c r="B696" s="4">
        <v>45806</v>
      </c>
      <c r="C696" s="3" t="s">
        <v>235</v>
      </c>
      <c r="D696" s="3" t="s">
        <v>39</v>
      </c>
      <c r="E696" s="3" t="s">
        <v>30</v>
      </c>
      <c r="F696" s="3" t="s">
        <v>31</v>
      </c>
      <c r="G696" s="3" t="s">
        <v>32</v>
      </c>
      <c r="H696" s="3" t="s">
        <v>33</v>
      </c>
      <c r="I696" s="3" t="s">
        <v>69</v>
      </c>
      <c r="J696" s="3">
        <v>4</v>
      </c>
      <c r="K696" s="5">
        <v>11155.26</v>
      </c>
      <c r="L696" s="5">
        <v>44621.04</v>
      </c>
      <c r="M696" s="6">
        <v>0</v>
      </c>
      <c r="N696" s="5">
        <v>10789.58</v>
      </c>
      <c r="O696" s="5">
        <v>150.09</v>
      </c>
      <c r="P696" s="3" t="s">
        <v>35</v>
      </c>
      <c r="Q696" s="3" t="s">
        <v>26</v>
      </c>
      <c r="R696" s="30">
        <f t="shared" si="10"/>
        <v>0.2418047629548751</v>
      </c>
    </row>
    <row r="697" spans="1:18" x14ac:dyDescent="0.35">
      <c r="A697" s="7" t="s">
        <v>1285</v>
      </c>
      <c r="B697" s="8">
        <v>45807</v>
      </c>
      <c r="C697" s="7" t="s">
        <v>67</v>
      </c>
      <c r="D697" s="7" t="s">
        <v>19</v>
      </c>
      <c r="E697" s="7" t="s">
        <v>20</v>
      </c>
      <c r="F697" s="7" t="s">
        <v>21</v>
      </c>
      <c r="G697" s="7" t="s">
        <v>134</v>
      </c>
      <c r="H697" s="7" t="s">
        <v>135</v>
      </c>
      <c r="I697" s="7" t="s">
        <v>382</v>
      </c>
      <c r="J697" s="7">
        <v>1</v>
      </c>
      <c r="K697" s="9">
        <v>2886.57</v>
      </c>
      <c r="L697" s="9">
        <v>2886.57</v>
      </c>
      <c r="M697" s="10">
        <v>0</v>
      </c>
      <c r="N697" s="9">
        <v>744.15</v>
      </c>
      <c r="O697" s="9">
        <v>332.05</v>
      </c>
      <c r="P697" s="7" t="s">
        <v>35</v>
      </c>
      <c r="Q697" s="7" t="s">
        <v>36</v>
      </c>
      <c r="R697" s="30">
        <f t="shared" si="10"/>
        <v>0.25779731653831361</v>
      </c>
    </row>
    <row r="698" spans="1:18" x14ac:dyDescent="0.35">
      <c r="A698" s="3" t="s">
        <v>1286</v>
      </c>
      <c r="B698" s="4">
        <v>45808</v>
      </c>
      <c r="C698" s="3" t="s">
        <v>133</v>
      </c>
      <c r="D698" s="3" t="s">
        <v>39</v>
      </c>
      <c r="E698" s="3" t="s">
        <v>20</v>
      </c>
      <c r="F698" s="3" t="s">
        <v>21</v>
      </c>
      <c r="G698" s="3" t="s">
        <v>32</v>
      </c>
      <c r="H698" s="3" t="s">
        <v>86</v>
      </c>
      <c r="I698" s="3" t="s">
        <v>233</v>
      </c>
      <c r="J698" s="3">
        <v>1</v>
      </c>
      <c r="K698" s="5">
        <v>6354.58</v>
      </c>
      <c r="L698" s="5">
        <v>6036.85</v>
      </c>
      <c r="M698" s="6">
        <v>5</v>
      </c>
      <c r="N698" s="5">
        <v>967.05</v>
      </c>
      <c r="O698" s="5">
        <v>104.63</v>
      </c>
      <c r="P698" s="3" t="s">
        <v>35</v>
      </c>
      <c r="Q698" s="3" t="s">
        <v>65</v>
      </c>
      <c r="R698" s="30">
        <f t="shared" si="10"/>
        <v>0.16019115929665304</v>
      </c>
    </row>
    <row r="699" spans="1:18" x14ac:dyDescent="0.35">
      <c r="A699" s="7" t="s">
        <v>1287</v>
      </c>
      <c r="B699" s="8">
        <v>45813</v>
      </c>
      <c r="C699" s="7" t="s">
        <v>325</v>
      </c>
      <c r="D699" s="7" t="s">
        <v>29</v>
      </c>
      <c r="E699" s="7" t="s">
        <v>60</v>
      </c>
      <c r="F699" s="7" t="s">
        <v>104</v>
      </c>
      <c r="G699" s="7" t="s">
        <v>117</v>
      </c>
      <c r="H699" s="7" t="s">
        <v>125</v>
      </c>
      <c r="I699" s="7" t="s">
        <v>126</v>
      </c>
      <c r="J699" s="7">
        <v>4</v>
      </c>
      <c r="K699" s="9">
        <v>387.68</v>
      </c>
      <c r="L699" s="9">
        <v>1395.65</v>
      </c>
      <c r="M699" s="10">
        <v>10</v>
      </c>
      <c r="N699" s="9">
        <v>232.32</v>
      </c>
      <c r="O699" s="9">
        <v>250.41</v>
      </c>
      <c r="P699" s="7" t="s">
        <v>64</v>
      </c>
      <c r="Q699" s="7" t="s">
        <v>65</v>
      </c>
      <c r="R699" s="30">
        <f t="shared" si="10"/>
        <v>0.16646007236771396</v>
      </c>
    </row>
    <row r="700" spans="1:18" x14ac:dyDescent="0.35">
      <c r="A700" s="3" t="s">
        <v>1288</v>
      </c>
      <c r="B700" s="4">
        <v>45813</v>
      </c>
      <c r="C700" s="3" t="s">
        <v>113</v>
      </c>
      <c r="D700" s="3" t="s">
        <v>29</v>
      </c>
      <c r="E700" s="3" t="s">
        <v>60</v>
      </c>
      <c r="F700" s="3" t="s">
        <v>61</v>
      </c>
      <c r="G700" s="3" t="s">
        <v>49</v>
      </c>
      <c r="H700" s="3" t="s">
        <v>98</v>
      </c>
      <c r="I700" s="3" t="s">
        <v>299</v>
      </c>
      <c r="J700" s="3">
        <v>1</v>
      </c>
      <c r="K700" s="5">
        <v>7586.83</v>
      </c>
      <c r="L700" s="5">
        <v>6448.81</v>
      </c>
      <c r="M700" s="6">
        <v>15</v>
      </c>
      <c r="N700" s="5">
        <v>578.37</v>
      </c>
      <c r="O700" s="5">
        <v>201.67</v>
      </c>
      <c r="P700" s="3" t="s">
        <v>35</v>
      </c>
      <c r="Q700" s="3" t="s">
        <v>65</v>
      </c>
      <c r="R700" s="30">
        <f t="shared" si="10"/>
        <v>8.9686314219212526E-2</v>
      </c>
    </row>
    <row r="701" spans="1:18" x14ac:dyDescent="0.35">
      <c r="A701" s="7" t="s">
        <v>1289</v>
      </c>
      <c r="B701" s="8">
        <v>45815</v>
      </c>
      <c r="C701" s="7" t="s">
        <v>1290</v>
      </c>
      <c r="D701" s="7" t="s">
        <v>39</v>
      </c>
      <c r="E701" s="7" t="s">
        <v>60</v>
      </c>
      <c r="F701" s="7" t="s">
        <v>61</v>
      </c>
      <c r="G701" s="7" t="s">
        <v>49</v>
      </c>
      <c r="H701" s="7" t="s">
        <v>98</v>
      </c>
      <c r="I701" s="7" t="s">
        <v>763</v>
      </c>
      <c r="J701" s="7">
        <v>5</v>
      </c>
      <c r="K701" s="9">
        <v>8594.2900000000009</v>
      </c>
      <c r="L701" s="9">
        <v>40822.879999999997</v>
      </c>
      <c r="M701" s="10">
        <v>5</v>
      </c>
      <c r="N701" s="9">
        <v>5042.99</v>
      </c>
      <c r="O701" s="9">
        <v>240.89</v>
      </c>
      <c r="P701" s="7" t="s">
        <v>35</v>
      </c>
      <c r="Q701" s="7" t="s">
        <v>57</v>
      </c>
      <c r="R701" s="30">
        <f t="shared" si="10"/>
        <v>0.1235334204740087</v>
      </c>
    </row>
    <row r="702" spans="1:18" x14ac:dyDescent="0.35">
      <c r="A702" s="3" t="s">
        <v>1291</v>
      </c>
      <c r="B702" s="4">
        <v>45816</v>
      </c>
      <c r="C702" s="3" t="s">
        <v>1292</v>
      </c>
      <c r="D702" s="3" t="s">
        <v>19</v>
      </c>
      <c r="E702" s="3" t="s">
        <v>40</v>
      </c>
      <c r="F702" s="3" t="s">
        <v>109</v>
      </c>
      <c r="G702" s="3" t="s">
        <v>49</v>
      </c>
      <c r="H702" s="3" t="s">
        <v>62</v>
      </c>
      <c r="I702" s="3" t="s">
        <v>341</v>
      </c>
      <c r="J702" s="3">
        <v>1</v>
      </c>
      <c r="K702" s="5">
        <v>1201.05</v>
      </c>
      <c r="L702" s="5">
        <v>1201.05</v>
      </c>
      <c r="M702" s="6">
        <v>0</v>
      </c>
      <c r="N702" s="5">
        <v>249.48</v>
      </c>
      <c r="O702" s="5">
        <v>65.680000000000007</v>
      </c>
      <c r="P702" s="3" t="s">
        <v>83</v>
      </c>
      <c r="Q702" s="3" t="s">
        <v>26</v>
      </c>
      <c r="R702" s="30">
        <f t="shared" si="10"/>
        <v>0.2077182465342825</v>
      </c>
    </row>
    <row r="703" spans="1:18" x14ac:dyDescent="0.35">
      <c r="A703" s="7" t="s">
        <v>1293</v>
      </c>
      <c r="B703" s="8">
        <v>45819</v>
      </c>
      <c r="C703" s="7" t="s">
        <v>1294</v>
      </c>
      <c r="D703" s="7" t="s">
        <v>39</v>
      </c>
      <c r="E703" s="7" t="s">
        <v>40</v>
      </c>
      <c r="F703" s="7" t="s">
        <v>41</v>
      </c>
      <c r="G703" s="7" t="s">
        <v>134</v>
      </c>
      <c r="H703" s="7" t="s">
        <v>135</v>
      </c>
      <c r="I703" s="7" t="s">
        <v>185</v>
      </c>
      <c r="J703" s="7">
        <v>3</v>
      </c>
      <c r="K703" s="9">
        <v>1149.47</v>
      </c>
      <c r="L703" s="9">
        <v>3448.41</v>
      </c>
      <c r="M703" s="10">
        <v>0</v>
      </c>
      <c r="N703" s="9">
        <v>570.78</v>
      </c>
      <c r="O703" s="9">
        <v>128.77000000000001</v>
      </c>
      <c r="P703" s="7" t="s">
        <v>64</v>
      </c>
      <c r="Q703" s="7" t="s">
        <v>65</v>
      </c>
      <c r="R703" s="30">
        <f t="shared" si="10"/>
        <v>0.16551976128128615</v>
      </c>
    </row>
    <row r="704" spans="1:18" x14ac:dyDescent="0.35">
      <c r="A704" s="3" t="s">
        <v>1295</v>
      </c>
      <c r="B704" s="4">
        <v>45819</v>
      </c>
      <c r="C704" s="3" t="s">
        <v>94</v>
      </c>
      <c r="D704" s="3" t="s">
        <v>29</v>
      </c>
      <c r="E704" s="3" t="s">
        <v>40</v>
      </c>
      <c r="F704" s="3" t="s">
        <v>41</v>
      </c>
      <c r="G704" s="3" t="s">
        <v>134</v>
      </c>
      <c r="H704" s="3" t="s">
        <v>135</v>
      </c>
      <c r="I704" s="3" t="s">
        <v>136</v>
      </c>
      <c r="J704" s="3">
        <v>5</v>
      </c>
      <c r="K704" s="5">
        <v>2685.99</v>
      </c>
      <c r="L704" s="5">
        <v>10743.96</v>
      </c>
      <c r="M704" s="6">
        <v>20</v>
      </c>
      <c r="N704" s="5">
        <v>1391.89</v>
      </c>
      <c r="O704" s="5">
        <v>371.36</v>
      </c>
      <c r="P704" s="3" t="s">
        <v>35</v>
      </c>
      <c r="Q704" s="3" t="s">
        <v>26</v>
      </c>
      <c r="R704" s="30">
        <f t="shared" si="10"/>
        <v>0.12955092908015295</v>
      </c>
    </row>
    <row r="705" spans="1:18" x14ac:dyDescent="0.35">
      <c r="A705" s="7" t="s">
        <v>1296</v>
      </c>
      <c r="B705" s="8">
        <v>45821</v>
      </c>
      <c r="C705" s="7" t="s">
        <v>1297</v>
      </c>
      <c r="D705" s="7" t="s">
        <v>19</v>
      </c>
      <c r="E705" s="7" t="s">
        <v>20</v>
      </c>
      <c r="F705" s="7" t="s">
        <v>54</v>
      </c>
      <c r="G705" s="7" t="s">
        <v>134</v>
      </c>
      <c r="H705" s="7" t="s">
        <v>135</v>
      </c>
      <c r="I705" s="7" t="s">
        <v>382</v>
      </c>
      <c r="J705" s="7">
        <v>4</v>
      </c>
      <c r="K705" s="9">
        <v>2971.5</v>
      </c>
      <c r="L705" s="9">
        <v>11886</v>
      </c>
      <c r="M705" s="10">
        <v>0</v>
      </c>
      <c r="N705" s="9">
        <v>2400.86</v>
      </c>
      <c r="O705" s="9">
        <v>145.74</v>
      </c>
      <c r="P705" s="7" t="s">
        <v>25</v>
      </c>
      <c r="Q705" s="7" t="s">
        <v>65</v>
      </c>
      <c r="R705" s="30">
        <f t="shared" si="10"/>
        <v>0.20199057714958776</v>
      </c>
    </row>
    <row r="706" spans="1:18" x14ac:dyDescent="0.35">
      <c r="A706" s="3" t="s">
        <v>1298</v>
      </c>
      <c r="B706" s="4">
        <v>45822</v>
      </c>
      <c r="C706" s="3" t="s">
        <v>742</v>
      </c>
      <c r="D706" s="3" t="s">
        <v>19</v>
      </c>
      <c r="E706" s="3" t="s">
        <v>40</v>
      </c>
      <c r="F706" s="3" t="s">
        <v>41</v>
      </c>
      <c r="G706" s="3" t="s">
        <v>42</v>
      </c>
      <c r="H706" s="3" t="s">
        <v>43</v>
      </c>
      <c r="I706" s="3" t="s">
        <v>751</v>
      </c>
      <c r="J706" s="3">
        <v>1</v>
      </c>
      <c r="K706" s="5">
        <v>783.38</v>
      </c>
      <c r="L706" s="5">
        <v>783.38</v>
      </c>
      <c r="M706" s="6">
        <v>0</v>
      </c>
      <c r="N706" s="5">
        <v>144.19</v>
      </c>
      <c r="O706" s="5">
        <v>277.24</v>
      </c>
      <c r="P706" s="3" t="s">
        <v>83</v>
      </c>
      <c r="Q706" s="3" t="s">
        <v>26</v>
      </c>
      <c r="R706" s="30">
        <f t="shared" si="10"/>
        <v>0.18406137506701728</v>
      </c>
    </row>
    <row r="707" spans="1:18" x14ac:dyDescent="0.35">
      <c r="A707" s="7" t="s">
        <v>1299</v>
      </c>
      <c r="B707" s="8">
        <v>45824</v>
      </c>
      <c r="C707" s="7" t="s">
        <v>814</v>
      </c>
      <c r="D707" s="7" t="s">
        <v>39</v>
      </c>
      <c r="E707" s="7" t="s">
        <v>30</v>
      </c>
      <c r="F707" s="7" t="s">
        <v>226</v>
      </c>
      <c r="G707" s="7" t="s">
        <v>117</v>
      </c>
      <c r="H707" s="7" t="s">
        <v>153</v>
      </c>
      <c r="I707" s="7" t="s">
        <v>284</v>
      </c>
      <c r="J707" s="7">
        <v>2</v>
      </c>
      <c r="K707" s="9">
        <v>1890.56</v>
      </c>
      <c r="L707" s="9">
        <v>3781.12</v>
      </c>
      <c r="M707" s="10">
        <v>0</v>
      </c>
      <c r="N707" s="9">
        <v>1290.58</v>
      </c>
      <c r="O707" s="9">
        <v>240.23</v>
      </c>
      <c r="P707" s="7" t="s">
        <v>35</v>
      </c>
      <c r="Q707" s="7" t="s">
        <v>26</v>
      </c>
      <c r="R707" s="30">
        <f t="shared" ref="R707:R770" si="11">N707/L707</f>
        <v>0.34132214793500337</v>
      </c>
    </row>
    <row r="708" spans="1:18" x14ac:dyDescent="0.35">
      <c r="A708" s="3" t="s">
        <v>1300</v>
      </c>
      <c r="B708" s="4">
        <v>45826</v>
      </c>
      <c r="C708" s="3" t="s">
        <v>1301</v>
      </c>
      <c r="D708" s="3" t="s">
        <v>39</v>
      </c>
      <c r="E708" s="3" t="s">
        <v>40</v>
      </c>
      <c r="F708" s="3" t="s">
        <v>41</v>
      </c>
      <c r="G708" s="3" t="s">
        <v>49</v>
      </c>
      <c r="H708" s="3" t="s">
        <v>91</v>
      </c>
      <c r="I708" s="3" t="s">
        <v>92</v>
      </c>
      <c r="J708" s="3">
        <v>1</v>
      </c>
      <c r="K708" s="5">
        <v>425.38</v>
      </c>
      <c r="L708" s="5">
        <v>425.38</v>
      </c>
      <c r="M708" s="6">
        <v>0</v>
      </c>
      <c r="N708" s="5">
        <v>73.55</v>
      </c>
      <c r="O708" s="5">
        <v>320.77999999999997</v>
      </c>
      <c r="P708" s="3" t="s">
        <v>83</v>
      </c>
      <c r="Q708" s="3" t="s">
        <v>26</v>
      </c>
      <c r="R708" s="30">
        <f t="shared" si="11"/>
        <v>0.1729042268089708</v>
      </c>
    </row>
    <row r="709" spans="1:18" x14ac:dyDescent="0.35">
      <c r="A709" s="7" t="s">
        <v>1302</v>
      </c>
      <c r="B709" s="8">
        <v>45827</v>
      </c>
      <c r="C709" s="7" t="s">
        <v>623</v>
      </c>
      <c r="D709" s="7" t="s">
        <v>29</v>
      </c>
      <c r="E709" s="7" t="s">
        <v>40</v>
      </c>
      <c r="F709" s="7" t="s">
        <v>109</v>
      </c>
      <c r="G709" s="7" t="s">
        <v>42</v>
      </c>
      <c r="H709" s="7" t="s">
        <v>164</v>
      </c>
      <c r="I709" s="7" t="s">
        <v>199</v>
      </c>
      <c r="J709" s="7">
        <v>1</v>
      </c>
      <c r="K709" s="9">
        <v>911.1</v>
      </c>
      <c r="L709" s="9">
        <v>865.54</v>
      </c>
      <c r="M709" s="10">
        <v>5</v>
      </c>
      <c r="N709" s="9">
        <v>-0.43</v>
      </c>
      <c r="O709" s="9">
        <v>310.85000000000002</v>
      </c>
      <c r="P709" s="7" t="s">
        <v>83</v>
      </c>
      <c r="Q709" s="7" t="s">
        <v>26</v>
      </c>
      <c r="R709" s="30">
        <f t="shared" si="11"/>
        <v>-4.9679968574531505E-4</v>
      </c>
    </row>
    <row r="710" spans="1:18" x14ac:dyDescent="0.35">
      <c r="A710" s="3" t="s">
        <v>1303</v>
      </c>
      <c r="B710" s="4">
        <v>45828</v>
      </c>
      <c r="C710" s="3" t="s">
        <v>532</v>
      </c>
      <c r="D710" s="3" t="s">
        <v>39</v>
      </c>
      <c r="E710" s="3" t="s">
        <v>30</v>
      </c>
      <c r="F710" s="3" t="s">
        <v>48</v>
      </c>
      <c r="G710" s="3" t="s">
        <v>32</v>
      </c>
      <c r="H710" s="3" t="s">
        <v>33</v>
      </c>
      <c r="I710" s="3" t="s">
        <v>34</v>
      </c>
      <c r="J710" s="3">
        <v>2</v>
      </c>
      <c r="K710" s="5">
        <v>7071.89</v>
      </c>
      <c r="L710" s="5">
        <v>14143.78</v>
      </c>
      <c r="M710" s="6">
        <v>0</v>
      </c>
      <c r="N710" s="5">
        <v>1910.49</v>
      </c>
      <c r="O710" s="5">
        <v>198.39</v>
      </c>
      <c r="P710" s="3" t="s">
        <v>35</v>
      </c>
      <c r="Q710" s="3" t="s">
        <v>57</v>
      </c>
      <c r="R710" s="30">
        <f t="shared" si="11"/>
        <v>0.13507633744303149</v>
      </c>
    </row>
    <row r="711" spans="1:18" x14ac:dyDescent="0.35">
      <c r="A711" s="7" t="s">
        <v>1304</v>
      </c>
      <c r="B711" s="8">
        <v>45828</v>
      </c>
      <c r="C711" s="7" t="s">
        <v>1305</v>
      </c>
      <c r="D711" s="7" t="s">
        <v>39</v>
      </c>
      <c r="E711" s="7" t="s">
        <v>30</v>
      </c>
      <c r="F711" s="7" t="s">
        <v>31</v>
      </c>
      <c r="G711" s="7" t="s">
        <v>42</v>
      </c>
      <c r="H711" s="7" t="s">
        <v>43</v>
      </c>
      <c r="I711" s="7" t="s">
        <v>44</v>
      </c>
      <c r="J711" s="7">
        <v>1</v>
      </c>
      <c r="K711" s="9">
        <v>222.79</v>
      </c>
      <c r="L711" s="9">
        <v>211.65</v>
      </c>
      <c r="M711" s="10">
        <v>5</v>
      </c>
      <c r="N711" s="9">
        <v>39.64</v>
      </c>
      <c r="O711" s="9">
        <v>246.36</v>
      </c>
      <c r="P711" s="7" t="s">
        <v>35</v>
      </c>
      <c r="Q711" s="7" t="s">
        <v>65</v>
      </c>
      <c r="R711" s="30">
        <f t="shared" si="11"/>
        <v>0.18729033782187574</v>
      </c>
    </row>
    <row r="712" spans="1:18" x14ac:dyDescent="0.35">
      <c r="A712" s="3" t="s">
        <v>1306</v>
      </c>
      <c r="B712" s="4">
        <v>45828</v>
      </c>
      <c r="C712" s="3" t="s">
        <v>1307</v>
      </c>
      <c r="D712" s="3" t="s">
        <v>39</v>
      </c>
      <c r="E712" s="3" t="s">
        <v>40</v>
      </c>
      <c r="F712" s="3" t="s">
        <v>77</v>
      </c>
      <c r="G712" s="3" t="s">
        <v>42</v>
      </c>
      <c r="H712" s="3" t="s">
        <v>43</v>
      </c>
      <c r="I712" s="3" t="s">
        <v>751</v>
      </c>
      <c r="J712" s="3">
        <v>3</v>
      </c>
      <c r="K712" s="5">
        <v>1098.53</v>
      </c>
      <c r="L712" s="5">
        <v>2966.03</v>
      </c>
      <c r="M712" s="6">
        <v>10</v>
      </c>
      <c r="N712" s="5">
        <v>467.87</v>
      </c>
      <c r="O712" s="5">
        <v>76.510000000000005</v>
      </c>
      <c r="P712" s="3" t="s">
        <v>64</v>
      </c>
      <c r="Q712" s="3" t="s">
        <v>57</v>
      </c>
      <c r="R712" s="30">
        <f t="shared" si="11"/>
        <v>0.15774284144125311</v>
      </c>
    </row>
    <row r="713" spans="1:18" x14ac:dyDescent="0.35">
      <c r="A713" s="7" t="s">
        <v>1308</v>
      </c>
      <c r="B713" s="8">
        <v>45829</v>
      </c>
      <c r="C713" s="7" t="s">
        <v>762</v>
      </c>
      <c r="D713" s="7" t="s">
        <v>39</v>
      </c>
      <c r="E713" s="7" t="s">
        <v>20</v>
      </c>
      <c r="F713" s="7" t="s">
        <v>21</v>
      </c>
      <c r="G713" s="7" t="s">
        <v>49</v>
      </c>
      <c r="H713" s="7" t="s">
        <v>98</v>
      </c>
      <c r="I713" s="7" t="s">
        <v>99</v>
      </c>
      <c r="J713" s="7">
        <v>2</v>
      </c>
      <c r="K713" s="9">
        <v>927.6</v>
      </c>
      <c r="L713" s="9">
        <v>1298.6400000000001</v>
      </c>
      <c r="M713" s="10">
        <v>30</v>
      </c>
      <c r="N713" s="9">
        <v>92.76</v>
      </c>
      <c r="O713" s="9">
        <v>270.77999999999997</v>
      </c>
      <c r="P713" s="7" t="s">
        <v>25</v>
      </c>
      <c r="Q713" s="7" t="s">
        <v>26</v>
      </c>
      <c r="R713" s="30">
        <f t="shared" si="11"/>
        <v>7.1428571428571425E-2</v>
      </c>
    </row>
    <row r="714" spans="1:18" x14ac:dyDescent="0.35">
      <c r="A714" s="3" t="s">
        <v>1309</v>
      </c>
      <c r="B714" s="4">
        <v>45834</v>
      </c>
      <c r="C714" s="3" t="s">
        <v>1310</v>
      </c>
      <c r="D714" s="3" t="s">
        <v>29</v>
      </c>
      <c r="E714" s="3" t="s">
        <v>40</v>
      </c>
      <c r="F714" s="3" t="s">
        <v>90</v>
      </c>
      <c r="G714" s="3" t="s">
        <v>49</v>
      </c>
      <c r="H714" s="3" t="s">
        <v>91</v>
      </c>
      <c r="I714" s="3" t="s">
        <v>206</v>
      </c>
      <c r="J714" s="3">
        <v>3</v>
      </c>
      <c r="K714" s="5">
        <v>1123.01</v>
      </c>
      <c r="L714" s="5">
        <v>3200.58</v>
      </c>
      <c r="M714" s="6">
        <v>5</v>
      </c>
      <c r="N714" s="5">
        <v>665.28</v>
      </c>
      <c r="O714" s="5">
        <v>281.44</v>
      </c>
      <c r="P714" s="3" t="s">
        <v>64</v>
      </c>
      <c r="Q714" s="3" t="s">
        <v>26</v>
      </c>
      <c r="R714" s="30">
        <f t="shared" si="11"/>
        <v>0.20786232495360216</v>
      </c>
    </row>
    <row r="715" spans="1:18" x14ac:dyDescent="0.35">
      <c r="A715" s="7" t="s">
        <v>1311</v>
      </c>
      <c r="B715" s="8">
        <v>45838</v>
      </c>
      <c r="C715" s="7" t="s">
        <v>707</v>
      </c>
      <c r="D715" s="7" t="s">
        <v>39</v>
      </c>
      <c r="E715" s="7" t="s">
        <v>30</v>
      </c>
      <c r="F715" s="7" t="s">
        <v>31</v>
      </c>
      <c r="G715" s="7" t="s">
        <v>117</v>
      </c>
      <c r="H715" s="7" t="s">
        <v>153</v>
      </c>
      <c r="I715" s="7" t="s">
        <v>356</v>
      </c>
      <c r="J715" s="7">
        <v>1</v>
      </c>
      <c r="K715" s="9">
        <v>1286.0899999999999</v>
      </c>
      <c r="L715" s="9">
        <v>1221.79</v>
      </c>
      <c r="M715" s="10">
        <v>5</v>
      </c>
      <c r="N715" s="9">
        <v>327.54000000000002</v>
      </c>
      <c r="O715" s="9">
        <v>273.45</v>
      </c>
      <c r="P715" s="7" t="s">
        <v>35</v>
      </c>
      <c r="Q715" s="7" t="s">
        <v>26</v>
      </c>
      <c r="R715" s="30">
        <f t="shared" si="11"/>
        <v>0.26808207629789083</v>
      </c>
    </row>
    <row r="716" spans="1:18" x14ac:dyDescent="0.35">
      <c r="A716" s="3" t="s">
        <v>1312</v>
      </c>
      <c r="B716" s="4">
        <v>45839</v>
      </c>
      <c r="C716" s="3" t="s">
        <v>990</v>
      </c>
      <c r="D716" s="3" t="s">
        <v>19</v>
      </c>
      <c r="E716" s="3" t="s">
        <v>40</v>
      </c>
      <c r="F716" s="3" t="s">
        <v>41</v>
      </c>
      <c r="G716" s="3" t="s">
        <v>49</v>
      </c>
      <c r="H716" s="3" t="s">
        <v>91</v>
      </c>
      <c r="I716" s="3" t="s">
        <v>168</v>
      </c>
      <c r="J716" s="3">
        <v>4</v>
      </c>
      <c r="K716" s="5">
        <v>9768.86</v>
      </c>
      <c r="L716" s="5">
        <v>39075.440000000002</v>
      </c>
      <c r="M716" s="6">
        <v>0</v>
      </c>
      <c r="N716" s="5">
        <v>8845.48</v>
      </c>
      <c r="O716" s="5">
        <v>274.92</v>
      </c>
      <c r="P716" s="3" t="s">
        <v>64</v>
      </c>
      <c r="Q716" s="3" t="s">
        <v>26</v>
      </c>
      <c r="R716" s="30">
        <f t="shared" si="11"/>
        <v>0.22636930000020472</v>
      </c>
    </row>
    <row r="717" spans="1:18" x14ac:dyDescent="0.35">
      <c r="A717" s="7" t="s">
        <v>1313</v>
      </c>
      <c r="B717" s="8">
        <v>45840</v>
      </c>
      <c r="C717" s="7" t="s">
        <v>509</v>
      </c>
      <c r="D717" s="7" t="s">
        <v>39</v>
      </c>
      <c r="E717" s="7" t="s">
        <v>60</v>
      </c>
      <c r="F717" s="7" t="s">
        <v>104</v>
      </c>
      <c r="G717" s="7" t="s">
        <v>32</v>
      </c>
      <c r="H717" s="7" t="s">
        <v>86</v>
      </c>
      <c r="I717" s="7" t="s">
        <v>87</v>
      </c>
      <c r="J717" s="7">
        <v>3</v>
      </c>
      <c r="K717" s="9">
        <v>8989.52</v>
      </c>
      <c r="L717" s="9">
        <v>22923.279999999999</v>
      </c>
      <c r="M717" s="10">
        <v>15</v>
      </c>
      <c r="N717" s="9">
        <v>2546.0700000000002</v>
      </c>
      <c r="O717" s="9">
        <v>306.06</v>
      </c>
      <c r="P717" s="7" t="s">
        <v>64</v>
      </c>
      <c r="Q717" s="7" t="s">
        <v>57</v>
      </c>
      <c r="R717" s="30">
        <f t="shared" si="11"/>
        <v>0.1110691838166266</v>
      </c>
    </row>
    <row r="718" spans="1:18" x14ac:dyDescent="0.35">
      <c r="A718" s="3" t="s">
        <v>1314</v>
      </c>
      <c r="B718" s="4">
        <v>45841</v>
      </c>
      <c r="C718" s="3" t="s">
        <v>440</v>
      </c>
      <c r="D718" s="3" t="s">
        <v>19</v>
      </c>
      <c r="E718" s="3" t="s">
        <v>20</v>
      </c>
      <c r="F718" s="3" t="s">
        <v>129</v>
      </c>
      <c r="G718" s="3" t="s">
        <v>49</v>
      </c>
      <c r="H718" s="3" t="s">
        <v>50</v>
      </c>
      <c r="I718" s="3" t="s">
        <v>95</v>
      </c>
      <c r="J718" s="3">
        <v>2</v>
      </c>
      <c r="K718" s="5">
        <v>1687.67</v>
      </c>
      <c r="L718" s="5">
        <v>2362.7399999999998</v>
      </c>
      <c r="M718" s="6">
        <v>30</v>
      </c>
      <c r="N718" s="5">
        <v>-32.94</v>
      </c>
      <c r="O718" s="5">
        <v>86.15</v>
      </c>
      <c r="P718" s="3" t="s">
        <v>83</v>
      </c>
      <c r="Q718" s="3" t="s">
        <v>57</v>
      </c>
      <c r="R718" s="30">
        <f t="shared" si="11"/>
        <v>-1.3941440869498972E-2</v>
      </c>
    </row>
    <row r="719" spans="1:18" x14ac:dyDescent="0.35">
      <c r="A719" s="7" t="s">
        <v>1315</v>
      </c>
      <c r="B719" s="8">
        <v>45841</v>
      </c>
      <c r="C719" s="7" t="s">
        <v>159</v>
      </c>
      <c r="D719" s="7" t="s">
        <v>29</v>
      </c>
      <c r="E719" s="7" t="s">
        <v>20</v>
      </c>
      <c r="F719" s="7" t="s">
        <v>54</v>
      </c>
      <c r="G719" s="7" t="s">
        <v>134</v>
      </c>
      <c r="H719" s="7" t="s">
        <v>135</v>
      </c>
      <c r="I719" s="7" t="s">
        <v>382</v>
      </c>
      <c r="J719" s="7">
        <v>1</v>
      </c>
      <c r="K719" s="9">
        <v>698.66</v>
      </c>
      <c r="L719" s="9">
        <v>698.66</v>
      </c>
      <c r="M719" s="10">
        <v>0</v>
      </c>
      <c r="N719" s="9">
        <v>180.14</v>
      </c>
      <c r="O719" s="9">
        <v>304.57</v>
      </c>
      <c r="P719" s="7" t="s">
        <v>35</v>
      </c>
      <c r="Q719" s="7" t="s">
        <v>26</v>
      </c>
      <c r="R719" s="30">
        <f t="shared" si="11"/>
        <v>0.25783642973692494</v>
      </c>
    </row>
    <row r="720" spans="1:18" x14ac:dyDescent="0.35">
      <c r="A720" s="3" t="s">
        <v>1316</v>
      </c>
      <c r="B720" s="4">
        <v>45842</v>
      </c>
      <c r="C720" s="3" t="s">
        <v>937</v>
      </c>
      <c r="D720" s="3" t="s">
        <v>39</v>
      </c>
      <c r="E720" s="3" t="s">
        <v>20</v>
      </c>
      <c r="F720" s="3" t="s">
        <v>54</v>
      </c>
      <c r="G720" s="3" t="s">
        <v>22</v>
      </c>
      <c r="H720" s="3" t="s">
        <v>23</v>
      </c>
      <c r="I720" s="3" t="s">
        <v>78</v>
      </c>
      <c r="J720" s="3">
        <v>1</v>
      </c>
      <c r="K720" s="5">
        <v>60682.19</v>
      </c>
      <c r="L720" s="5">
        <v>48545.75</v>
      </c>
      <c r="M720" s="6">
        <v>20</v>
      </c>
      <c r="N720" s="5">
        <v>5545.56</v>
      </c>
      <c r="O720" s="5">
        <v>267.31</v>
      </c>
      <c r="P720" s="3" t="s">
        <v>25</v>
      </c>
      <c r="Q720" s="3" t="s">
        <v>57</v>
      </c>
      <c r="R720" s="30">
        <f t="shared" si="11"/>
        <v>0.11423368677999619</v>
      </c>
    </row>
    <row r="721" spans="1:18" x14ac:dyDescent="0.35">
      <c r="A721" s="7" t="s">
        <v>1317</v>
      </c>
      <c r="B721" s="8">
        <v>45842</v>
      </c>
      <c r="C721" s="7" t="s">
        <v>1318</v>
      </c>
      <c r="D721" s="7" t="s">
        <v>39</v>
      </c>
      <c r="E721" s="7" t="s">
        <v>40</v>
      </c>
      <c r="F721" s="7" t="s">
        <v>41</v>
      </c>
      <c r="G721" s="7" t="s">
        <v>42</v>
      </c>
      <c r="H721" s="7" t="s">
        <v>172</v>
      </c>
      <c r="I721" s="7" t="s">
        <v>302</v>
      </c>
      <c r="J721" s="7">
        <v>2</v>
      </c>
      <c r="K721" s="9">
        <v>381.51</v>
      </c>
      <c r="L721" s="9">
        <v>572.26</v>
      </c>
      <c r="M721" s="10">
        <v>25</v>
      </c>
      <c r="N721" s="9">
        <v>-32.49</v>
      </c>
      <c r="O721" s="9">
        <v>288.99</v>
      </c>
      <c r="P721" s="7" t="s">
        <v>25</v>
      </c>
      <c r="Q721" s="7" t="s">
        <v>65</v>
      </c>
      <c r="R721" s="30">
        <f t="shared" si="11"/>
        <v>-5.6774892531366868E-2</v>
      </c>
    </row>
    <row r="722" spans="1:18" x14ac:dyDescent="0.35">
      <c r="A722" s="3" t="s">
        <v>1319</v>
      </c>
      <c r="B722" s="4">
        <v>45842</v>
      </c>
      <c r="C722" s="3" t="s">
        <v>695</v>
      </c>
      <c r="D722" s="3" t="s">
        <v>29</v>
      </c>
      <c r="E722" s="3" t="s">
        <v>60</v>
      </c>
      <c r="F722" s="3" t="s">
        <v>72</v>
      </c>
      <c r="G722" s="3" t="s">
        <v>117</v>
      </c>
      <c r="H722" s="3" t="s">
        <v>130</v>
      </c>
      <c r="I722" s="3" t="s">
        <v>310</v>
      </c>
      <c r="J722" s="3">
        <v>2</v>
      </c>
      <c r="K722" s="5">
        <v>1335.16</v>
      </c>
      <c r="L722" s="5">
        <v>2136.2600000000002</v>
      </c>
      <c r="M722" s="6">
        <v>20</v>
      </c>
      <c r="N722" s="5">
        <v>370.5</v>
      </c>
      <c r="O722" s="5">
        <v>269.72000000000003</v>
      </c>
      <c r="P722" s="3" t="s">
        <v>25</v>
      </c>
      <c r="Q722" s="3" t="s">
        <v>57</v>
      </c>
      <c r="R722" s="30">
        <f t="shared" si="11"/>
        <v>0.17343394530628292</v>
      </c>
    </row>
    <row r="723" spans="1:18" x14ac:dyDescent="0.35">
      <c r="A723" s="7" t="s">
        <v>1320</v>
      </c>
      <c r="B723" s="8">
        <v>45842</v>
      </c>
      <c r="C723" s="7" t="s">
        <v>142</v>
      </c>
      <c r="D723" s="7" t="s">
        <v>19</v>
      </c>
      <c r="E723" s="7" t="s">
        <v>40</v>
      </c>
      <c r="F723" s="7" t="s">
        <v>77</v>
      </c>
      <c r="G723" s="7" t="s">
        <v>117</v>
      </c>
      <c r="H723" s="7" t="s">
        <v>130</v>
      </c>
      <c r="I723" s="7" t="s">
        <v>131</v>
      </c>
      <c r="J723" s="7">
        <v>2</v>
      </c>
      <c r="K723" s="9">
        <v>2361.0100000000002</v>
      </c>
      <c r="L723" s="9">
        <v>4485.92</v>
      </c>
      <c r="M723" s="10">
        <v>5</v>
      </c>
      <c r="N723" s="9">
        <v>1234.8800000000001</v>
      </c>
      <c r="O723" s="9">
        <v>310.10000000000002</v>
      </c>
      <c r="P723" s="7" t="s">
        <v>45</v>
      </c>
      <c r="Q723" s="7" t="s">
        <v>26</v>
      </c>
      <c r="R723" s="30">
        <f t="shared" si="11"/>
        <v>0.27527909548097157</v>
      </c>
    </row>
    <row r="724" spans="1:18" x14ac:dyDescent="0.35">
      <c r="A724" s="3" t="s">
        <v>1321</v>
      </c>
      <c r="B724" s="4">
        <v>45844</v>
      </c>
      <c r="C724" s="3" t="s">
        <v>1203</v>
      </c>
      <c r="D724" s="3" t="s">
        <v>39</v>
      </c>
      <c r="E724" s="3" t="s">
        <v>30</v>
      </c>
      <c r="F724" s="3" t="s">
        <v>48</v>
      </c>
      <c r="G724" s="3" t="s">
        <v>32</v>
      </c>
      <c r="H724" s="3" t="s">
        <v>33</v>
      </c>
      <c r="I724" s="3" t="s">
        <v>449</v>
      </c>
      <c r="J724" s="3">
        <v>2</v>
      </c>
      <c r="K724" s="5">
        <v>3830.06</v>
      </c>
      <c r="L724" s="5">
        <v>7277.11</v>
      </c>
      <c r="M724" s="6">
        <v>5</v>
      </c>
      <c r="N724" s="5">
        <v>935.07</v>
      </c>
      <c r="O724" s="5">
        <v>248.53</v>
      </c>
      <c r="P724" s="3" t="s">
        <v>64</v>
      </c>
      <c r="Q724" s="3" t="s">
        <v>36</v>
      </c>
      <c r="R724" s="30">
        <f t="shared" si="11"/>
        <v>0.12849469088690429</v>
      </c>
    </row>
    <row r="725" spans="1:18" x14ac:dyDescent="0.35">
      <c r="A725" s="7" t="s">
        <v>1322</v>
      </c>
      <c r="B725" s="8">
        <v>45845</v>
      </c>
      <c r="C725" s="7" t="s">
        <v>53</v>
      </c>
      <c r="D725" s="7" t="s">
        <v>29</v>
      </c>
      <c r="E725" s="7" t="s">
        <v>20</v>
      </c>
      <c r="F725" s="7" t="s">
        <v>54</v>
      </c>
      <c r="G725" s="7" t="s">
        <v>117</v>
      </c>
      <c r="H725" s="7" t="s">
        <v>153</v>
      </c>
      <c r="I725" s="7" t="s">
        <v>284</v>
      </c>
      <c r="J725" s="7">
        <v>2</v>
      </c>
      <c r="K725" s="9">
        <v>1229.49</v>
      </c>
      <c r="L725" s="9">
        <v>2090.13</v>
      </c>
      <c r="M725" s="10">
        <v>15</v>
      </c>
      <c r="N725" s="9">
        <v>268.70999999999998</v>
      </c>
      <c r="O725" s="9">
        <v>241.31</v>
      </c>
      <c r="P725" s="7" t="s">
        <v>83</v>
      </c>
      <c r="Q725" s="7" t="s">
        <v>26</v>
      </c>
      <c r="R725" s="30">
        <f t="shared" si="11"/>
        <v>0.12856138134948542</v>
      </c>
    </row>
    <row r="726" spans="1:18" x14ac:dyDescent="0.35">
      <c r="A726" s="3" t="s">
        <v>1323</v>
      </c>
      <c r="B726" s="4">
        <v>45846</v>
      </c>
      <c r="C726" s="3" t="s">
        <v>1324</v>
      </c>
      <c r="D726" s="3" t="s">
        <v>19</v>
      </c>
      <c r="E726" s="3" t="s">
        <v>30</v>
      </c>
      <c r="F726" s="3" t="s">
        <v>31</v>
      </c>
      <c r="G726" s="3" t="s">
        <v>32</v>
      </c>
      <c r="H726" s="3" t="s">
        <v>33</v>
      </c>
      <c r="I726" s="3" t="s">
        <v>449</v>
      </c>
      <c r="J726" s="3">
        <v>2</v>
      </c>
      <c r="K726" s="5">
        <v>6834.89</v>
      </c>
      <c r="L726" s="5">
        <v>12302.8</v>
      </c>
      <c r="M726" s="6">
        <v>10</v>
      </c>
      <c r="N726" s="5">
        <v>2185.96</v>
      </c>
      <c r="O726" s="5">
        <v>176.45</v>
      </c>
      <c r="P726" s="3" t="s">
        <v>45</v>
      </c>
      <c r="Q726" s="3" t="s">
        <v>65</v>
      </c>
      <c r="R726" s="30">
        <f t="shared" si="11"/>
        <v>0.1776798777514062</v>
      </c>
    </row>
    <row r="727" spans="1:18" x14ac:dyDescent="0.35">
      <c r="A727" s="7" t="s">
        <v>1325</v>
      </c>
      <c r="B727" s="8">
        <v>45848</v>
      </c>
      <c r="C727" s="7" t="s">
        <v>289</v>
      </c>
      <c r="D727" s="7" t="s">
        <v>39</v>
      </c>
      <c r="E727" s="7" t="s">
        <v>20</v>
      </c>
      <c r="F727" s="7" t="s">
        <v>54</v>
      </c>
      <c r="G727" s="7" t="s">
        <v>134</v>
      </c>
      <c r="H727" s="7" t="s">
        <v>244</v>
      </c>
      <c r="I727" s="7" t="s">
        <v>334</v>
      </c>
      <c r="J727" s="7">
        <v>3</v>
      </c>
      <c r="K727" s="9">
        <v>4454.71</v>
      </c>
      <c r="L727" s="9">
        <v>9354.89</v>
      </c>
      <c r="M727" s="10">
        <v>30</v>
      </c>
      <c r="N727" s="9">
        <v>473.02</v>
      </c>
      <c r="O727" s="9">
        <v>134.1</v>
      </c>
      <c r="P727" s="7" t="s">
        <v>25</v>
      </c>
      <c r="Q727" s="7" t="s">
        <v>57</v>
      </c>
      <c r="R727" s="30">
        <f t="shared" si="11"/>
        <v>5.0563929666730449E-2</v>
      </c>
    </row>
    <row r="728" spans="1:18" x14ac:dyDescent="0.35">
      <c r="A728" s="3" t="s">
        <v>1326</v>
      </c>
      <c r="B728" s="4">
        <v>45848</v>
      </c>
      <c r="C728" s="3" t="s">
        <v>1327</v>
      </c>
      <c r="D728" s="3" t="s">
        <v>39</v>
      </c>
      <c r="E728" s="3" t="s">
        <v>20</v>
      </c>
      <c r="F728" s="3" t="s">
        <v>21</v>
      </c>
      <c r="G728" s="3" t="s">
        <v>49</v>
      </c>
      <c r="H728" s="3" t="s">
        <v>98</v>
      </c>
      <c r="I728" s="3" t="s">
        <v>763</v>
      </c>
      <c r="J728" s="3">
        <v>3</v>
      </c>
      <c r="K728" s="5">
        <v>13122.51</v>
      </c>
      <c r="L728" s="5">
        <v>33462.400000000001</v>
      </c>
      <c r="M728" s="6">
        <v>15</v>
      </c>
      <c r="N728" s="5">
        <v>4766.2299999999996</v>
      </c>
      <c r="O728" s="5">
        <v>69.36</v>
      </c>
      <c r="P728" s="3" t="s">
        <v>35</v>
      </c>
      <c r="Q728" s="3" t="s">
        <v>26</v>
      </c>
      <c r="R728" s="30">
        <f t="shared" si="11"/>
        <v>0.1424353901692646</v>
      </c>
    </row>
    <row r="729" spans="1:18" x14ac:dyDescent="0.35">
      <c r="A729" s="7" t="s">
        <v>1328</v>
      </c>
      <c r="B729" s="8">
        <v>45849</v>
      </c>
      <c r="C729" s="7" t="s">
        <v>1125</v>
      </c>
      <c r="D729" s="7" t="s">
        <v>29</v>
      </c>
      <c r="E729" s="7" t="s">
        <v>20</v>
      </c>
      <c r="F729" s="7" t="s">
        <v>54</v>
      </c>
      <c r="G729" s="7" t="s">
        <v>22</v>
      </c>
      <c r="H729" s="7" t="s">
        <v>110</v>
      </c>
      <c r="I729" s="7" t="s">
        <v>542</v>
      </c>
      <c r="J729" s="7">
        <v>2</v>
      </c>
      <c r="K729" s="9">
        <v>6061.58</v>
      </c>
      <c r="L729" s="9">
        <v>8486.2099999999991</v>
      </c>
      <c r="M729" s="10">
        <v>30</v>
      </c>
      <c r="N729" s="9">
        <v>-1312.22</v>
      </c>
      <c r="O729" s="9">
        <v>345.97</v>
      </c>
      <c r="P729" s="7" t="s">
        <v>64</v>
      </c>
      <c r="Q729" s="7" t="s">
        <v>26</v>
      </c>
      <c r="R729" s="30">
        <f t="shared" si="11"/>
        <v>-0.1546296874576519</v>
      </c>
    </row>
    <row r="730" spans="1:18" x14ac:dyDescent="0.35">
      <c r="A730" s="3" t="s">
        <v>1329</v>
      </c>
      <c r="B730" s="4">
        <v>45850</v>
      </c>
      <c r="C730" s="3" t="s">
        <v>742</v>
      </c>
      <c r="D730" s="3" t="s">
        <v>19</v>
      </c>
      <c r="E730" s="3" t="s">
        <v>60</v>
      </c>
      <c r="F730" s="3" t="s">
        <v>72</v>
      </c>
      <c r="G730" s="3" t="s">
        <v>22</v>
      </c>
      <c r="H730" s="3" t="s">
        <v>55</v>
      </c>
      <c r="I730" s="3" t="s">
        <v>399</v>
      </c>
      <c r="J730" s="3">
        <v>1</v>
      </c>
      <c r="K730" s="5">
        <v>13694.64</v>
      </c>
      <c r="L730" s="5">
        <v>13694.64</v>
      </c>
      <c r="M730" s="6">
        <v>0</v>
      </c>
      <c r="N730" s="5">
        <v>885.15</v>
      </c>
      <c r="O730" s="5">
        <v>317.02999999999997</v>
      </c>
      <c r="P730" s="3" t="s">
        <v>64</v>
      </c>
      <c r="Q730" s="3" t="s">
        <v>26</v>
      </c>
      <c r="R730" s="30">
        <f t="shared" si="11"/>
        <v>6.4634776817791492E-2</v>
      </c>
    </row>
    <row r="731" spans="1:18" x14ac:dyDescent="0.35">
      <c r="A731" s="7" t="s">
        <v>1330</v>
      </c>
      <c r="B731" s="8">
        <v>45850</v>
      </c>
      <c r="C731" s="7" t="s">
        <v>1331</v>
      </c>
      <c r="D731" s="7" t="s">
        <v>39</v>
      </c>
      <c r="E731" s="7" t="s">
        <v>30</v>
      </c>
      <c r="F731" s="7" t="s">
        <v>31</v>
      </c>
      <c r="G731" s="7" t="s">
        <v>42</v>
      </c>
      <c r="H731" s="7" t="s">
        <v>43</v>
      </c>
      <c r="I731" s="7" t="s">
        <v>208</v>
      </c>
      <c r="J731" s="7">
        <v>3</v>
      </c>
      <c r="K731" s="9">
        <v>370.83</v>
      </c>
      <c r="L731" s="9">
        <v>1001.24</v>
      </c>
      <c r="M731" s="10">
        <v>10</v>
      </c>
      <c r="N731" s="9">
        <v>51.43</v>
      </c>
      <c r="O731" s="9">
        <v>336.98</v>
      </c>
      <c r="P731" s="7" t="s">
        <v>64</v>
      </c>
      <c r="Q731" s="7" t="s">
        <v>65</v>
      </c>
      <c r="R731" s="30">
        <f t="shared" si="11"/>
        <v>5.1366305780831768E-2</v>
      </c>
    </row>
    <row r="732" spans="1:18" x14ac:dyDescent="0.35">
      <c r="A732" s="3" t="s">
        <v>1332</v>
      </c>
      <c r="B732" s="4">
        <v>45851</v>
      </c>
      <c r="C732" s="3" t="s">
        <v>192</v>
      </c>
      <c r="D732" s="3" t="s">
        <v>39</v>
      </c>
      <c r="E732" s="3" t="s">
        <v>60</v>
      </c>
      <c r="F732" s="3" t="s">
        <v>72</v>
      </c>
      <c r="G732" s="3" t="s">
        <v>42</v>
      </c>
      <c r="H732" s="3" t="s">
        <v>172</v>
      </c>
      <c r="I732" s="3" t="s">
        <v>1014</v>
      </c>
      <c r="J732" s="3">
        <v>2</v>
      </c>
      <c r="K732" s="5">
        <v>577.01</v>
      </c>
      <c r="L732" s="5">
        <v>1154.02</v>
      </c>
      <c r="M732" s="6">
        <v>0</v>
      </c>
      <c r="N732" s="5">
        <v>174.89</v>
      </c>
      <c r="O732" s="5">
        <v>115.12</v>
      </c>
      <c r="P732" s="3" t="s">
        <v>64</v>
      </c>
      <c r="Q732" s="3" t="s">
        <v>57</v>
      </c>
      <c r="R732" s="30">
        <f t="shared" si="11"/>
        <v>0.15154850002599607</v>
      </c>
    </row>
    <row r="733" spans="1:18" x14ac:dyDescent="0.35">
      <c r="A733" s="7" t="s">
        <v>1333</v>
      </c>
      <c r="B733" s="8">
        <v>45852</v>
      </c>
      <c r="C733" s="7" t="s">
        <v>1007</v>
      </c>
      <c r="D733" s="7" t="s">
        <v>39</v>
      </c>
      <c r="E733" s="7" t="s">
        <v>40</v>
      </c>
      <c r="F733" s="7" t="s">
        <v>41</v>
      </c>
      <c r="G733" s="7" t="s">
        <v>117</v>
      </c>
      <c r="H733" s="7" t="s">
        <v>125</v>
      </c>
      <c r="I733" s="7" t="s">
        <v>126</v>
      </c>
      <c r="J733" s="7">
        <v>5</v>
      </c>
      <c r="K733" s="9">
        <v>930.45</v>
      </c>
      <c r="L733" s="9">
        <v>4419.6400000000003</v>
      </c>
      <c r="M733" s="10">
        <v>5</v>
      </c>
      <c r="N733" s="9">
        <v>1104.96</v>
      </c>
      <c r="O733" s="9">
        <v>104.99</v>
      </c>
      <c r="P733" s="7" t="s">
        <v>45</v>
      </c>
      <c r="Q733" s="7" t="s">
        <v>57</v>
      </c>
      <c r="R733" s="30">
        <f t="shared" si="11"/>
        <v>0.25001131313862668</v>
      </c>
    </row>
    <row r="734" spans="1:18" x14ac:dyDescent="0.35">
      <c r="A734" s="3" t="s">
        <v>1334</v>
      </c>
      <c r="B734" s="4">
        <v>45852</v>
      </c>
      <c r="C734" s="3" t="s">
        <v>1335</v>
      </c>
      <c r="D734" s="3" t="s">
        <v>39</v>
      </c>
      <c r="E734" s="3" t="s">
        <v>40</v>
      </c>
      <c r="F734" s="3" t="s">
        <v>77</v>
      </c>
      <c r="G734" s="3" t="s">
        <v>32</v>
      </c>
      <c r="H734" s="3" t="s">
        <v>73</v>
      </c>
      <c r="I734" s="3" t="s">
        <v>230</v>
      </c>
      <c r="J734" s="3">
        <v>1</v>
      </c>
      <c r="K734" s="5">
        <v>3875.31</v>
      </c>
      <c r="L734" s="5">
        <v>3100.25</v>
      </c>
      <c r="M734" s="6">
        <v>20</v>
      </c>
      <c r="N734" s="5">
        <v>51.02</v>
      </c>
      <c r="O734" s="5">
        <v>166.57</v>
      </c>
      <c r="P734" s="3" t="s">
        <v>35</v>
      </c>
      <c r="Q734" s="3" t="s">
        <v>57</v>
      </c>
      <c r="R734" s="30">
        <f t="shared" si="11"/>
        <v>1.6456737359890332E-2</v>
      </c>
    </row>
    <row r="735" spans="1:18" x14ac:dyDescent="0.35">
      <c r="A735" s="7" t="s">
        <v>1336</v>
      </c>
      <c r="B735" s="8">
        <v>45852</v>
      </c>
      <c r="C735" s="7" t="s">
        <v>1337</v>
      </c>
      <c r="D735" s="7" t="s">
        <v>29</v>
      </c>
      <c r="E735" s="7" t="s">
        <v>30</v>
      </c>
      <c r="F735" s="7" t="s">
        <v>31</v>
      </c>
      <c r="G735" s="7" t="s">
        <v>42</v>
      </c>
      <c r="H735" s="7" t="s">
        <v>172</v>
      </c>
      <c r="I735" s="7" t="s">
        <v>302</v>
      </c>
      <c r="J735" s="7">
        <v>1</v>
      </c>
      <c r="K735" s="9">
        <v>541.9</v>
      </c>
      <c r="L735" s="9">
        <v>379.33</v>
      </c>
      <c r="M735" s="10">
        <v>30</v>
      </c>
      <c r="N735" s="9">
        <v>0.97</v>
      </c>
      <c r="O735" s="9">
        <v>232.24</v>
      </c>
      <c r="P735" s="7" t="s">
        <v>25</v>
      </c>
      <c r="Q735" s="7" t="s">
        <v>36</v>
      </c>
      <c r="R735" s="30">
        <f t="shared" si="11"/>
        <v>2.5571402209158254E-3</v>
      </c>
    </row>
    <row r="736" spans="1:18" x14ac:dyDescent="0.35">
      <c r="A736" s="3" t="s">
        <v>1338</v>
      </c>
      <c r="B736" s="4">
        <v>45854</v>
      </c>
      <c r="C736" s="3" t="s">
        <v>1130</v>
      </c>
      <c r="D736" s="3" t="s">
        <v>19</v>
      </c>
      <c r="E736" s="3" t="s">
        <v>40</v>
      </c>
      <c r="F736" s="3" t="s">
        <v>90</v>
      </c>
      <c r="G736" s="3" t="s">
        <v>49</v>
      </c>
      <c r="H736" s="3" t="s">
        <v>62</v>
      </c>
      <c r="I736" s="3" t="s">
        <v>424</v>
      </c>
      <c r="J736" s="3">
        <v>3</v>
      </c>
      <c r="K736" s="5">
        <v>5759.96</v>
      </c>
      <c r="L736" s="5">
        <v>12095.92</v>
      </c>
      <c r="M736" s="6">
        <v>30</v>
      </c>
      <c r="N736" s="5">
        <v>896.27</v>
      </c>
      <c r="O736" s="5">
        <v>207.75</v>
      </c>
      <c r="P736" s="3" t="s">
        <v>25</v>
      </c>
      <c r="Q736" s="3" t="s">
        <v>26</v>
      </c>
      <c r="R736" s="30">
        <f t="shared" si="11"/>
        <v>7.4096885561412446E-2</v>
      </c>
    </row>
    <row r="737" spans="1:18" x14ac:dyDescent="0.35">
      <c r="A737" s="7" t="s">
        <v>1339</v>
      </c>
      <c r="B737" s="8">
        <v>45855</v>
      </c>
      <c r="C737" s="7" t="s">
        <v>1060</v>
      </c>
      <c r="D737" s="7" t="s">
        <v>19</v>
      </c>
      <c r="E737" s="7" t="s">
        <v>20</v>
      </c>
      <c r="F737" s="7" t="s">
        <v>54</v>
      </c>
      <c r="G737" s="7" t="s">
        <v>49</v>
      </c>
      <c r="H737" s="7" t="s">
        <v>62</v>
      </c>
      <c r="I737" s="7" t="s">
        <v>122</v>
      </c>
      <c r="J737" s="7">
        <v>1</v>
      </c>
      <c r="K737" s="9">
        <v>8601.99</v>
      </c>
      <c r="L737" s="9">
        <v>8601.99</v>
      </c>
      <c r="M737" s="10">
        <v>0</v>
      </c>
      <c r="N737" s="9">
        <v>1305.1099999999999</v>
      </c>
      <c r="O737" s="9">
        <v>252.57</v>
      </c>
      <c r="P737" s="7" t="s">
        <v>35</v>
      </c>
      <c r="Q737" s="7" t="s">
        <v>57</v>
      </c>
      <c r="R737" s="30">
        <f t="shared" si="11"/>
        <v>0.15172186900938037</v>
      </c>
    </row>
    <row r="738" spans="1:18" x14ac:dyDescent="0.35">
      <c r="A738" s="3" t="s">
        <v>1340</v>
      </c>
      <c r="B738" s="4">
        <v>45857</v>
      </c>
      <c r="C738" s="3" t="s">
        <v>1120</v>
      </c>
      <c r="D738" s="3" t="s">
        <v>39</v>
      </c>
      <c r="E738" s="3" t="s">
        <v>30</v>
      </c>
      <c r="F738" s="3" t="s">
        <v>226</v>
      </c>
      <c r="G738" s="3" t="s">
        <v>117</v>
      </c>
      <c r="H738" s="3" t="s">
        <v>125</v>
      </c>
      <c r="I738" s="3" t="s">
        <v>126</v>
      </c>
      <c r="J738" s="3">
        <v>1</v>
      </c>
      <c r="K738" s="5">
        <v>1800.87</v>
      </c>
      <c r="L738" s="5">
        <v>1710.83</v>
      </c>
      <c r="M738" s="6">
        <v>5</v>
      </c>
      <c r="N738" s="5">
        <v>352.1</v>
      </c>
      <c r="O738" s="5">
        <v>226.8</v>
      </c>
      <c r="P738" s="3" t="s">
        <v>35</v>
      </c>
      <c r="Q738" s="3" t="s">
        <v>26</v>
      </c>
      <c r="R738" s="30">
        <f t="shared" si="11"/>
        <v>0.20580653834688428</v>
      </c>
    </row>
    <row r="739" spans="1:18" x14ac:dyDescent="0.35">
      <c r="A739" s="7" t="s">
        <v>1341</v>
      </c>
      <c r="B739" s="8">
        <v>45862</v>
      </c>
      <c r="C739" s="7" t="s">
        <v>1342</v>
      </c>
      <c r="D739" s="7" t="s">
        <v>39</v>
      </c>
      <c r="E739" s="7" t="s">
        <v>30</v>
      </c>
      <c r="F739" s="7" t="s">
        <v>31</v>
      </c>
      <c r="G739" s="7" t="s">
        <v>22</v>
      </c>
      <c r="H739" s="7" t="s">
        <v>23</v>
      </c>
      <c r="I739" s="7" t="s">
        <v>78</v>
      </c>
      <c r="J739" s="7">
        <v>1</v>
      </c>
      <c r="K739" s="9">
        <v>26820.82</v>
      </c>
      <c r="L739" s="9">
        <v>26820.82</v>
      </c>
      <c r="M739" s="10">
        <v>0</v>
      </c>
      <c r="N739" s="9">
        <v>2960.5</v>
      </c>
      <c r="O739" s="9">
        <v>298.10000000000002</v>
      </c>
      <c r="P739" s="7" t="s">
        <v>35</v>
      </c>
      <c r="Q739" s="7" t="s">
        <v>65</v>
      </c>
      <c r="R739" s="30">
        <f t="shared" si="11"/>
        <v>0.11038066695947402</v>
      </c>
    </row>
    <row r="740" spans="1:18" x14ac:dyDescent="0.35">
      <c r="A740" s="3" t="s">
        <v>1343</v>
      </c>
      <c r="B740" s="4">
        <v>45862</v>
      </c>
      <c r="C740" s="3" t="s">
        <v>1344</v>
      </c>
      <c r="D740" s="3" t="s">
        <v>39</v>
      </c>
      <c r="E740" s="3" t="s">
        <v>60</v>
      </c>
      <c r="F740" s="3" t="s">
        <v>61</v>
      </c>
      <c r="G740" s="3" t="s">
        <v>32</v>
      </c>
      <c r="H740" s="3" t="s">
        <v>86</v>
      </c>
      <c r="I740" s="3" t="s">
        <v>233</v>
      </c>
      <c r="J740" s="3">
        <v>3</v>
      </c>
      <c r="K740" s="5">
        <v>8486.7800000000007</v>
      </c>
      <c r="L740" s="5">
        <v>20368.27</v>
      </c>
      <c r="M740" s="6">
        <v>20</v>
      </c>
      <c r="N740" s="5">
        <v>1886.5</v>
      </c>
      <c r="O740" s="5">
        <v>267.56</v>
      </c>
      <c r="P740" s="3" t="s">
        <v>35</v>
      </c>
      <c r="Q740" s="3" t="s">
        <v>26</v>
      </c>
      <c r="R740" s="30">
        <f t="shared" si="11"/>
        <v>9.2619549917592414E-2</v>
      </c>
    </row>
    <row r="741" spans="1:18" x14ac:dyDescent="0.35">
      <c r="A741" s="7" t="s">
        <v>1345</v>
      </c>
      <c r="B741" s="8">
        <v>45864</v>
      </c>
      <c r="C741" s="7" t="s">
        <v>484</v>
      </c>
      <c r="D741" s="7" t="s">
        <v>19</v>
      </c>
      <c r="E741" s="7" t="s">
        <v>40</v>
      </c>
      <c r="F741" s="7" t="s">
        <v>90</v>
      </c>
      <c r="G741" s="7" t="s">
        <v>49</v>
      </c>
      <c r="H741" s="7" t="s">
        <v>98</v>
      </c>
      <c r="I741" s="7" t="s">
        <v>763</v>
      </c>
      <c r="J741" s="7">
        <v>2</v>
      </c>
      <c r="K741" s="9">
        <v>7272.03</v>
      </c>
      <c r="L741" s="9">
        <v>13816.86</v>
      </c>
      <c r="M741" s="10">
        <v>5</v>
      </c>
      <c r="N741" s="9">
        <v>2483.31</v>
      </c>
      <c r="O741" s="9">
        <v>59.61</v>
      </c>
      <c r="P741" s="7" t="s">
        <v>25</v>
      </c>
      <c r="Q741" s="7" t="s">
        <v>26</v>
      </c>
      <c r="R741" s="30">
        <f t="shared" si="11"/>
        <v>0.17973041631745562</v>
      </c>
    </row>
    <row r="742" spans="1:18" x14ac:dyDescent="0.35">
      <c r="A742" s="3" t="s">
        <v>1346</v>
      </c>
      <c r="B742" s="4">
        <v>45864</v>
      </c>
      <c r="C742" s="3" t="s">
        <v>1179</v>
      </c>
      <c r="D742" s="3" t="s">
        <v>39</v>
      </c>
      <c r="E742" s="3" t="s">
        <v>60</v>
      </c>
      <c r="F742" s="3" t="s">
        <v>72</v>
      </c>
      <c r="G742" s="3" t="s">
        <v>117</v>
      </c>
      <c r="H742" s="3" t="s">
        <v>153</v>
      </c>
      <c r="I742" s="3" t="s">
        <v>154</v>
      </c>
      <c r="J742" s="3">
        <v>5</v>
      </c>
      <c r="K742" s="5">
        <v>2382.86</v>
      </c>
      <c r="L742" s="5">
        <v>11914.3</v>
      </c>
      <c r="M742" s="6">
        <v>0</v>
      </c>
      <c r="N742" s="5">
        <v>2907.49</v>
      </c>
      <c r="O742" s="5">
        <v>397.94</v>
      </c>
      <c r="P742" s="3" t="s">
        <v>25</v>
      </c>
      <c r="Q742" s="3" t="s">
        <v>57</v>
      </c>
      <c r="R742" s="30">
        <f t="shared" si="11"/>
        <v>0.24403364024743376</v>
      </c>
    </row>
    <row r="743" spans="1:18" x14ac:dyDescent="0.35">
      <c r="A743" s="7" t="s">
        <v>1347</v>
      </c>
      <c r="B743" s="8">
        <v>45865</v>
      </c>
      <c r="C743" s="7" t="s">
        <v>674</v>
      </c>
      <c r="D743" s="7" t="s">
        <v>39</v>
      </c>
      <c r="E743" s="7" t="s">
        <v>30</v>
      </c>
      <c r="F743" s="7" t="s">
        <v>31</v>
      </c>
      <c r="G743" s="7" t="s">
        <v>134</v>
      </c>
      <c r="H743" s="7" t="s">
        <v>91</v>
      </c>
      <c r="I743" s="7" t="s">
        <v>188</v>
      </c>
      <c r="J743" s="7">
        <v>1</v>
      </c>
      <c r="K743" s="9">
        <v>957.2</v>
      </c>
      <c r="L743" s="9">
        <v>765.76</v>
      </c>
      <c r="M743" s="10">
        <v>20</v>
      </c>
      <c r="N743" s="9">
        <v>152.76</v>
      </c>
      <c r="O743" s="9">
        <v>181.65</v>
      </c>
      <c r="P743" s="7" t="s">
        <v>64</v>
      </c>
      <c r="Q743" s="7" t="s">
        <v>65</v>
      </c>
      <c r="R743" s="30">
        <f t="shared" si="11"/>
        <v>0.19948809026326786</v>
      </c>
    </row>
    <row r="744" spans="1:18" x14ac:dyDescent="0.35">
      <c r="A744" s="3" t="s">
        <v>1348</v>
      </c>
      <c r="B744" s="4">
        <v>45865</v>
      </c>
      <c r="C744" s="3" t="s">
        <v>401</v>
      </c>
      <c r="D744" s="3" t="s">
        <v>19</v>
      </c>
      <c r="E744" s="3" t="s">
        <v>40</v>
      </c>
      <c r="F744" s="3" t="s">
        <v>109</v>
      </c>
      <c r="G744" s="3" t="s">
        <v>134</v>
      </c>
      <c r="H744" s="3" t="s">
        <v>139</v>
      </c>
      <c r="I744" s="3" t="s">
        <v>147</v>
      </c>
      <c r="J744" s="3">
        <v>1</v>
      </c>
      <c r="K744" s="5">
        <v>2960.3</v>
      </c>
      <c r="L744" s="5">
        <v>2220.23</v>
      </c>
      <c r="M744" s="6">
        <v>25</v>
      </c>
      <c r="N744" s="5">
        <v>99.72</v>
      </c>
      <c r="O744" s="5">
        <v>308.87</v>
      </c>
      <c r="P744" s="3" t="s">
        <v>83</v>
      </c>
      <c r="Q744" s="3" t="s">
        <v>57</v>
      </c>
      <c r="R744" s="30">
        <f t="shared" si="11"/>
        <v>4.4914265639145495E-2</v>
      </c>
    </row>
    <row r="745" spans="1:18" x14ac:dyDescent="0.35">
      <c r="A745" s="7" t="s">
        <v>1349</v>
      </c>
      <c r="B745" s="8">
        <v>45865</v>
      </c>
      <c r="C745" s="7" t="s">
        <v>1132</v>
      </c>
      <c r="D745" s="7" t="s">
        <v>39</v>
      </c>
      <c r="E745" s="7" t="s">
        <v>20</v>
      </c>
      <c r="F745" s="7" t="s">
        <v>129</v>
      </c>
      <c r="G745" s="7" t="s">
        <v>42</v>
      </c>
      <c r="H745" s="7" t="s">
        <v>43</v>
      </c>
      <c r="I745" s="7" t="s">
        <v>751</v>
      </c>
      <c r="J745" s="7">
        <v>1</v>
      </c>
      <c r="K745" s="9">
        <v>655.41</v>
      </c>
      <c r="L745" s="9">
        <v>655.41</v>
      </c>
      <c r="M745" s="10">
        <v>0</v>
      </c>
      <c r="N745" s="9">
        <v>80.41</v>
      </c>
      <c r="O745" s="9">
        <v>201.3</v>
      </c>
      <c r="P745" s="7" t="s">
        <v>35</v>
      </c>
      <c r="Q745" s="7" t="s">
        <v>36</v>
      </c>
      <c r="R745" s="30">
        <f t="shared" si="11"/>
        <v>0.12268656260966418</v>
      </c>
    </row>
    <row r="746" spans="1:18" x14ac:dyDescent="0.35">
      <c r="A746" s="3" t="s">
        <v>1350</v>
      </c>
      <c r="B746" s="4">
        <v>45866</v>
      </c>
      <c r="C746" s="3" t="s">
        <v>926</v>
      </c>
      <c r="D746" s="3" t="s">
        <v>39</v>
      </c>
      <c r="E746" s="3" t="s">
        <v>30</v>
      </c>
      <c r="F746" s="3" t="s">
        <v>48</v>
      </c>
      <c r="G746" s="3" t="s">
        <v>32</v>
      </c>
      <c r="H746" s="3" t="s">
        <v>73</v>
      </c>
      <c r="I746" s="3" t="s">
        <v>74</v>
      </c>
      <c r="J746" s="3">
        <v>2</v>
      </c>
      <c r="K746" s="5">
        <v>11735.22</v>
      </c>
      <c r="L746" s="5">
        <v>19949.87</v>
      </c>
      <c r="M746" s="6">
        <v>15</v>
      </c>
      <c r="N746" s="5">
        <v>2798.11</v>
      </c>
      <c r="O746" s="5">
        <v>295.36</v>
      </c>
      <c r="P746" s="3" t="s">
        <v>45</v>
      </c>
      <c r="Q746" s="3" t="s">
        <v>65</v>
      </c>
      <c r="R746" s="30">
        <f t="shared" si="11"/>
        <v>0.14025705430661956</v>
      </c>
    </row>
    <row r="747" spans="1:18" x14ac:dyDescent="0.35">
      <c r="A747" s="7" t="s">
        <v>1351</v>
      </c>
      <c r="B747" s="8">
        <v>45866</v>
      </c>
      <c r="C747" s="7" t="s">
        <v>1352</v>
      </c>
      <c r="D747" s="7" t="s">
        <v>39</v>
      </c>
      <c r="E747" s="7" t="s">
        <v>30</v>
      </c>
      <c r="F747" s="7" t="s">
        <v>226</v>
      </c>
      <c r="G747" s="7" t="s">
        <v>42</v>
      </c>
      <c r="H747" s="7" t="s">
        <v>172</v>
      </c>
      <c r="I747" s="7" t="s">
        <v>223</v>
      </c>
      <c r="J747" s="7">
        <v>1</v>
      </c>
      <c r="K747" s="9">
        <v>1077.6400000000001</v>
      </c>
      <c r="L747" s="9">
        <v>862.11</v>
      </c>
      <c r="M747" s="10">
        <v>20</v>
      </c>
      <c r="N747" s="9">
        <v>51.45</v>
      </c>
      <c r="O747" s="9">
        <v>230.51</v>
      </c>
      <c r="P747" s="7" t="s">
        <v>45</v>
      </c>
      <c r="Q747" s="7" t="s">
        <v>26</v>
      </c>
      <c r="R747" s="30">
        <f t="shared" si="11"/>
        <v>5.9679159272018653E-2</v>
      </c>
    </row>
    <row r="748" spans="1:18" x14ac:dyDescent="0.35">
      <c r="A748" s="3" t="s">
        <v>1353</v>
      </c>
      <c r="B748" s="4">
        <v>45866</v>
      </c>
      <c r="C748" s="3" t="s">
        <v>1354</v>
      </c>
      <c r="D748" s="3" t="s">
        <v>39</v>
      </c>
      <c r="E748" s="3" t="s">
        <v>60</v>
      </c>
      <c r="F748" s="3" t="s">
        <v>68</v>
      </c>
      <c r="G748" s="3" t="s">
        <v>32</v>
      </c>
      <c r="H748" s="3" t="s">
        <v>143</v>
      </c>
      <c r="I748" s="3" t="s">
        <v>144</v>
      </c>
      <c r="J748" s="3">
        <v>3</v>
      </c>
      <c r="K748" s="5">
        <v>11286.39</v>
      </c>
      <c r="L748" s="5">
        <v>25394.38</v>
      </c>
      <c r="M748" s="6">
        <v>25</v>
      </c>
      <c r="N748" s="5">
        <v>17.100000000000001</v>
      </c>
      <c r="O748" s="5">
        <v>173.49</v>
      </c>
      <c r="P748" s="3" t="s">
        <v>64</v>
      </c>
      <c r="Q748" s="3" t="s">
        <v>65</v>
      </c>
      <c r="R748" s="30">
        <f t="shared" si="11"/>
        <v>6.7337733782041537E-4</v>
      </c>
    </row>
    <row r="749" spans="1:18" x14ac:dyDescent="0.35">
      <c r="A749" s="7" t="s">
        <v>1355</v>
      </c>
      <c r="B749" s="8">
        <v>45866</v>
      </c>
      <c r="C749" s="7" t="s">
        <v>272</v>
      </c>
      <c r="D749" s="7" t="s">
        <v>19</v>
      </c>
      <c r="E749" s="7" t="s">
        <v>20</v>
      </c>
      <c r="F749" s="7" t="s">
        <v>129</v>
      </c>
      <c r="G749" s="7" t="s">
        <v>49</v>
      </c>
      <c r="H749" s="7" t="s">
        <v>98</v>
      </c>
      <c r="I749" s="7" t="s">
        <v>299</v>
      </c>
      <c r="J749" s="7">
        <v>2</v>
      </c>
      <c r="K749" s="9">
        <v>7714.85</v>
      </c>
      <c r="L749" s="9">
        <v>13886.73</v>
      </c>
      <c r="M749" s="10">
        <v>10</v>
      </c>
      <c r="N749" s="9">
        <v>2149.35</v>
      </c>
      <c r="O749" s="9">
        <v>119.31</v>
      </c>
      <c r="P749" s="7" t="s">
        <v>45</v>
      </c>
      <c r="Q749" s="7" t="s">
        <v>26</v>
      </c>
      <c r="R749" s="30">
        <f t="shared" si="11"/>
        <v>0.15477725857707322</v>
      </c>
    </row>
    <row r="750" spans="1:18" x14ac:dyDescent="0.35">
      <c r="A750" s="3" t="s">
        <v>1356</v>
      </c>
      <c r="B750" s="4">
        <v>45867</v>
      </c>
      <c r="C750" s="3" t="s">
        <v>744</v>
      </c>
      <c r="D750" s="3" t="s">
        <v>39</v>
      </c>
      <c r="E750" s="3" t="s">
        <v>40</v>
      </c>
      <c r="F750" s="3" t="s">
        <v>41</v>
      </c>
      <c r="G750" s="3" t="s">
        <v>117</v>
      </c>
      <c r="H750" s="3" t="s">
        <v>118</v>
      </c>
      <c r="I750" s="3" t="s">
        <v>119</v>
      </c>
      <c r="J750" s="3">
        <v>4</v>
      </c>
      <c r="K750" s="5">
        <v>1593.29</v>
      </c>
      <c r="L750" s="5">
        <v>6373.16</v>
      </c>
      <c r="M750" s="6">
        <v>0</v>
      </c>
      <c r="N750" s="5">
        <v>2207.13</v>
      </c>
      <c r="O750" s="5">
        <v>191.67</v>
      </c>
      <c r="P750" s="3" t="s">
        <v>64</v>
      </c>
      <c r="Q750" s="3" t="s">
        <v>26</v>
      </c>
      <c r="R750" s="30">
        <f t="shared" si="11"/>
        <v>0.34631642701579751</v>
      </c>
    </row>
    <row r="751" spans="1:18" x14ac:dyDescent="0.35">
      <c r="A751" s="7" t="s">
        <v>1357</v>
      </c>
      <c r="B751" s="8">
        <v>45868</v>
      </c>
      <c r="C751" s="7" t="s">
        <v>1139</v>
      </c>
      <c r="D751" s="7" t="s">
        <v>39</v>
      </c>
      <c r="E751" s="7" t="s">
        <v>60</v>
      </c>
      <c r="F751" s="7" t="s">
        <v>68</v>
      </c>
      <c r="G751" s="7" t="s">
        <v>22</v>
      </c>
      <c r="H751" s="7" t="s">
        <v>624</v>
      </c>
      <c r="I751" s="7" t="s">
        <v>1215</v>
      </c>
      <c r="J751" s="7">
        <v>4</v>
      </c>
      <c r="K751" s="9">
        <v>28546.63</v>
      </c>
      <c r="L751" s="9">
        <v>114186.52</v>
      </c>
      <c r="M751" s="10">
        <v>0</v>
      </c>
      <c r="N751" s="9">
        <v>9323.17</v>
      </c>
      <c r="O751" s="9">
        <v>120.11</v>
      </c>
      <c r="P751" s="7" t="s">
        <v>25</v>
      </c>
      <c r="Q751" s="7" t="s">
        <v>26</v>
      </c>
      <c r="R751" s="30">
        <f t="shared" si="11"/>
        <v>8.1648604406194356E-2</v>
      </c>
    </row>
    <row r="752" spans="1:18" x14ac:dyDescent="0.35">
      <c r="A752" s="3" t="s">
        <v>1358</v>
      </c>
      <c r="B752" s="4">
        <v>45871</v>
      </c>
      <c r="C752" s="3" t="s">
        <v>807</v>
      </c>
      <c r="D752" s="3" t="s">
        <v>19</v>
      </c>
      <c r="E752" s="3" t="s">
        <v>30</v>
      </c>
      <c r="F752" s="3" t="s">
        <v>226</v>
      </c>
      <c r="G752" s="3" t="s">
        <v>22</v>
      </c>
      <c r="H752" s="3" t="s">
        <v>110</v>
      </c>
      <c r="I752" s="3" t="s">
        <v>542</v>
      </c>
      <c r="J752" s="3">
        <v>1</v>
      </c>
      <c r="K752" s="5">
        <v>38307.5</v>
      </c>
      <c r="L752" s="5">
        <v>36392.120000000003</v>
      </c>
      <c r="M752" s="6">
        <v>5</v>
      </c>
      <c r="N752" s="5">
        <v>6143.79</v>
      </c>
      <c r="O752" s="5">
        <v>195.34</v>
      </c>
      <c r="P752" s="3" t="s">
        <v>25</v>
      </c>
      <c r="Q752" s="3" t="s">
        <v>26</v>
      </c>
      <c r="R752" s="30">
        <f t="shared" si="11"/>
        <v>0.16882198673778828</v>
      </c>
    </row>
    <row r="753" spans="1:18" x14ac:dyDescent="0.35">
      <c r="A753" s="7" t="s">
        <v>1359</v>
      </c>
      <c r="B753" s="8">
        <v>45871</v>
      </c>
      <c r="C753" s="7" t="s">
        <v>1120</v>
      </c>
      <c r="D753" s="7" t="s">
        <v>29</v>
      </c>
      <c r="E753" s="7" t="s">
        <v>40</v>
      </c>
      <c r="F753" s="7" t="s">
        <v>77</v>
      </c>
      <c r="G753" s="7" t="s">
        <v>32</v>
      </c>
      <c r="H753" s="7" t="s">
        <v>86</v>
      </c>
      <c r="I753" s="7" t="s">
        <v>211</v>
      </c>
      <c r="J753" s="7">
        <v>3</v>
      </c>
      <c r="K753" s="9">
        <v>2713.17</v>
      </c>
      <c r="L753" s="9">
        <v>8139.51</v>
      </c>
      <c r="M753" s="10">
        <v>0</v>
      </c>
      <c r="N753" s="9">
        <v>1475.75</v>
      </c>
      <c r="O753" s="9">
        <v>81.790000000000006</v>
      </c>
      <c r="P753" s="7" t="s">
        <v>83</v>
      </c>
      <c r="Q753" s="7" t="s">
        <v>65</v>
      </c>
      <c r="R753" s="30">
        <f t="shared" si="11"/>
        <v>0.18130698285277613</v>
      </c>
    </row>
    <row r="754" spans="1:18" x14ac:dyDescent="0.35">
      <c r="A754" s="3" t="s">
        <v>1360</v>
      </c>
      <c r="B754" s="4">
        <v>45873</v>
      </c>
      <c r="C754" s="3" t="s">
        <v>1318</v>
      </c>
      <c r="D754" s="3" t="s">
        <v>39</v>
      </c>
      <c r="E754" s="3" t="s">
        <v>40</v>
      </c>
      <c r="F754" s="3" t="s">
        <v>109</v>
      </c>
      <c r="G754" s="3" t="s">
        <v>117</v>
      </c>
      <c r="H754" s="3" t="s">
        <v>153</v>
      </c>
      <c r="I754" s="3" t="s">
        <v>284</v>
      </c>
      <c r="J754" s="3">
        <v>1</v>
      </c>
      <c r="K754" s="5">
        <v>350.34</v>
      </c>
      <c r="L754" s="5">
        <v>350.34</v>
      </c>
      <c r="M754" s="6">
        <v>0</v>
      </c>
      <c r="N754" s="5">
        <v>64.17</v>
      </c>
      <c r="O754" s="5">
        <v>186.02</v>
      </c>
      <c r="P754" s="3" t="s">
        <v>64</v>
      </c>
      <c r="Q754" s="3" t="s">
        <v>65</v>
      </c>
      <c r="R754" s="30">
        <f t="shared" si="11"/>
        <v>0.18316492550094196</v>
      </c>
    </row>
    <row r="755" spans="1:18" x14ac:dyDescent="0.35">
      <c r="A755" s="7" t="s">
        <v>1361</v>
      </c>
      <c r="B755" s="8">
        <v>45873</v>
      </c>
      <c r="C755" s="7" t="s">
        <v>1132</v>
      </c>
      <c r="D755" s="7" t="s">
        <v>19</v>
      </c>
      <c r="E755" s="7" t="s">
        <v>20</v>
      </c>
      <c r="F755" s="7" t="s">
        <v>129</v>
      </c>
      <c r="G755" s="7" t="s">
        <v>42</v>
      </c>
      <c r="H755" s="7" t="s">
        <v>81</v>
      </c>
      <c r="I755" s="7" t="s">
        <v>82</v>
      </c>
      <c r="J755" s="7">
        <v>3</v>
      </c>
      <c r="K755" s="9">
        <v>1068.8699999999999</v>
      </c>
      <c r="L755" s="9">
        <v>3206.61</v>
      </c>
      <c r="M755" s="10">
        <v>0</v>
      </c>
      <c r="N755" s="9">
        <v>410.67</v>
      </c>
      <c r="O755" s="9">
        <v>234.59</v>
      </c>
      <c r="P755" s="7" t="s">
        <v>45</v>
      </c>
      <c r="Q755" s="7" t="s">
        <v>36</v>
      </c>
      <c r="R755" s="30">
        <f t="shared" si="11"/>
        <v>0.12806983075584497</v>
      </c>
    </row>
    <row r="756" spans="1:18" x14ac:dyDescent="0.35">
      <c r="A756" s="3" t="s">
        <v>1362</v>
      </c>
      <c r="B756" s="4">
        <v>45873</v>
      </c>
      <c r="C756" s="3" t="s">
        <v>1363</v>
      </c>
      <c r="D756" s="3" t="s">
        <v>19</v>
      </c>
      <c r="E756" s="3" t="s">
        <v>20</v>
      </c>
      <c r="F756" s="3" t="s">
        <v>21</v>
      </c>
      <c r="G756" s="3" t="s">
        <v>49</v>
      </c>
      <c r="H756" s="3" t="s">
        <v>91</v>
      </c>
      <c r="I756" s="3" t="s">
        <v>168</v>
      </c>
      <c r="J756" s="3">
        <v>3</v>
      </c>
      <c r="K756" s="5">
        <v>2529.86</v>
      </c>
      <c r="L756" s="5">
        <v>6071.66</v>
      </c>
      <c r="M756" s="6">
        <v>20</v>
      </c>
      <c r="N756" s="5">
        <v>508.71</v>
      </c>
      <c r="O756" s="5">
        <v>208.06</v>
      </c>
      <c r="P756" s="3" t="s">
        <v>64</v>
      </c>
      <c r="Q756" s="3" t="s">
        <v>26</v>
      </c>
      <c r="R756" s="30">
        <f t="shared" si="11"/>
        <v>8.3784335750025529E-2</v>
      </c>
    </row>
    <row r="757" spans="1:18" x14ac:dyDescent="0.35">
      <c r="A757" s="7" t="s">
        <v>1364</v>
      </c>
      <c r="B757" s="8">
        <v>45874</v>
      </c>
      <c r="C757" s="7" t="s">
        <v>544</v>
      </c>
      <c r="D757" s="7" t="s">
        <v>29</v>
      </c>
      <c r="E757" s="7" t="s">
        <v>30</v>
      </c>
      <c r="F757" s="7" t="s">
        <v>31</v>
      </c>
      <c r="G757" s="7" t="s">
        <v>32</v>
      </c>
      <c r="H757" s="7" t="s">
        <v>73</v>
      </c>
      <c r="I757" s="7" t="s">
        <v>114</v>
      </c>
      <c r="J757" s="7">
        <v>4</v>
      </c>
      <c r="K757" s="9">
        <v>11237.93</v>
      </c>
      <c r="L757" s="9">
        <v>44951.72</v>
      </c>
      <c r="M757" s="10">
        <v>0</v>
      </c>
      <c r="N757" s="9">
        <v>8597.61</v>
      </c>
      <c r="O757" s="9">
        <v>276.54000000000002</v>
      </c>
      <c r="P757" s="7" t="s">
        <v>25</v>
      </c>
      <c r="Q757" s="7" t="s">
        <v>36</v>
      </c>
      <c r="R757" s="30">
        <f t="shared" si="11"/>
        <v>0.19126320416660364</v>
      </c>
    </row>
    <row r="758" spans="1:18" x14ac:dyDescent="0.35">
      <c r="A758" s="3" t="s">
        <v>1365</v>
      </c>
      <c r="B758" s="4">
        <v>45875</v>
      </c>
      <c r="C758" s="3" t="s">
        <v>604</v>
      </c>
      <c r="D758" s="3" t="s">
        <v>39</v>
      </c>
      <c r="E758" s="3" t="s">
        <v>20</v>
      </c>
      <c r="F758" s="3" t="s">
        <v>21</v>
      </c>
      <c r="G758" s="3" t="s">
        <v>117</v>
      </c>
      <c r="H758" s="3" t="s">
        <v>118</v>
      </c>
      <c r="I758" s="3" t="s">
        <v>119</v>
      </c>
      <c r="J758" s="3">
        <v>2</v>
      </c>
      <c r="K758" s="5">
        <v>767.36</v>
      </c>
      <c r="L758" s="5">
        <v>1304.51</v>
      </c>
      <c r="M758" s="6">
        <v>15</v>
      </c>
      <c r="N758" s="5">
        <v>232.67</v>
      </c>
      <c r="O758" s="5">
        <v>277.47000000000003</v>
      </c>
      <c r="P758" s="3" t="s">
        <v>64</v>
      </c>
      <c r="Q758" s="3" t="s">
        <v>65</v>
      </c>
      <c r="R758" s="30">
        <f t="shared" si="11"/>
        <v>0.17835815746908801</v>
      </c>
    </row>
    <row r="759" spans="1:18" x14ac:dyDescent="0.35">
      <c r="A759" s="7" t="s">
        <v>1366</v>
      </c>
      <c r="B759" s="8">
        <v>45876</v>
      </c>
      <c r="C759" s="7" t="s">
        <v>918</v>
      </c>
      <c r="D759" s="7" t="s">
        <v>19</v>
      </c>
      <c r="E759" s="7" t="s">
        <v>60</v>
      </c>
      <c r="F759" s="7" t="s">
        <v>72</v>
      </c>
      <c r="G759" s="7" t="s">
        <v>42</v>
      </c>
      <c r="H759" s="7" t="s">
        <v>81</v>
      </c>
      <c r="I759" s="7" t="s">
        <v>431</v>
      </c>
      <c r="J759" s="7">
        <v>1</v>
      </c>
      <c r="K759" s="9">
        <v>264.94</v>
      </c>
      <c r="L759" s="9">
        <v>225.2</v>
      </c>
      <c r="M759" s="10">
        <v>15</v>
      </c>
      <c r="N759" s="9">
        <v>2.78</v>
      </c>
      <c r="O759" s="9">
        <v>336.05</v>
      </c>
      <c r="P759" s="7" t="s">
        <v>64</v>
      </c>
      <c r="Q759" s="7" t="s">
        <v>26</v>
      </c>
      <c r="R759" s="30">
        <f t="shared" si="11"/>
        <v>1.2344582593250443E-2</v>
      </c>
    </row>
    <row r="760" spans="1:18" x14ac:dyDescent="0.35">
      <c r="A760" s="3" t="s">
        <v>1367</v>
      </c>
      <c r="B760" s="4">
        <v>45878</v>
      </c>
      <c r="C760" s="3" t="s">
        <v>312</v>
      </c>
      <c r="D760" s="3" t="s">
        <v>39</v>
      </c>
      <c r="E760" s="3" t="s">
        <v>30</v>
      </c>
      <c r="F760" s="3" t="s">
        <v>48</v>
      </c>
      <c r="G760" s="3" t="s">
        <v>134</v>
      </c>
      <c r="H760" s="3" t="s">
        <v>91</v>
      </c>
      <c r="I760" s="3" t="s">
        <v>188</v>
      </c>
      <c r="J760" s="3">
        <v>4</v>
      </c>
      <c r="K760" s="5">
        <v>2789.93</v>
      </c>
      <c r="L760" s="5">
        <v>10043.75</v>
      </c>
      <c r="M760" s="6">
        <v>10</v>
      </c>
      <c r="N760" s="5">
        <v>1877.58</v>
      </c>
      <c r="O760" s="5">
        <v>188.58</v>
      </c>
      <c r="P760" s="3" t="s">
        <v>45</v>
      </c>
      <c r="Q760" s="3" t="s">
        <v>57</v>
      </c>
      <c r="R760" s="30">
        <f t="shared" si="11"/>
        <v>0.18694013690105787</v>
      </c>
    </row>
    <row r="761" spans="1:18" x14ac:dyDescent="0.35">
      <c r="A761" s="7" t="s">
        <v>1368</v>
      </c>
      <c r="B761" s="8">
        <v>45879</v>
      </c>
      <c r="C761" s="7" t="s">
        <v>1369</v>
      </c>
      <c r="D761" s="7" t="s">
        <v>39</v>
      </c>
      <c r="E761" s="7" t="s">
        <v>20</v>
      </c>
      <c r="F761" s="7" t="s">
        <v>54</v>
      </c>
      <c r="G761" s="7" t="s">
        <v>32</v>
      </c>
      <c r="H761" s="7" t="s">
        <v>86</v>
      </c>
      <c r="I761" s="7" t="s">
        <v>211</v>
      </c>
      <c r="J761" s="7">
        <v>1</v>
      </c>
      <c r="K761" s="9">
        <v>8381.15</v>
      </c>
      <c r="L761" s="9">
        <v>7123.98</v>
      </c>
      <c r="M761" s="10">
        <v>15</v>
      </c>
      <c r="N761" s="9">
        <v>927.48</v>
      </c>
      <c r="O761" s="9">
        <v>297.83</v>
      </c>
      <c r="P761" s="7" t="s">
        <v>25</v>
      </c>
      <c r="Q761" s="7" t="s">
        <v>36</v>
      </c>
      <c r="R761" s="30">
        <f t="shared" si="11"/>
        <v>0.13019126948700024</v>
      </c>
    </row>
    <row r="762" spans="1:18" x14ac:dyDescent="0.35">
      <c r="A762" s="3" t="s">
        <v>1370</v>
      </c>
      <c r="B762" s="4">
        <v>45879</v>
      </c>
      <c r="C762" s="3" t="s">
        <v>128</v>
      </c>
      <c r="D762" s="3" t="s">
        <v>19</v>
      </c>
      <c r="E762" s="3" t="s">
        <v>60</v>
      </c>
      <c r="F762" s="3" t="s">
        <v>68</v>
      </c>
      <c r="G762" s="3" t="s">
        <v>42</v>
      </c>
      <c r="H762" s="3" t="s">
        <v>43</v>
      </c>
      <c r="I762" s="3" t="s">
        <v>751</v>
      </c>
      <c r="J762" s="3">
        <v>1</v>
      </c>
      <c r="K762" s="5">
        <v>1186</v>
      </c>
      <c r="L762" s="5">
        <v>1008.1</v>
      </c>
      <c r="M762" s="6">
        <v>15</v>
      </c>
      <c r="N762" s="5">
        <v>60.3</v>
      </c>
      <c r="O762" s="5">
        <v>227.81</v>
      </c>
      <c r="P762" s="3" t="s">
        <v>35</v>
      </c>
      <c r="Q762" s="3" t="s">
        <v>26</v>
      </c>
      <c r="R762" s="30">
        <f t="shared" si="11"/>
        <v>5.9815494494593786E-2</v>
      </c>
    </row>
    <row r="763" spans="1:18" x14ac:dyDescent="0.35">
      <c r="A763" s="7" t="s">
        <v>1371</v>
      </c>
      <c r="B763" s="8">
        <v>45879</v>
      </c>
      <c r="C763" s="7" t="s">
        <v>809</v>
      </c>
      <c r="D763" s="7" t="s">
        <v>19</v>
      </c>
      <c r="E763" s="7" t="s">
        <v>40</v>
      </c>
      <c r="F763" s="7" t="s">
        <v>90</v>
      </c>
      <c r="G763" s="7" t="s">
        <v>32</v>
      </c>
      <c r="H763" s="7" t="s">
        <v>73</v>
      </c>
      <c r="I763" s="7" t="s">
        <v>74</v>
      </c>
      <c r="J763" s="7">
        <v>3</v>
      </c>
      <c r="K763" s="9">
        <v>1712.07</v>
      </c>
      <c r="L763" s="9">
        <v>4622.59</v>
      </c>
      <c r="M763" s="10">
        <v>10</v>
      </c>
      <c r="N763" s="9">
        <v>697.56</v>
      </c>
      <c r="O763" s="9">
        <v>324.58999999999997</v>
      </c>
      <c r="P763" s="7" t="s">
        <v>35</v>
      </c>
      <c r="Q763" s="7" t="s">
        <v>26</v>
      </c>
      <c r="R763" s="30">
        <f t="shared" si="11"/>
        <v>0.1509024161779435</v>
      </c>
    </row>
    <row r="764" spans="1:18" x14ac:dyDescent="0.35">
      <c r="A764" s="3" t="s">
        <v>1372</v>
      </c>
      <c r="B764" s="4">
        <v>45880</v>
      </c>
      <c r="C764" s="3" t="s">
        <v>563</v>
      </c>
      <c r="D764" s="3" t="s">
        <v>19</v>
      </c>
      <c r="E764" s="3" t="s">
        <v>30</v>
      </c>
      <c r="F764" s="3" t="s">
        <v>226</v>
      </c>
      <c r="G764" s="3" t="s">
        <v>42</v>
      </c>
      <c r="H764" s="3" t="s">
        <v>43</v>
      </c>
      <c r="I764" s="3" t="s">
        <v>208</v>
      </c>
      <c r="J764" s="3">
        <v>3</v>
      </c>
      <c r="K764" s="5">
        <v>682.84</v>
      </c>
      <c r="L764" s="5">
        <v>1946.09</v>
      </c>
      <c r="M764" s="6">
        <v>5</v>
      </c>
      <c r="N764" s="5">
        <v>295.7</v>
      </c>
      <c r="O764" s="5">
        <v>62.04</v>
      </c>
      <c r="P764" s="3" t="s">
        <v>35</v>
      </c>
      <c r="Q764" s="3" t="s">
        <v>65</v>
      </c>
      <c r="R764" s="30">
        <f t="shared" si="11"/>
        <v>0.15194569624220874</v>
      </c>
    </row>
    <row r="765" spans="1:18" x14ac:dyDescent="0.35">
      <c r="A765" s="7" t="s">
        <v>1373</v>
      </c>
      <c r="B765" s="8">
        <v>45880</v>
      </c>
      <c r="C765" s="7" t="s">
        <v>1374</v>
      </c>
      <c r="D765" s="7" t="s">
        <v>19</v>
      </c>
      <c r="E765" s="7" t="s">
        <v>20</v>
      </c>
      <c r="F765" s="7" t="s">
        <v>129</v>
      </c>
      <c r="G765" s="7" t="s">
        <v>134</v>
      </c>
      <c r="H765" s="7" t="s">
        <v>244</v>
      </c>
      <c r="I765" s="7" t="s">
        <v>270</v>
      </c>
      <c r="J765" s="7">
        <v>2</v>
      </c>
      <c r="K765" s="9">
        <v>2793.88</v>
      </c>
      <c r="L765" s="9">
        <v>5587.76</v>
      </c>
      <c r="M765" s="10">
        <v>0</v>
      </c>
      <c r="N765" s="9">
        <v>901.34</v>
      </c>
      <c r="O765" s="9">
        <v>229.19</v>
      </c>
      <c r="P765" s="7" t="s">
        <v>25</v>
      </c>
      <c r="Q765" s="7" t="s">
        <v>65</v>
      </c>
      <c r="R765" s="30">
        <f t="shared" si="11"/>
        <v>0.16130614056437642</v>
      </c>
    </row>
    <row r="766" spans="1:18" x14ac:dyDescent="0.35">
      <c r="A766" s="3" t="s">
        <v>1375</v>
      </c>
      <c r="B766" s="4">
        <v>45881</v>
      </c>
      <c r="C766" s="3" t="s">
        <v>1290</v>
      </c>
      <c r="D766" s="3" t="s">
        <v>39</v>
      </c>
      <c r="E766" s="3" t="s">
        <v>40</v>
      </c>
      <c r="F766" s="3" t="s">
        <v>77</v>
      </c>
      <c r="G766" s="3" t="s">
        <v>117</v>
      </c>
      <c r="H766" s="3" t="s">
        <v>125</v>
      </c>
      <c r="I766" s="3" t="s">
        <v>196</v>
      </c>
      <c r="J766" s="3">
        <v>2</v>
      </c>
      <c r="K766" s="5">
        <v>2299.65</v>
      </c>
      <c r="L766" s="5">
        <v>4139.37</v>
      </c>
      <c r="M766" s="6">
        <v>10</v>
      </c>
      <c r="N766" s="5">
        <v>643.72</v>
      </c>
      <c r="O766" s="5">
        <v>89.67</v>
      </c>
      <c r="P766" s="3" t="s">
        <v>45</v>
      </c>
      <c r="Q766" s="3" t="s">
        <v>36</v>
      </c>
      <c r="R766" s="30">
        <f t="shared" si="11"/>
        <v>0.15551158751210933</v>
      </c>
    </row>
    <row r="767" spans="1:18" x14ac:dyDescent="0.35">
      <c r="A767" s="7" t="s">
        <v>1376</v>
      </c>
      <c r="B767" s="8">
        <v>45882</v>
      </c>
      <c r="C767" s="7" t="s">
        <v>910</v>
      </c>
      <c r="D767" s="7" t="s">
        <v>29</v>
      </c>
      <c r="E767" s="7" t="s">
        <v>40</v>
      </c>
      <c r="F767" s="7" t="s">
        <v>77</v>
      </c>
      <c r="G767" s="7" t="s">
        <v>134</v>
      </c>
      <c r="H767" s="7" t="s">
        <v>244</v>
      </c>
      <c r="I767" s="7" t="s">
        <v>334</v>
      </c>
      <c r="J767" s="7">
        <v>1</v>
      </c>
      <c r="K767" s="9">
        <v>788</v>
      </c>
      <c r="L767" s="9">
        <v>748.6</v>
      </c>
      <c r="M767" s="10">
        <v>5</v>
      </c>
      <c r="N767" s="9">
        <v>167.37</v>
      </c>
      <c r="O767" s="9">
        <v>222.35</v>
      </c>
      <c r="P767" s="7" t="s">
        <v>64</v>
      </c>
      <c r="Q767" s="7" t="s">
        <v>65</v>
      </c>
      <c r="R767" s="30">
        <f t="shared" si="11"/>
        <v>0.22357734437616886</v>
      </c>
    </row>
    <row r="768" spans="1:18" x14ac:dyDescent="0.35">
      <c r="A768" s="3" t="s">
        <v>1377</v>
      </c>
      <c r="B768" s="4">
        <v>45886</v>
      </c>
      <c r="C768" s="3" t="s">
        <v>744</v>
      </c>
      <c r="D768" s="3" t="s">
        <v>39</v>
      </c>
      <c r="E768" s="3" t="s">
        <v>60</v>
      </c>
      <c r="F768" s="3" t="s">
        <v>104</v>
      </c>
      <c r="G768" s="3" t="s">
        <v>117</v>
      </c>
      <c r="H768" s="3" t="s">
        <v>125</v>
      </c>
      <c r="I768" s="3" t="s">
        <v>454</v>
      </c>
      <c r="J768" s="3">
        <v>3</v>
      </c>
      <c r="K768" s="5">
        <v>1644.38</v>
      </c>
      <c r="L768" s="5">
        <v>4193.17</v>
      </c>
      <c r="M768" s="6">
        <v>15</v>
      </c>
      <c r="N768" s="5">
        <v>657.74</v>
      </c>
      <c r="O768" s="5">
        <v>119.81</v>
      </c>
      <c r="P768" s="3" t="s">
        <v>83</v>
      </c>
      <c r="Q768" s="3" t="s">
        <v>26</v>
      </c>
      <c r="R768" s="30">
        <f t="shared" si="11"/>
        <v>0.15685984589224858</v>
      </c>
    </row>
    <row r="769" spans="1:18" x14ac:dyDescent="0.35">
      <c r="A769" s="7" t="s">
        <v>1378</v>
      </c>
      <c r="B769" s="8">
        <v>45887</v>
      </c>
      <c r="C769" s="7" t="s">
        <v>780</v>
      </c>
      <c r="D769" s="7" t="s">
        <v>39</v>
      </c>
      <c r="E769" s="7" t="s">
        <v>60</v>
      </c>
      <c r="F769" s="7" t="s">
        <v>72</v>
      </c>
      <c r="G769" s="7" t="s">
        <v>32</v>
      </c>
      <c r="H769" s="7" t="s">
        <v>86</v>
      </c>
      <c r="I769" s="7" t="s">
        <v>87</v>
      </c>
      <c r="J769" s="7">
        <v>1</v>
      </c>
      <c r="K769" s="9">
        <v>6954.99</v>
      </c>
      <c r="L769" s="9">
        <v>6954.99</v>
      </c>
      <c r="M769" s="10">
        <v>0</v>
      </c>
      <c r="N769" s="9">
        <v>1249.69</v>
      </c>
      <c r="O769" s="9">
        <v>33.869999999999997</v>
      </c>
      <c r="P769" s="7" t="s">
        <v>35</v>
      </c>
      <c r="Q769" s="7" t="s">
        <v>26</v>
      </c>
      <c r="R769" s="30">
        <f t="shared" si="11"/>
        <v>0.17968250134076399</v>
      </c>
    </row>
    <row r="770" spans="1:18" x14ac:dyDescent="0.35">
      <c r="A770" s="3" t="s">
        <v>1379</v>
      </c>
      <c r="B770" s="4">
        <v>45889</v>
      </c>
      <c r="C770" s="3" t="s">
        <v>935</v>
      </c>
      <c r="D770" s="3" t="s">
        <v>39</v>
      </c>
      <c r="E770" s="3" t="s">
        <v>40</v>
      </c>
      <c r="F770" s="3" t="s">
        <v>77</v>
      </c>
      <c r="G770" s="3" t="s">
        <v>134</v>
      </c>
      <c r="H770" s="3" t="s">
        <v>139</v>
      </c>
      <c r="I770" s="3" t="s">
        <v>220</v>
      </c>
      <c r="J770" s="3">
        <v>2</v>
      </c>
      <c r="K770" s="5">
        <v>4348.05</v>
      </c>
      <c r="L770" s="5">
        <v>8696.1</v>
      </c>
      <c r="M770" s="6">
        <v>0</v>
      </c>
      <c r="N770" s="5">
        <v>1775.46</v>
      </c>
      <c r="O770" s="5">
        <v>124.55</v>
      </c>
      <c r="P770" s="3" t="s">
        <v>83</v>
      </c>
      <c r="Q770" s="3" t="s">
        <v>26</v>
      </c>
      <c r="R770" s="30">
        <f t="shared" si="11"/>
        <v>0.20416738537965295</v>
      </c>
    </row>
    <row r="771" spans="1:18" x14ac:dyDescent="0.35">
      <c r="A771" s="7" t="s">
        <v>1380</v>
      </c>
      <c r="B771" s="8">
        <v>45893</v>
      </c>
      <c r="C771" s="7" t="s">
        <v>1381</v>
      </c>
      <c r="D771" s="7" t="s">
        <v>39</v>
      </c>
      <c r="E771" s="7" t="s">
        <v>20</v>
      </c>
      <c r="F771" s="7" t="s">
        <v>129</v>
      </c>
      <c r="G771" s="7" t="s">
        <v>49</v>
      </c>
      <c r="H771" s="7" t="s">
        <v>98</v>
      </c>
      <c r="I771" s="7" t="s">
        <v>299</v>
      </c>
      <c r="J771" s="7">
        <v>1</v>
      </c>
      <c r="K771" s="9">
        <v>5340.15</v>
      </c>
      <c r="L771" s="9">
        <v>4539.13</v>
      </c>
      <c r="M771" s="10">
        <v>15</v>
      </c>
      <c r="N771" s="9">
        <v>492.85</v>
      </c>
      <c r="O771" s="9">
        <v>251.72</v>
      </c>
      <c r="P771" s="7" t="s">
        <v>25</v>
      </c>
      <c r="Q771" s="7" t="s">
        <v>57</v>
      </c>
      <c r="R771" s="30">
        <f t="shared" ref="R771:R834" si="12">N771/L771</f>
        <v>0.10857807553429842</v>
      </c>
    </row>
    <row r="772" spans="1:18" x14ac:dyDescent="0.35">
      <c r="A772" s="3" t="s">
        <v>1382</v>
      </c>
      <c r="B772" s="4">
        <v>45893</v>
      </c>
      <c r="C772" s="3" t="s">
        <v>1383</v>
      </c>
      <c r="D772" s="3" t="s">
        <v>29</v>
      </c>
      <c r="E772" s="3" t="s">
        <v>20</v>
      </c>
      <c r="F772" s="3" t="s">
        <v>129</v>
      </c>
      <c r="G772" s="3" t="s">
        <v>117</v>
      </c>
      <c r="H772" s="3" t="s">
        <v>130</v>
      </c>
      <c r="I772" s="3" t="s">
        <v>326</v>
      </c>
      <c r="J772" s="3">
        <v>1</v>
      </c>
      <c r="K772" s="5">
        <v>1551.87</v>
      </c>
      <c r="L772" s="5">
        <v>1396.68</v>
      </c>
      <c r="M772" s="6">
        <v>10</v>
      </c>
      <c r="N772" s="5">
        <v>273.13</v>
      </c>
      <c r="O772" s="5">
        <v>137.04</v>
      </c>
      <c r="P772" s="3" t="s">
        <v>64</v>
      </c>
      <c r="Q772" s="3" t="s">
        <v>65</v>
      </c>
      <c r="R772" s="30">
        <f t="shared" si="12"/>
        <v>0.19555660566486238</v>
      </c>
    </row>
    <row r="773" spans="1:18" x14ac:dyDescent="0.35">
      <c r="A773" s="7" t="s">
        <v>1384</v>
      </c>
      <c r="B773" s="8">
        <v>45895</v>
      </c>
      <c r="C773" s="7" t="s">
        <v>1029</v>
      </c>
      <c r="D773" s="7" t="s">
        <v>39</v>
      </c>
      <c r="E773" s="7" t="s">
        <v>60</v>
      </c>
      <c r="F773" s="7" t="s">
        <v>72</v>
      </c>
      <c r="G773" s="7" t="s">
        <v>117</v>
      </c>
      <c r="H773" s="7" t="s">
        <v>130</v>
      </c>
      <c r="I773" s="7" t="s">
        <v>310</v>
      </c>
      <c r="J773" s="7">
        <v>5</v>
      </c>
      <c r="K773" s="9">
        <v>747.82</v>
      </c>
      <c r="L773" s="9">
        <v>3739.1</v>
      </c>
      <c r="M773" s="10">
        <v>0</v>
      </c>
      <c r="N773" s="9">
        <v>1002.02</v>
      </c>
      <c r="O773" s="9">
        <v>321.13</v>
      </c>
      <c r="P773" s="7" t="s">
        <v>83</v>
      </c>
      <c r="Q773" s="7" t="s">
        <v>57</v>
      </c>
      <c r="R773" s="30">
        <f t="shared" si="12"/>
        <v>0.26798427429060467</v>
      </c>
    </row>
    <row r="774" spans="1:18" x14ac:dyDescent="0.35">
      <c r="A774" s="3" t="s">
        <v>1385</v>
      </c>
      <c r="B774" s="4">
        <v>45897</v>
      </c>
      <c r="C774" s="3" t="s">
        <v>1386</v>
      </c>
      <c r="D774" s="3" t="s">
        <v>39</v>
      </c>
      <c r="E774" s="3" t="s">
        <v>20</v>
      </c>
      <c r="F774" s="3" t="s">
        <v>21</v>
      </c>
      <c r="G774" s="3" t="s">
        <v>134</v>
      </c>
      <c r="H774" s="3" t="s">
        <v>135</v>
      </c>
      <c r="I774" s="3" t="s">
        <v>136</v>
      </c>
      <c r="J774" s="3">
        <v>1</v>
      </c>
      <c r="K774" s="5">
        <v>1158.68</v>
      </c>
      <c r="L774" s="5">
        <v>984.88</v>
      </c>
      <c r="M774" s="6">
        <v>15</v>
      </c>
      <c r="N774" s="5">
        <v>134.99</v>
      </c>
      <c r="O774" s="5">
        <v>226.84</v>
      </c>
      <c r="P774" s="3" t="s">
        <v>64</v>
      </c>
      <c r="Q774" s="3" t="s">
        <v>26</v>
      </c>
      <c r="R774" s="30">
        <f t="shared" si="12"/>
        <v>0.13706238323450573</v>
      </c>
    </row>
    <row r="775" spans="1:18" x14ac:dyDescent="0.35">
      <c r="A775" s="7" t="s">
        <v>1387</v>
      </c>
      <c r="B775" s="8">
        <v>45897</v>
      </c>
      <c r="C775" s="7" t="s">
        <v>281</v>
      </c>
      <c r="D775" s="7" t="s">
        <v>39</v>
      </c>
      <c r="E775" s="7" t="s">
        <v>40</v>
      </c>
      <c r="F775" s="7" t="s">
        <v>109</v>
      </c>
      <c r="G775" s="7" t="s">
        <v>134</v>
      </c>
      <c r="H775" s="7" t="s">
        <v>91</v>
      </c>
      <c r="I775" s="7" t="s">
        <v>206</v>
      </c>
      <c r="J775" s="7">
        <v>2</v>
      </c>
      <c r="K775" s="9">
        <v>1017.73</v>
      </c>
      <c r="L775" s="9">
        <v>1526.6</v>
      </c>
      <c r="M775" s="10">
        <v>25</v>
      </c>
      <c r="N775" s="9">
        <v>117.95</v>
      </c>
      <c r="O775" s="9">
        <v>258.97000000000003</v>
      </c>
      <c r="P775" s="7" t="s">
        <v>83</v>
      </c>
      <c r="Q775" s="7" t="s">
        <v>57</v>
      </c>
      <c r="R775" s="30">
        <f t="shared" si="12"/>
        <v>7.7263199266343521E-2</v>
      </c>
    </row>
    <row r="776" spans="1:18" x14ac:dyDescent="0.35">
      <c r="A776" s="3" t="s">
        <v>1388</v>
      </c>
      <c r="B776" s="4">
        <v>45898</v>
      </c>
      <c r="C776" s="3" t="s">
        <v>729</v>
      </c>
      <c r="D776" s="3" t="s">
        <v>39</v>
      </c>
      <c r="E776" s="3" t="s">
        <v>40</v>
      </c>
      <c r="F776" s="3" t="s">
        <v>109</v>
      </c>
      <c r="G776" s="3" t="s">
        <v>117</v>
      </c>
      <c r="H776" s="3" t="s">
        <v>130</v>
      </c>
      <c r="I776" s="3" t="s">
        <v>391</v>
      </c>
      <c r="J776" s="3">
        <v>1</v>
      </c>
      <c r="K776" s="5">
        <v>1067.7</v>
      </c>
      <c r="L776" s="5">
        <v>907.54</v>
      </c>
      <c r="M776" s="6">
        <v>15</v>
      </c>
      <c r="N776" s="5">
        <v>177.44</v>
      </c>
      <c r="O776" s="5">
        <v>137.69999999999999</v>
      </c>
      <c r="P776" s="3" t="s">
        <v>64</v>
      </c>
      <c r="Q776" s="3" t="s">
        <v>26</v>
      </c>
      <c r="R776" s="30">
        <f t="shared" si="12"/>
        <v>0.19551755294532472</v>
      </c>
    </row>
    <row r="777" spans="1:18" x14ac:dyDescent="0.35">
      <c r="A777" s="7" t="s">
        <v>1389</v>
      </c>
      <c r="B777" s="8">
        <v>45898</v>
      </c>
      <c r="C777" s="7" t="s">
        <v>681</v>
      </c>
      <c r="D777" s="7" t="s">
        <v>29</v>
      </c>
      <c r="E777" s="7" t="s">
        <v>40</v>
      </c>
      <c r="F777" s="7" t="s">
        <v>41</v>
      </c>
      <c r="G777" s="7" t="s">
        <v>49</v>
      </c>
      <c r="H777" s="7" t="s">
        <v>62</v>
      </c>
      <c r="I777" s="7" t="s">
        <v>424</v>
      </c>
      <c r="J777" s="7">
        <v>3</v>
      </c>
      <c r="K777" s="9">
        <v>14467.03</v>
      </c>
      <c r="L777" s="9">
        <v>39060.980000000003</v>
      </c>
      <c r="M777" s="10">
        <v>10</v>
      </c>
      <c r="N777" s="9">
        <v>4584.8599999999997</v>
      </c>
      <c r="O777" s="9">
        <v>183.23</v>
      </c>
      <c r="P777" s="7" t="s">
        <v>64</v>
      </c>
      <c r="Q777" s="7" t="s">
        <v>36</v>
      </c>
      <c r="R777" s="30">
        <f t="shared" si="12"/>
        <v>0.11737698337317699</v>
      </c>
    </row>
    <row r="778" spans="1:18" x14ac:dyDescent="0.35">
      <c r="A778" s="3" t="s">
        <v>1390</v>
      </c>
      <c r="B778" s="4">
        <v>45900</v>
      </c>
      <c r="C778" s="3" t="s">
        <v>578</v>
      </c>
      <c r="D778" s="3" t="s">
        <v>39</v>
      </c>
      <c r="E778" s="3" t="s">
        <v>40</v>
      </c>
      <c r="F778" s="3" t="s">
        <v>41</v>
      </c>
      <c r="G778" s="3" t="s">
        <v>32</v>
      </c>
      <c r="H778" s="3" t="s">
        <v>73</v>
      </c>
      <c r="I778" s="3" t="s">
        <v>214</v>
      </c>
      <c r="J778" s="3">
        <v>2</v>
      </c>
      <c r="K778" s="5">
        <v>6309.3</v>
      </c>
      <c r="L778" s="5">
        <v>11987.67</v>
      </c>
      <c r="M778" s="6">
        <v>5</v>
      </c>
      <c r="N778" s="5">
        <v>878.52</v>
      </c>
      <c r="O778" s="5">
        <v>244.65</v>
      </c>
      <c r="P778" s="3" t="s">
        <v>25</v>
      </c>
      <c r="Q778" s="3" t="s">
        <v>36</v>
      </c>
      <c r="R778" s="30">
        <f t="shared" si="12"/>
        <v>7.3285300646414184E-2</v>
      </c>
    </row>
    <row r="779" spans="1:18" x14ac:dyDescent="0.35">
      <c r="A779" s="7" t="s">
        <v>1391</v>
      </c>
      <c r="B779" s="8">
        <v>45901</v>
      </c>
      <c r="C779" s="7" t="s">
        <v>178</v>
      </c>
      <c r="D779" s="7" t="s">
        <v>29</v>
      </c>
      <c r="E779" s="7" t="s">
        <v>20</v>
      </c>
      <c r="F779" s="7" t="s">
        <v>129</v>
      </c>
      <c r="G779" s="7" t="s">
        <v>49</v>
      </c>
      <c r="H779" s="7" t="s">
        <v>98</v>
      </c>
      <c r="I779" s="7" t="s">
        <v>299</v>
      </c>
      <c r="J779" s="7">
        <v>2</v>
      </c>
      <c r="K779" s="9">
        <v>12428.51</v>
      </c>
      <c r="L779" s="9">
        <v>22371.32</v>
      </c>
      <c r="M779" s="10">
        <v>10</v>
      </c>
      <c r="N779" s="9">
        <v>3393.76</v>
      </c>
      <c r="O779" s="9">
        <v>217.89</v>
      </c>
      <c r="P779" s="7" t="s">
        <v>64</v>
      </c>
      <c r="Q779" s="7" t="s">
        <v>57</v>
      </c>
      <c r="R779" s="30">
        <f t="shared" si="12"/>
        <v>0.15170137479594412</v>
      </c>
    </row>
    <row r="780" spans="1:18" x14ac:dyDescent="0.35">
      <c r="A780" s="3" t="s">
        <v>1392</v>
      </c>
      <c r="B780" s="4">
        <v>45901</v>
      </c>
      <c r="C780" s="3" t="s">
        <v>1041</v>
      </c>
      <c r="D780" s="3" t="s">
        <v>39</v>
      </c>
      <c r="E780" s="3" t="s">
        <v>30</v>
      </c>
      <c r="F780" s="3" t="s">
        <v>48</v>
      </c>
      <c r="G780" s="3" t="s">
        <v>32</v>
      </c>
      <c r="H780" s="3" t="s">
        <v>86</v>
      </c>
      <c r="I780" s="3" t="s">
        <v>211</v>
      </c>
      <c r="J780" s="3">
        <v>1</v>
      </c>
      <c r="K780" s="5">
        <v>4733.24</v>
      </c>
      <c r="L780" s="5">
        <v>4023.25</v>
      </c>
      <c r="M780" s="6">
        <v>15</v>
      </c>
      <c r="N780" s="5">
        <v>417.77</v>
      </c>
      <c r="O780" s="5">
        <v>46.16</v>
      </c>
      <c r="P780" s="3" t="s">
        <v>45</v>
      </c>
      <c r="Q780" s="3" t="s">
        <v>26</v>
      </c>
      <c r="R780" s="30">
        <f t="shared" si="12"/>
        <v>0.10383893618343379</v>
      </c>
    </row>
    <row r="781" spans="1:18" x14ac:dyDescent="0.35">
      <c r="A781" s="7" t="s">
        <v>1393</v>
      </c>
      <c r="B781" s="8">
        <v>45903</v>
      </c>
      <c r="C781" s="7" t="s">
        <v>509</v>
      </c>
      <c r="D781" s="7" t="s">
        <v>19</v>
      </c>
      <c r="E781" s="7" t="s">
        <v>60</v>
      </c>
      <c r="F781" s="7" t="s">
        <v>61</v>
      </c>
      <c r="G781" s="7" t="s">
        <v>134</v>
      </c>
      <c r="H781" s="7" t="s">
        <v>135</v>
      </c>
      <c r="I781" s="7" t="s">
        <v>382</v>
      </c>
      <c r="J781" s="7">
        <v>1</v>
      </c>
      <c r="K781" s="9">
        <v>1902.77</v>
      </c>
      <c r="L781" s="9">
        <v>1807.63</v>
      </c>
      <c r="M781" s="10">
        <v>5</v>
      </c>
      <c r="N781" s="9">
        <v>402.23</v>
      </c>
      <c r="O781" s="9">
        <v>71.23</v>
      </c>
      <c r="P781" s="7" t="s">
        <v>45</v>
      </c>
      <c r="Q781" s="7" t="s">
        <v>65</v>
      </c>
      <c r="R781" s="30">
        <f t="shared" si="12"/>
        <v>0.22251788253127022</v>
      </c>
    </row>
    <row r="782" spans="1:18" x14ac:dyDescent="0.35">
      <c r="A782" s="3" t="s">
        <v>1394</v>
      </c>
      <c r="B782" s="4">
        <v>45903</v>
      </c>
      <c r="C782" s="3" t="s">
        <v>859</v>
      </c>
      <c r="D782" s="3" t="s">
        <v>19</v>
      </c>
      <c r="E782" s="3" t="s">
        <v>40</v>
      </c>
      <c r="F782" s="3" t="s">
        <v>90</v>
      </c>
      <c r="G782" s="3" t="s">
        <v>49</v>
      </c>
      <c r="H782" s="3" t="s">
        <v>50</v>
      </c>
      <c r="I782" s="3" t="s">
        <v>485</v>
      </c>
      <c r="J782" s="3">
        <v>1</v>
      </c>
      <c r="K782" s="5">
        <v>10331.82</v>
      </c>
      <c r="L782" s="5">
        <v>9298.64</v>
      </c>
      <c r="M782" s="6">
        <v>10</v>
      </c>
      <c r="N782" s="5">
        <v>1406.05</v>
      </c>
      <c r="O782" s="5">
        <v>330.86</v>
      </c>
      <c r="P782" s="3" t="s">
        <v>64</v>
      </c>
      <c r="Q782" s="3" t="s">
        <v>65</v>
      </c>
      <c r="R782" s="30">
        <f t="shared" si="12"/>
        <v>0.15121028451472474</v>
      </c>
    </row>
    <row r="783" spans="1:18" x14ac:dyDescent="0.35">
      <c r="A783" s="7" t="s">
        <v>1395</v>
      </c>
      <c r="B783" s="8">
        <v>45904</v>
      </c>
      <c r="C783" s="7" t="s">
        <v>1297</v>
      </c>
      <c r="D783" s="7" t="s">
        <v>39</v>
      </c>
      <c r="E783" s="7" t="s">
        <v>60</v>
      </c>
      <c r="F783" s="7" t="s">
        <v>68</v>
      </c>
      <c r="G783" s="7" t="s">
        <v>42</v>
      </c>
      <c r="H783" s="7" t="s">
        <v>164</v>
      </c>
      <c r="I783" s="7" t="s">
        <v>199</v>
      </c>
      <c r="J783" s="7">
        <v>5</v>
      </c>
      <c r="K783" s="9">
        <v>612.34</v>
      </c>
      <c r="L783" s="9">
        <v>2755.53</v>
      </c>
      <c r="M783" s="10">
        <v>10</v>
      </c>
      <c r="N783" s="9">
        <v>138.53</v>
      </c>
      <c r="O783" s="9">
        <v>286.89999999999998</v>
      </c>
      <c r="P783" s="7" t="s">
        <v>35</v>
      </c>
      <c r="Q783" s="7" t="s">
        <v>26</v>
      </c>
      <c r="R783" s="30">
        <f t="shared" si="12"/>
        <v>5.0273450116674466E-2</v>
      </c>
    </row>
    <row r="784" spans="1:18" x14ac:dyDescent="0.35">
      <c r="A784" s="3" t="s">
        <v>1396</v>
      </c>
      <c r="B784" s="4">
        <v>45904</v>
      </c>
      <c r="C784" s="3" t="s">
        <v>67</v>
      </c>
      <c r="D784" s="3" t="s">
        <v>29</v>
      </c>
      <c r="E784" s="3" t="s">
        <v>40</v>
      </c>
      <c r="F784" s="3" t="s">
        <v>90</v>
      </c>
      <c r="G784" s="3" t="s">
        <v>42</v>
      </c>
      <c r="H784" s="3" t="s">
        <v>172</v>
      </c>
      <c r="I784" s="3" t="s">
        <v>1014</v>
      </c>
      <c r="J784" s="3">
        <v>1</v>
      </c>
      <c r="K784" s="5">
        <v>531.24</v>
      </c>
      <c r="L784" s="5">
        <v>478.12</v>
      </c>
      <c r="M784" s="6">
        <v>10</v>
      </c>
      <c r="N784" s="5">
        <v>65.17</v>
      </c>
      <c r="O784" s="5">
        <v>143.94999999999999</v>
      </c>
      <c r="P784" s="3" t="s">
        <v>35</v>
      </c>
      <c r="Q784" s="3" t="s">
        <v>36</v>
      </c>
      <c r="R784" s="30">
        <f t="shared" si="12"/>
        <v>0.13630469338241447</v>
      </c>
    </row>
    <row r="785" spans="1:18" x14ac:dyDescent="0.35">
      <c r="A785" s="7" t="s">
        <v>1397</v>
      </c>
      <c r="B785" s="8">
        <v>45907</v>
      </c>
      <c r="C785" s="7" t="s">
        <v>1398</v>
      </c>
      <c r="D785" s="7" t="s">
        <v>39</v>
      </c>
      <c r="E785" s="7" t="s">
        <v>60</v>
      </c>
      <c r="F785" s="7" t="s">
        <v>61</v>
      </c>
      <c r="G785" s="7" t="s">
        <v>117</v>
      </c>
      <c r="H785" s="7" t="s">
        <v>125</v>
      </c>
      <c r="I785" s="7" t="s">
        <v>217</v>
      </c>
      <c r="J785" s="7">
        <v>1</v>
      </c>
      <c r="K785" s="9">
        <v>2184.84</v>
      </c>
      <c r="L785" s="9">
        <v>1966.36</v>
      </c>
      <c r="M785" s="10">
        <v>10</v>
      </c>
      <c r="N785" s="9">
        <v>576.30999999999995</v>
      </c>
      <c r="O785" s="9">
        <v>124.97</v>
      </c>
      <c r="P785" s="7" t="s">
        <v>45</v>
      </c>
      <c r="Q785" s="7" t="s">
        <v>65</v>
      </c>
      <c r="R785" s="30">
        <f t="shared" si="12"/>
        <v>0.2930846843914644</v>
      </c>
    </row>
    <row r="786" spans="1:18" x14ac:dyDescent="0.35">
      <c r="A786" s="3" t="s">
        <v>1399</v>
      </c>
      <c r="B786" s="4">
        <v>45909</v>
      </c>
      <c r="C786" s="3" t="s">
        <v>306</v>
      </c>
      <c r="D786" s="3" t="s">
        <v>19</v>
      </c>
      <c r="E786" s="3" t="s">
        <v>60</v>
      </c>
      <c r="F786" s="3" t="s">
        <v>104</v>
      </c>
      <c r="G786" s="3" t="s">
        <v>42</v>
      </c>
      <c r="H786" s="3" t="s">
        <v>43</v>
      </c>
      <c r="I786" s="3" t="s">
        <v>44</v>
      </c>
      <c r="J786" s="3">
        <v>1</v>
      </c>
      <c r="K786" s="5">
        <v>926.38</v>
      </c>
      <c r="L786" s="5">
        <v>926.38</v>
      </c>
      <c r="M786" s="6">
        <v>0</v>
      </c>
      <c r="N786" s="5">
        <v>168.89</v>
      </c>
      <c r="O786" s="5">
        <v>189.37</v>
      </c>
      <c r="P786" s="3" t="s">
        <v>64</v>
      </c>
      <c r="Q786" s="3" t="s">
        <v>26</v>
      </c>
      <c r="R786" s="30">
        <f t="shared" si="12"/>
        <v>0.18231179429607719</v>
      </c>
    </row>
    <row r="787" spans="1:18" x14ac:dyDescent="0.35">
      <c r="A787" s="7" t="s">
        <v>1400</v>
      </c>
      <c r="B787" s="8">
        <v>45909</v>
      </c>
      <c r="C787" s="7" t="s">
        <v>370</v>
      </c>
      <c r="D787" s="7" t="s">
        <v>39</v>
      </c>
      <c r="E787" s="7" t="s">
        <v>20</v>
      </c>
      <c r="F787" s="7" t="s">
        <v>129</v>
      </c>
      <c r="G787" s="7" t="s">
        <v>117</v>
      </c>
      <c r="H787" s="7" t="s">
        <v>153</v>
      </c>
      <c r="I787" s="7" t="s">
        <v>284</v>
      </c>
      <c r="J787" s="7">
        <v>2</v>
      </c>
      <c r="K787" s="9">
        <v>849.03</v>
      </c>
      <c r="L787" s="9">
        <v>1358.45</v>
      </c>
      <c r="M787" s="10">
        <v>20</v>
      </c>
      <c r="N787" s="9">
        <v>149.47999999999999</v>
      </c>
      <c r="O787" s="9">
        <v>128.75</v>
      </c>
      <c r="P787" s="7" t="s">
        <v>35</v>
      </c>
      <c r="Q787" s="7" t="s">
        <v>26</v>
      </c>
      <c r="R787" s="30">
        <f t="shared" si="12"/>
        <v>0.11003717472118958</v>
      </c>
    </row>
    <row r="788" spans="1:18" x14ac:dyDescent="0.35">
      <c r="A788" s="3" t="s">
        <v>1401</v>
      </c>
      <c r="B788" s="4">
        <v>45910</v>
      </c>
      <c r="C788" s="3" t="s">
        <v>949</v>
      </c>
      <c r="D788" s="3" t="s">
        <v>29</v>
      </c>
      <c r="E788" s="3" t="s">
        <v>30</v>
      </c>
      <c r="F788" s="3" t="s">
        <v>48</v>
      </c>
      <c r="G788" s="3" t="s">
        <v>117</v>
      </c>
      <c r="H788" s="3" t="s">
        <v>130</v>
      </c>
      <c r="I788" s="3" t="s">
        <v>326</v>
      </c>
      <c r="J788" s="3">
        <v>2</v>
      </c>
      <c r="K788" s="5">
        <v>821.9</v>
      </c>
      <c r="L788" s="5">
        <v>1561.61</v>
      </c>
      <c r="M788" s="6">
        <v>5</v>
      </c>
      <c r="N788" s="5">
        <v>478.29</v>
      </c>
      <c r="O788" s="5">
        <v>314.67</v>
      </c>
      <c r="P788" s="3" t="s">
        <v>64</v>
      </c>
      <c r="Q788" s="3" t="s">
        <v>26</v>
      </c>
      <c r="R788" s="30">
        <f t="shared" si="12"/>
        <v>0.30628005712053591</v>
      </c>
    </row>
    <row r="789" spans="1:18" x14ac:dyDescent="0.35">
      <c r="A789" s="7" t="s">
        <v>1402</v>
      </c>
      <c r="B789" s="8">
        <v>45910</v>
      </c>
      <c r="C789" s="7" t="s">
        <v>1403</v>
      </c>
      <c r="D789" s="7" t="s">
        <v>19</v>
      </c>
      <c r="E789" s="7" t="s">
        <v>40</v>
      </c>
      <c r="F789" s="7" t="s">
        <v>41</v>
      </c>
      <c r="G789" s="7" t="s">
        <v>49</v>
      </c>
      <c r="H789" s="7" t="s">
        <v>50</v>
      </c>
      <c r="I789" s="7" t="s">
        <v>485</v>
      </c>
      <c r="J789" s="7">
        <v>3</v>
      </c>
      <c r="K789" s="9">
        <v>704.41</v>
      </c>
      <c r="L789" s="9">
        <v>2113.23</v>
      </c>
      <c r="M789" s="10">
        <v>0</v>
      </c>
      <c r="N789" s="9">
        <v>304.35000000000002</v>
      </c>
      <c r="O789" s="9">
        <v>326.14</v>
      </c>
      <c r="P789" s="7" t="s">
        <v>35</v>
      </c>
      <c r="Q789" s="7" t="s">
        <v>26</v>
      </c>
      <c r="R789" s="30">
        <f t="shared" si="12"/>
        <v>0.14402123763149302</v>
      </c>
    </row>
    <row r="790" spans="1:18" x14ac:dyDescent="0.35">
      <c r="A790" s="3" t="s">
        <v>1404</v>
      </c>
      <c r="B790" s="4">
        <v>45911</v>
      </c>
      <c r="C790" s="3" t="s">
        <v>1405</v>
      </c>
      <c r="D790" s="3" t="s">
        <v>39</v>
      </c>
      <c r="E790" s="3" t="s">
        <v>60</v>
      </c>
      <c r="F790" s="3" t="s">
        <v>104</v>
      </c>
      <c r="G790" s="3" t="s">
        <v>22</v>
      </c>
      <c r="H790" s="3" t="s">
        <v>23</v>
      </c>
      <c r="I790" s="3" t="s">
        <v>78</v>
      </c>
      <c r="J790" s="3">
        <v>3</v>
      </c>
      <c r="K790" s="5">
        <v>13103.17</v>
      </c>
      <c r="L790" s="5">
        <v>31447.61</v>
      </c>
      <c r="M790" s="6">
        <v>20</v>
      </c>
      <c r="N790" s="5">
        <v>-476.31</v>
      </c>
      <c r="O790" s="5">
        <v>318.38</v>
      </c>
      <c r="P790" s="3" t="s">
        <v>35</v>
      </c>
      <c r="Q790" s="3" t="s">
        <v>65</v>
      </c>
      <c r="R790" s="30">
        <f t="shared" si="12"/>
        <v>-1.5146143061428197E-2</v>
      </c>
    </row>
    <row r="791" spans="1:18" x14ac:dyDescent="0.35">
      <c r="A791" s="7" t="s">
        <v>1406</v>
      </c>
      <c r="B791" s="8">
        <v>45911</v>
      </c>
      <c r="C791" s="7" t="s">
        <v>1407</v>
      </c>
      <c r="D791" s="7" t="s">
        <v>39</v>
      </c>
      <c r="E791" s="7" t="s">
        <v>40</v>
      </c>
      <c r="F791" s="7" t="s">
        <v>77</v>
      </c>
      <c r="G791" s="7" t="s">
        <v>134</v>
      </c>
      <c r="H791" s="7" t="s">
        <v>135</v>
      </c>
      <c r="I791" s="7" t="s">
        <v>136</v>
      </c>
      <c r="J791" s="7">
        <v>1</v>
      </c>
      <c r="K791" s="9">
        <v>2567.6</v>
      </c>
      <c r="L791" s="9">
        <v>1925.7</v>
      </c>
      <c r="M791" s="10">
        <v>25</v>
      </c>
      <c r="N791" s="9">
        <v>103.83</v>
      </c>
      <c r="O791" s="9">
        <v>46.54</v>
      </c>
      <c r="P791" s="7" t="s">
        <v>25</v>
      </c>
      <c r="Q791" s="7" t="s">
        <v>65</v>
      </c>
      <c r="R791" s="30">
        <f t="shared" si="12"/>
        <v>5.3918055771927091E-2</v>
      </c>
    </row>
    <row r="792" spans="1:18" x14ac:dyDescent="0.35">
      <c r="A792" s="3" t="s">
        <v>1408</v>
      </c>
      <c r="B792" s="4">
        <v>45911</v>
      </c>
      <c r="C792" s="3" t="s">
        <v>325</v>
      </c>
      <c r="D792" s="3" t="s">
        <v>29</v>
      </c>
      <c r="E792" s="3" t="s">
        <v>60</v>
      </c>
      <c r="F792" s="3" t="s">
        <v>68</v>
      </c>
      <c r="G792" s="3" t="s">
        <v>49</v>
      </c>
      <c r="H792" s="3" t="s">
        <v>50</v>
      </c>
      <c r="I792" s="3" t="s">
        <v>51</v>
      </c>
      <c r="J792" s="3">
        <v>1</v>
      </c>
      <c r="K792" s="5">
        <v>5902.94</v>
      </c>
      <c r="L792" s="5">
        <v>5607.79</v>
      </c>
      <c r="M792" s="6">
        <v>5</v>
      </c>
      <c r="N792" s="5">
        <v>883.64</v>
      </c>
      <c r="O792" s="5">
        <v>322.82</v>
      </c>
      <c r="P792" s="3" t="s">
        <v>64</v>
      </c>
      <c r="Q792" s="3" t="s">
        <v>26</v>
      </c>
      <c r="R792" s="30">
        <f t="shared" si="12"/>
        <v>0.15757366092524863</v>
      </c>
    </row>
    <row r="793" spans="1:18" x14ac:dyDescent="0.35">
      <c r="A793" s="7" t="s">
        <v>1409</v>
      </c>
      <c r="B793" s="8">
        <v>45913</v>
      </c>
      <c r="C793" s="7" t="s">
        <v>1410</v>
      </c>
      <c r="D793" s="7" t="s">
        <v>39</v>
      </c>
      <c r="E793" s="7" t="s">
        <v>60</v>
      </c>
      <c r="F793" s="7" t="s">
        <v>61</v>
      </c>
      <c r="G793" s="7" t="s">
        <v>117</v>
      </c>
      <c r="H793" s="7" t="s">
        <v>118</v>
      </c>
      <c r="I793" s="7" t="s">
        <v>438</v>
      </c>
      <c r="J793" s="7">
        <v>1</v>
      </c>
      <c r="K793" s="9">
        <v>703.05</v>
      </c>
      <c r="L793" s="9">
        <v>667.9</v>
      </c>
      <c r="M793" s="10">
        <v>5</v>
      </c>
      <c r="N793" s="9">
        <v>115.84</v>
      </c>
      <c r="O793" s="9">
        <v>220.5</v>
      </c>
      <c r="P793" s="7" t="s">
        <v>35</v>
      </c>
      <c r="Q793" s="7" t="s">
        <v>57</v>
      </c>
      <c r="R793" s="30">
        <f t="shared" si="12"/>
        <v>0.17343913759544843</v>
      </c>
    </row>
    <row r="794" spans="1:18" x14ac:dyDescent="0.35">
      <c r="A794" s="3" t="s">
        <v>1411</v>
      </c>
      <c r="B794" s="4">
        <v>45914</v>
      </c>
      <c r="C794" s="3" t="s">
        <v>1412</v>
      </c>
      <c r="D794" s="3" t="s">
        <v>39</v>
      </c>
      <c r="E794" s="3" t="s">
        <v>20</v>
      </c>
      <c r="F794" s="3" t="s">
        <v>21</v>
      </c>
      <c r="G794" s="3" t="s">
        <v>22</v>
      </c>
      <c r="H794" s="3" t="s">
        <v>55</v>
      </c>
      <c r="I794" s="3" t="s">
        <v>56</v>
      </c>
      <c r="J794" s="3">
        <v>1</v>
      </c>
      <c r="K794" s="5">
        <v>62070.75</v>
      </c>
      <c r="L794" s="5">
        <v>52760.14</v>
      </c>
      <c r="M794" s="6">
        <v>15</v>
      </c>
      <c r="N794" s="5">
        <v>-4098.34</v>
      </c>
      <c r="O794" s="5">
        <v>73.2</v>
      </c>
      <c r="P794" s="3" t="s">
        <v>64</v>
      </c>
      <c r="Q794" s="3" t="s">
        <v>26</v>
      </c>
      <c r="R794" s="30">
        <f t="shared" si="12"/>
        <v>-7.7678717304389258E-2</v>
      </c>
    </row>
    <row r="795" spans="1:18" x14ac:dyDescent="0.35">
      <c r="A795" s="7" t="s">
        <v>1413</v>
      </c>
      <c r="B795" s="8">
        <v>45915</v>
      </c>
      <c r="C795" s="7" t="s">
        <v>819</v>
      </c>
      <c r="D795" s="7" t="s">
        <v>39</v>
      </c>
      <c r="E795" s="7" t="s">
        <v>60</v>
      </c>
      <c r="F795" s="7" t="s">
        <v>104</v>
      </c>
      <c r="G795" s="7" t="s">
        <v>32</v>
      </c>
      <c r="H795" s="7" t="s">
        <v>33</v>
      </c>
      <c r="I795" s="7" t="s">
        <v>69</v>
      </c>
      <c r="J795" s="7">
        <v>3</v>
      </c>
      <c r="K795" s="9">
        <v>1763.6</v>
      </c>
      <c r="L795" s="9">
        <v>4232.6400000000003</v>
      </c>
      <c r="M795" s="10">
        <v>20</v>
      </c>
      <c r="N795" s="9">
        <v>118.75</v>
      </c>
      <c r="O795" s="9">
        <v>112.89</v>
      </c>
      <c r="P795" s="7" t="s">
        <v>35</v>
      </c>
      <c r="Q795" s="7" t="s">
        <v>65</v>
      </c>
      <c r="R795" s="30">
        <f t="shared" si="12"/>
        <v>2.8055776064111287E-2</v>
      </c>
    </row>
    <row r="796" spans="1:18" x14ac:dyDescent="0.35">
      <c r="A796" s="3" t="s">
        <v>1414</v>
      </c>
      <c r="B796" s="4">
        <v>45916</v>
      </c>
      <c r="C796" s="3" t="s">
        <v>679</v>
      </c>
      <c r="D796" s="3" t="s">
        <v>29</v>
      </c>
      <c r="E796" s="3" t="s">
        <v>20</v>
      </c>
      <c r="F796" s="3" t="s">
        <v>129</v>
      </c>
      <c r="G796" s="3" t="s">
        <v>117</v>
      </c>
      <c r="H796" s="3" t="s">
        <v>118</v>
      </c>
      <c r="I796" s="3" t="s">
        <v>553</v>
      </c>
      <c r="J796" s="3">
        <v>2</v>
      </c>
      <c r="K796" s="5">
        <v>304.07</v>
      </c>
      <c r="L796" s="5">
        <v>547.33000000000004</v>
      </c>
      <c r="M796" s="6">
        <v>10</v>
      </c>
      <c r="N796" s="5">
        <v>157.96</v>
      </c>
      <c r="O796" s="5">
        <v>114.73</v>
      </c>
      <c r="P796" s="3" t="s">
        <v>64</v>
      </c>
      <c r="Q796" s="3" t="s">
        <v>65</v>
      </c>
      <c r="R796" s="30">
        <f t="shared" si="12"/>
        <v>0.28860102680284289</v>
      </c>
    </row>
    <row r="797" spans="1:18" x14ac:dyDescent="0.35">
      <c r="A797" s="7" t="s">
        <v>1415</v>
      </c>
      <c r="B797" s="8">
        <v>45917</v>
      </c>
      <c r="C797" s="7" t="s">
        <v>848</v>
      </c>
      <c r="D797" s="7" t="s">
        <v>39</v>
      </c>
      <c r="E797" s="7" t="s">
        <v>40</v>
      </c>
      <c r="F797" s="7" t="s">
        <v>90</v>
      </c>
      <c r="G797" s="7" t="s">
        <v>134</v>
      </c>
      <c r="H797" s="7" t="s">
        <v>244</v>
      </c>
      <c r="I797" s="7" t="s">
        <v>245</v>
      </c>
      <c r="J797" s="7">
        <v>2</v>
      </c>
      <c r="K797" s="9">
        <v>2941.56</v>
      </c>
      <c r="L797" s="9">
        <v>5294.81</v>
      </c>
      <c r="M797" s="10">
        <v>10</v>
      </c>
      <c r="N797" s="9">
        <v>392.76</v>
      </c>
      <c r="O797" s="9">
        <v>325.79000000000002</v>
      </c>
      <c r="P797" s="7" t="s">
        <v>35</v>
      </c>
      <c r="Q797" s="7" t="s">
        <v>57</v>
      </c>
      <c r="R797" s="30">
        <f t="shared" si="12"/>
        <v>7.4178299126880842E-2</v>
      </c>
    </row>
    <row r="798" spans="1:18" x14ac:dyDescent="0.35">
      <c r="A798" s="3" t="s">
        <v>1416</v>
      </c>
      <c r="B798" s="4">
        <v>45919</v>
      </c>
      <c r="C798" s="3" t="s">
        <v>473</v>
      </c>
      <c r="D798" s="3" t="s">
        <v>29</v>
      </c>
      <c r="E798" s="3" t="s">
        <v>20</v>
      </c>
      <c r="F798" s="3" t="s">
        <v>21</v>
      </c>
      <c r="G798" s="3" t="s">
        <v>49</v>
      </c>
      <c r="H798" s="3" t="s">
        <v>98</v>
      </c>
      <c r="I798" s="3" t="s">
        <v>258</v>
      </c>
      <c r="J798" s="3">
        <v>1</v>
      </c>
      <c r="K798" s="5">
        <v>8850.25</v>
      </c>
      <c r="L798" s="5">
        <v>8407.74</v>
      </c>
      <c r="M798" s="6">
        <v>5</v>
      </c>
      <c r="N798" s="5">
        <v>1034.92</v>
      </c>
      <c r="O798" s="5">
        <v>83.56</v>
      </c>
      <c r="P798" s="3" t="s">
        <v>35</v>
      </c>
      <c r="Q798" s="3" t="s">
        <v>65</v>
      </c>
      <c r="R798" s="30">
        <f t="shared" si="12"/>
        <v>0.12309134202532429</v>
      </c>
    </row>
    <row r="799" spans="1:18" x14ac:dyDescent="0.35">
      <c r="A799" s="7" t="s">
        <v>1417</v>
      </c>
      <c r="B799" s="8">
        <v>45919</v>
      </c>
      <c r="C799" s="7" t="s">
        <v>817</v>
      </c>
      <c r="D799" s="7" t="s">
        <v>19</v>
      </c>
      <c r="E799" s="7" t="s">
        <v>40</v>
      </c>
      <c r="F799" s="7" t="s">
        <v>90</v>
      </c>
      <c r="G799" s="7" t="s">
        <v>42</v>
      </c>
      <c r="H799" s="7" t="s">
        <v>164</v>
      </c>
      <c r="I799" s="7" t="s">
        <v>199</v>
      </c>
      <c r="J799" s="7">
        <v>3</v>
      </c>
      <c r="K799" s="9">
        <v>596.49</v>
      </c>
      <c r="L799" s="9">
        <v>1789.47</v>
      </c>
      <c r="M799" s="10">
        <v>0</v>
      </c>
      <c r="N799" s="9">
        <v>330.18</v>
      </c>
      <c r="O799" s="9">
        <v>77.48</v>
      </c>
      <c r="P799" s="7" t="s">
        <v>45</v>
      </c>
      <c r="Q799" s="7" t="s">
        <v>57</v>
      </c>
      <c r="R799" s="30">
        <f t="shared" si="12"/>
        <v>0.18451273282033229</v>
      </c>
    </row>
    <row r="800" spans="1:18" x14ac:dyDescent="0.35">
      <c r="A800" s="3" t="s">
        <v>1418</v>
      </c>
      <c r="B800" s="4">
        <v>45920</v>
      </c>
      <c r="C800" s="3" t="s">
        <v>982</v>
      </c>
      <c r="D800" s="3" t="s">
        <v>39</v>
      </c>
      <c r="E800" s="3" t="s">
        <v>30</v>
      </c>
      <c r="F800" s="3" t="s">
        <v>226</v>
      </c>
      <c r="G800" s="3" t="s">
        <v>42</v>
      </c>
      <c r="H800" s="3" t="s">
        <v>164</v>
      </c>
      <c r="I800" s="3" t="s">
        <v>165</v>
      </c>
      <c r="J800" s="3">
        <v>3</v>
      </c>
      <c r="K800" s="5">
        <v>383</v>
      </c>
      <c r="L800" s="5">
        <v>1091.55</v>
      </c>
      <c r="M800" s="6">
        <v>5</v>
      </c>
      <c r="N800" s="5">
        <v>165.66</v>
      </c>
      <c r="O800" s="5">
        <v>294.02</v>
      </c>
      <c r="P800" s="3" t="s">
        <v>45</v>
      </c>
      <c r="Q800" s="3" t="s">
        <v>57</v>
      </c>
      <c r="R800" s="30">
        <f t="shared" si="12"/>
        <v>0.15176583757042739</v>
      </c>
    </row>
    <row r="801" spans="1:18" x14ac:dyDescent="0.35">
      <c r="A801" s="7" t="s">
        <v>1419</v>
      </c>
      <c r="B801" s="8">
        <v>45920</v>
      </c>
      <c r="C801" s="7" t="s">
        <v>184</v>
      </c>
      <c r="D801" s="7" t="s">
        <v>39</v>
      </c>
      <c r="E801" s="7" t="s">
        <v>30</v>
      </c>
      <c r="F801" s="7" t="s">
        <v>31</v>
      </c>
      <c r="G801" s="7" t="s">
        <v>49</v>
      </c>
      <c r="H801" s="7" t="s">
        <v>62</v>
      </c>
      <c r="I801" s="7" t="s">
        <v>63</v>
      </c>
      <c r="J801" s="7">
        <v>1</v>
      </c>
      <c r="K801" s="9">
        <v>12271.68</v>
      </c>
      <c r="L801" s="9">
        <v>9817.34</v>
      </c>
      <c r="M801" s="10">
        <v>20</v>
      </c>
      <c r="N801" s="9">
        <v>-15.06</v>
      </c>
      <c r="O801" s="9">
        <v>182.54</v>
      </c>
      <c r="P801" s="7" t="s">
        <v>35</v>
      </c>
      <c r="Q801" s="7" t="s">
        <v>36</v>
      </c>
      <c r="R801" s="30">
        <f t="shared" si="12"/>
        <v>-1.5340204169357484E-3</v>
      </c>
    </row>
    <row r="802" spans="1:18" x14ac:dyDescent="0.35">
      <c r="A802" s="3" t="s">
        <v>1420</v>
      </c>
      <c r="B802" s="4">
        <v>45920</v>
      </c>
      <c r="C802" s="3" t="s">
        <v>1032</v>
      </c>
      <c r="D802" s="3" t="s">
        <v>19</v>
      </c>
      <c r="E802" s="3" t="s">
        <v>60</v>
      </c>
      <c r="F802" s="3" t="s">
        <v>61</v>
      </c>
      <c r="G802" s="3" t="s">
        <v>134</v>
      </c>
      <c r="H802" s="3" t="s">
        <v>139</v>
      </c>
      <c r="I802" s="3" t="s">
        <v>587</v>
      </c>
      <c r="J802" s="3">
        <v>3</v>
      </c>
      <c r="K802" s="5">
        <v>4090.3</v>
      </c>
      <c r="L802" s="5">
        <v>11657.35</v>
      </c>
      <c r="M802" s="6">
        <v>5</v>
      </c>
      <c r="N802" s="5">
        <v>2029.93</v>
      </c>
      <c r="O802" s="5">
        <v>81.260000000000005</v>
      </c>
      <c r="P802" s="3" t="s">
        <v>64</v>
      </c>
      <c r="Q802" s="3" t="s">
        <v>57</v>
      </c>
      <c r="R802" s="30">
        <f t="shared" si="12"/>
        <v>0.17413305768463674</v>
      </c>
    </row>
    <row r="803" spans="1:18" x14ac:dyDescent="0.35">
      <c r="A803" s="7" t="s">
        <v>1421</v>
      </c>
      <c r="B803" s="8">
        <v>45921</v>
      </c>
      <c r="C803" s="7" t="s">
        <v>213</v>
      </c>
      <c r="D803" s="7" t="s">
        <v>39</v>
      </c>
      <c r="E803" s="7" t="s">
        <v>30</v>
      </c>
      <c r="F803" s="7" t="s">
        <v>226</v>
      </c>
      <c r="G803" s="7" t="s">
        <v>32</v>
      </c>
      <c r="H803" s="7" t="s">
        <v>86</v>
      </c>
      <c r="I803" s="7" t="s">
        <v>227</v>
      </c>
      <c r="J803" s="7">
        <v>1</v>
      </c>
      <c r="K803" s="9">
        <v>2369.19</v>
      </c>
      <c r="L803" s="9">
        <v>2250.73</v>
      </c>
      <c r="M803" s="10">
        <v>5</v>
      </c>
      <c r="N803" s="9">
        <v>101.83</v>
      </c>
      <c r="O803" s="9">
        <v>295.24</v>
      </c>
      <c r="P803" s="7" t="s">
        <v>64</v>
      </c>
      <c r="Q803" s="7" t="s">
        <v>26</v>
      </c>
      <c r="R803" s="30">
        <f t="shared" si="12"/>
        <v>4.5243098905688374E-2</v>
      </c>
    </row>
    <row r="804" spans="1:18" x14ac:dyDescent="0.35">
      <c r="A804" s="3" t="s">
        <v>1422</v>
      </c>
      <c r="B804" s="4">
        <v>45922</v>
      </c>
      <c r="C804" s="3" t="s">
        <v>487</v>
      </c>
      <c r="D804" s="3" t="s">
        <v>29</v>
      </c>
      <c r="E804" s="3" t="s">
        <v>30</v>
      </c>
      <c r="F804" s="3" t="s">
        <v>226</v>
      </c>
      <c r="G804" s="3" t="s">
        <v>32</v>
      </c>
      <c r="H804" s="3" t="s">
        <v>86</v>
      </c>
      <c r="I804" s="3" t="s">
        <v>227</v>
      </c>
      <c r="J804" s="3">
        <v>1</v>
      </c>
      <c r="K804" s="5">
        <v>4776.5</v>
      </c>
      <c r="L804" s="5">
        <v>3582.38</v>
      </c>
      <c r="M804" s="6">
        <v>25</v>
      </c>
      <c r="N804" s="5">
        <v>-8.34</v>
      </c>
      <c r="O804" s="5">
        <v>68.319999999999993</v>
      </c>
      <c r="P804" s="3" t="s">
        <v>64</v>
      </c>
      <c r="Q804" s="3" t="s">
        <v>57</v>
      </c>
      <c r="R804" s="30">
        <f t="shared" si="12"/>
        <v>-2.3280612330350212E-3</v>
      </c>
    </row>
    <row r="805" spans="1:18" x14ac:dyDescent="0.35">
      <c r="A805" s="7" t="s">
        <v>1423</v>
      </c>
      <c r="B805" s="8">
        <v>45923</v>
      </c>
      <c r="C805" s="7" t="s">
        <v>887</v>
      </c>
      <c r="D805" s="7" t="s">
        <v>29</v>
      </c>
      <c r="E805" s="7" t="s">
        <v>20</v>
      </c>
      <c r="F805" s="7" t="s">
        <v>21</v>
      </c>
      <c r="G805" s="7" t="s">
        <v>42</v>
      </c>
      <c r="H805" s="7" t="s">
        <v>43</v>
      </c>
      <c r="I805" s="7" t="s">
        <v>751</v>
      </c>
      <c r="J805" s="7">
        <v>5</v>
      </c>
      <c r="K805" s="9">
        <v>344.6</v>
      </c>
      <c r="L805" s="9">
        <v>1550.7</v>
      </c>
      <c r="M805" s="10">
        <v>10</v>
      </c>
      <c r="N805" s="9">
        <v>201.16</v>
      </c>
      <c r="O805" s="9">
        <v>115.27</v>
      </c>
      <c r="P805" s="7" t="s">
        <v>35</v>
      </c>
      <c r="Q805" s="7" t="s">
        <v>65</v>
      </c>
      <c r="R805" s="30">
        <f t="shared" si="12"/>
        <v>0.12972206100470754</v>
      </c>
    </row>
    <row r="806" spans="1:18" x14ac:dyDescent="0.35">
      <c r="A806" s="3" t="s">
        <v>1424</v>
      </c>
      <c r="B806" s="4">
        <v>45923</v>
      </c>
      <c r="C806" s="3" t="s">
        <v>796</v>
      </c>
      <c r="D806" s="3" t="s">
        <v>39</v>
      </c>
      <c r="E806" s="3" t="s">
        <v>20</v>
      </c>
      <c r="F806" s="3" t="s">
        <v>129</v>
      </c>
      <c r="G806" s="3" t="s">
        <v>49</v>
      </c>
      <c r="H806" s="3" t="s">
        <v>62</v>
      </c>
      <c r="I806" s="3" t="s">
        <v>424</v>
      </c>
      <c r="J806" s="3">
        <v>3</v>
      </c>
      <c r="K806" s="5">
        <v>14631.33</v>
      </c>
      <c r="L806" s="5">
        <v>41699.29</v>
      </c>
      <c r="M806" s="6">
        <v>5</v>
      </c>
      <c r="N806" s="5">
        <v>4859.53</v>
      </c>
      <c r="O806" s="5">
        <v>330.33</v>
      </c>
      <c r="P806" s="3" t="s">
        <v>83</v>
      </c>
      <c r="Q806" s="3" t="s">
        <v>57</v>
      </c>
      <c r="R806" s="30">
        <f t="shared" si="12"/>
        <v>0.11653747581793358</v>
      </c>
    </row>
    <row r="807" spans="1:18" x14ac:dyDescent="0.35">
      <c r="A807" s="7" t="s">
        <v>1425</v>
      </c>
      <c r="B807" s="8">
        <v>45923</v>
      </c>
      <c r="C807" s="7" t="s">
        <v>1141</v>
      </c>
      <c r="D807" s="7" t="s">
        <v>19</v>
      </c>
      <c r="E807" s="7" t="s">
        <v>30</v>
      </c>
      <c r="F807" s="7" t="s">
        <v>48</v>
      </c>
      <c r="G807" s="7" t="s">
        <v>49</v>
      </c>
      <c r="H807" s="7" t="s">
        <v>62</v>
      </c>
      <c r="I807" s="7" t="s">
        <v>63</v>
      </c>
      <c r="J807" s="7">
        <v>1</v>
      </c>
      <c r="K807" s="9">
        <v>6284.75</v>
      </c>
      <c r="L807" s="9">
        <v>6284.75</v>
      </c>
      <c r="M807" s="10">
        <v>0</v>
      </c>
      <c r="N807" s="9">
        <v>1456.9</v>
      </c>
      <c r="O807" s="9">
        <v>319.95999999999998</v>
      </c>
      <c r="P807" s="7" t="s">
        <v>25</v>
      </c>
      <c r="Q807" s="7" t="s">
        <v>65</v>
      </c>
      <c r="R807" s="30">
        <f t="shared" si="12"/>
        <v>0.23181510799952268</v>
      </c>
    </row>
    <row r="808" spans="1:18" x14ac:dyDescent="0.35">
      <c r="A808" s="3" t="s">
        <v>1426</v>
      </c>
      <c r="B808" s="4">
        <v>45923</v>
      </c>
      <c r="C808" s="3" t="s">
        <v>435</v>
      </c>
      <c r="D808" s="3" t="s">
        <v>39</v>
      </c>
      <c r="E808" s="3" t="s">
        <v>60</v>
      </c>
      <c r="F808" s="3" t="s">
        <v>68</v>
      </c>
      <c r="G808" s="3" t="s">
        <v>117</v>
      </c>
      <c r="H808" s="3" t="s">
        <v>118</v>
      </c>
      <c r="I808" s="3" t="s">
        <v>438</v>
      </c>
      <c r="J808" s="3">
        <v>4</v>
      </c>
      <c r="K808" s="5">
        <v>2053.04</v>
      </c>
      <c r="L808" s="5">
        <v>6980.34</v>
      </c>
      <c r="M808" s="6">
        <v>15</v>
      </c>
      <c r="N808" s="5">
        <v>1752.94</v>
      </c>
      <c r="O808" s="5">
        <v>262.31</v>
      </c>
      <c r="P808" s="3" t="s">
        <v>45</v>
      </c>
      <c r="Q808" s="3" t="s">
        <v>57</v>
      </c>
      <c r="R808" s="30">
        <f t="shared" si="12"/>
        <v>0.25112530335198574</v>
      </c>
    </row>
    <row r="809" spans="1:18" x14ac:dyDescent="0.35">
      <c r="A809" s="7" t="s">
        <v>1427</v>
      </c>
      <c r="B809" s="8">
        <v>45925</v>
      </c>
      <c r="C809" s="7" t="s">
        <v>325</v>
      </c>
      <c r="D809" s="7" t="s">
        <v>29</v>
      </c>
      <c r="E809" s="7" t="s">
        <v>20</v>
      </c>
      <c r="F809" s="7" t="s">
        <v>54</v>
      </c>
      <c r="G809" s="7" t="s">
        <v>117</v>
      </c>
      <c r="H809" s="7" t="s">
        <v>125</v>
      </c>
      <c r="I809" s="7" t="s">
        <v>196</v>
      </c>
      <c r="J809" s="7">
        <v>1</v>
      </c>
      <c r="K809" s="9">
        <v>1215.52</v>
      </c>
      <c r="L809" s="9">
        <v>1093.97</v>
      </c>
      <c r="M809" s="10">
        <v>10</v>
      </c>
      <c r="N809" s="9">
        <v>223.77</v>
      </c>
      <c r="O809" s="9">
        <v>67.459999999999994</v>
      </c>
      <c r="P809" s="7" t="s">
        <v>64</v>
      </c>
      <c r="Q809" s="7" t="s">
        <v>65</v>
      </c>
      <c r="R809" s="30">
        <f t="shared" si="12"/>
        <v>0.20454857080175873</v>
      </c>
    </row>
    <row r="810" spans="1:18" x14ac:dyDescent="0.35">
      <c r="A810" s="3" t="s">
        <v>1428</v>
      </c>
      <c r="B810" s="4">
        <v>45926</v>
      </c>
      <c r="C810" s="3" t="s">
        <v>1429</v>
      </c>
      <c r="D810" s="3" t="s">
        <v>39</v>
      </c>
      <c r="E810" s="3" t="s">
        <v>30</v>
      </c>
      <c r="F810" s="3" t="s">
        <v>48</v>
      </c>
      <c r="G810" s="3" t="s">
        <v>134</v>
      </c>
      <c r="H810" s="3" t="s">
        <v>139</v>
      </c>
      <c r="I810" s="3" t="s">
        <v>587</v>
      </c>
      <c r="J810" s="3">
        <v>5</v>
      </c>
      <c r="K810" s="5">
        <v>843.96</v>
      </c>
      <c r="L810" s="5">
        <v>4008.81</v>
      </c>
      <c r="M810" s="6">
        <v>5</v>
      </c>
      <c r="N810" s="5">
        <v>987.31</v>
      </c>
      <c r="O810" s="5">
        <v>374.4</v>
      </c>
      <c r="P810" s="3" t="s">
        <v>45</v>
      </c>
      <c r="Q810" s="3" t="s">
        <v>65</v>
      </c>
      <c r="R810" s="30">
        <f t="shared" si="12"/>
        <v>0.24628505716160157</v>
      </c>
    </row>
    <row r="811" spans="1:18" x14ac:dyDescent="0.35">
      <c r="A811" s="7" t="s">
        <v>1430</v>
      </c>
      <c r="B811" s="8">
        <v>45926</v>
      </c>
      <c r="C811" s="7" t="s">
        <v>1431</v>
      </c>
      <c r="D811" s="7" t="s">
        <v>19</v>
      </c>
      <c r="E811" s="7" t="s">
        <v>40</v>
      </c>
      <c r="F811" s="7" t="s">
        <v>109</v>
      </c>
      <c r="G811" s="7" t="s">
        <v>42</v>
      </c>
      <c r="H811" s="7" t="s">
        <v>43</v>
      </c>
      <c r="I811" s="7" t="s">
        <v>44</v>
      </c>
      <c r="J811" s="7">
        <v>1</v>
      </c>
      <c r="K811" s="9">
        <v>183.17</v>
      </c>
      <c r="L811" s="9">
        <v>164.85</v>
      </c>
      <c r="M811" s="10">
        <v>10</v>
      </c>
      <c r="N811" s="9">
        <v>15.93</v>
      </c>
      <c r="O811" s="9">
        <v>329.59</v>
      </c>
      <c r="P811" s="7" t="s">
        <v>25</v>
      </c>
      <c r="Q811" s="7" t="s">
        <v>26</v>
      </c>
      <c r="R811" s="30">
        <f t="shared" si="12"/>
        <v>9.6633303002729751E-2</v>
      </c>
    </row>
    <row r="812" spans="1:18" x14ac:dyDescent="0.35">
      <c r="A812" s="3" t="s">
        <v>1432</v>
      </c>
      <c r="B812" s="4">
        <v>45928</v>
      </c>
      <c r="C812" s="3" t="s">
        <v>1327</v>
      </c>
      <c r="D812" s="3" t="s">
        <v>19</v>
      </c>
      <c r="E812" s="3" t="s">
        <v>30</v>
      </c>
      <c r="F812" s="3" t="s">
        <v>31</v>
      </c>
      <c r="G812" s="3" t="s">
        <v>42</v>
      </c>
      <c r="H812" s="3" t="s">
        <v>172</v>
      </c>
      <c r="I812" s="3" t="s">
        <v>223</v>
      </c>
      <c r="J812" s="3">
        <v>2</v>
      </c>
      <c r="K812" s="5">
        <v>371.2</v>
      </c>
      <c r="L812" s="5">
        <v>668.16</v>
      </c>
      <c r="M812" s="6">
        <v>10</v>
      </c>
      <c r="N812" s="5">
        <v>109.46</v>
      </c>
      <c r="O812" s="5">
        <v>279.60000000000002</v>
      </c>
      <c r="P812" s="3" t="s">
        <v>64</v>
      </c>
      <c r="Q812" s="3" t="s">
        <v>57</v>
      </c>
      <c r="R812" s="30">
        <f t="shared" si="12"/>
        <v>0.16382303639846743</v>
      </c>
    </row>
    <row r="813" spans="1:18" x14ac:dyDescent="0.35">
      <c r="A813" s="7" t="s">
        <v>1433</v>
      </c>
      <c r="B813" s="8">
        <v>45928</v>
      </c>
      <c r="C813" s="7" t="s">
        <v>203</v>
      </c>
      <c r="D813" s="7" t="s">
        <v>39</v>
      </c>
      <c r="E813" s="7" t="s">
        <v>40</v>
      </c>
      <c r="F813" s="7" t="s">
        <v>90</v>
      </c>
      <c r="G813" s="7" t="s">
        <v>117</v>
      </c>
      <c r="H813" s="7" t="s">
        <v>153</v>
      </c>
      <c r="I813" s="7" t="s">
        <v>154</v>
      </c>
      <c r="J813" s="7">
        <v>3</v>
      </c>
      <c r="K813" s="9">
        <v>895.7</v>
      </c>
      <c r="L813" s="9">
        <v>2552.7399999999998</v>
      </c>
      <c r="M813" s="10">
        <v>5</v>
      </c>
      <c r="N813" s="9">
        <v>663.62</v>
      </c>
      <c r="O813" s="9">
        <v>84.47</v>
      </c>
      <c r="P813" s="7" t="s">
        <v>35</v>
      </c>
      <c r="Q813" s="7" t="s">
        <v>26</v>
      </c>
      <c r="R813" s="30">
        <f t="shared" si="12"/>
        <v>0.25996380359926985</v>
      </c>
    </row>
    <row r="814" spans="1:18" x14ac:dyDescent="0.35">
      <c r="A814" s="3" t="s">
        <v>1434</v>
      </c>
      <c r="B814" s="4">
        <v>45930</v>
      </c>
      <c r="C814" s="3" t="s">
        <v>1010</v>
      </c>
      <c r="D814" s="3" t="s">
        <v>19</v>
      </c>
      <c r="E814" s="3" t="s">
        <v>20</v>
      </c>
      <c r="F814" s="3" t="s">
        <v>129</v>
      </c>
      <c r="G814" s="3" t="s">
        <v>32</v>
      </c>
      <c r="H814" s="3" t="s">
        <v>86</v>
      </c>
      <c r="I814" s="3" t="s">
        <v>211</v>
      </c>
      <c r="J814" s="3">
        <v>1</v>
      </c>
      <c r="K814" s="5">
        <v>8494.86</v>
      </c>
      <c r="L814" s="5">
        <v>8494.86</v>
      </c>
      <c r="M814" s="6">
        <v>0</v>
      </c>
      <c r="N814" s="5">
        <v>1217.67</v>
      </c>
      <c r="O814" s="5">
        <v>318.08</v>
      </c>
      <c r="P814" s="3" t="s">
        <v>25</v>
      </c>
      <c r="Q814" s="3" t="s">
        <v>65</v>
      </c>
      <c r="R814" s="30">
        <f t="shared" si="12"/>
        <v>0.1433419738524237</v>
      </c>
    </row>
    <row r="815" spans="1:18" x14ac:dyDescent="0.35">
      <c r="A815" s="7" t="s">
        <v>1435</v>
      </c>
      <c r="B815" s="8">
        <v>45931</v>
      </c>
      <c r="C815" s="7" t="s">
        <v>1436</v>
      </c>
      <c r="D815" s="7" t="s">
        <v>39</v>
      </c>
      <c r="E815" s="7" t="s">
        <v>60</v>
      </c>
      <c r="F815" s="7" t="s">
        <v>104</v>
      </c>
      <c r="G815" s="7" t="s">
        <v>117</v>
      </c>
      <c r="H815" s="7" t="s">
        <v>153</v>
      </c>
      <c r="I815" s="7" t="s">
        <v>356</v>
      </c>
      <c r="J815" s="7">
        <v>2</v>
      </c>
      <c r="K815" s="9">
        <v>1390.83</v>
      </c>
      <c r="L815" s="9">
        <v>2781.66</v>
      </c>
      <c r="M815" s="10">
        <v>0</v>
      </c>
      <c r="N815" s="9">
        <v>608.78</v>
      </c>
      <c r="O815" s="9">
        <v>313.07</v>
      </c>
      <c r="P815" s="7" t="s">
        <v>25</v>
      </c>
      <c r="Q815" s="7" t="s">
        <v>26</v>
      </c>
      <c r="R815" s="30">
        <f t="shared" si="12"/>
        <v>0.21885492835213505</v>
      </c>
    </row>
    <row r="816" spans="1:18" x14ac:dyDescent="0.35">
      <c r="A816" s="3" t="s">
        <v>1437</v>
      </c>
      <c r="B816" s="4">
        <v>45931</v>
      </c>
      <c r="C816" s="3" t="s">
        <v>1438</v>
      </c>
      <c r="D816" s="3" t="s">
        <v>19</v>
      </c>
      <c r="E816" s="3" t="s">
        <v>30</v>
      </c>
      <c r="F816" s="3" t="s">
        <v>226</v>
      </c>
      <c r="G816" s="3" t="s">
        <v>49</v>
      </c>
      <c r="H816" s="3" t="s">
        <v>91</v>
      </c>
      <c r="I816" s="3" t="s">
        <v>92</v>
      </c>
      <c r="J816" s="3">
        <v>1</v>
      </c>
      <c r="K816" s="5">
        <v>9768.2199999999993</v>
      </c>
      <c r="L816" s="5">
        <v>9279.81</v>
      </c>
      <c r="M816" s="6">
        <v>5</v>
      </c>
      <c r="N816" s="5">
        <v>1820.82</v>
      </c>
      <c r="O816" s="5">
        <v>252.13</v>
      </c>
      <c r="P816" s="3" t="s">
        <v>64</v>
      </c>
      <c r="Q816" s="3" t="s">
        <v>26</v>
      </c>
      <c r="R816" s="30">
        <f t="shared" si="12"/>
        <v>0.19621306901757687</v>
      </c>
    </row>
    <row r="817" spans="1:18" x14ac:dyDescent="0.35">
      <c r="A817" s="7" t="s">
        <v>1439</v>
      </c>
      <c r="B817" s="8">
        <v>45931</v>
      </c>
      <c r="C817" s="7" t="s">
        <v>53</v>
      </c>
      <c r="D817" s="7" t="s">
        <v>29</v>
      </c>
      <c r="E817" s="7" t="s">
        <v>40</v>
      </c>
      <c r="F817" s="7" t="s">
        <v>109</v>
      </c>
      <c r="G817" s="7" t="s">
        <v>134</v>
      </c>
      <c r="H817" s="7" t="s">
        <v>91</v>
      </c>
      <c r="I817" s="7" t="s">
        <v>188</v>
      </c>
      <c r="J817" s="7">
        <v>2</v>
      </c>
      <c r="K817" s="9">
        <v>2686.9</v>
      </c>
      <c r="L817" s="9">
        <v>5105.1099999999997</v>
      </c>
      <c r="M817" s="10">
        <v>5</v>
      </c>
      <c r="N817" s="9">
        <v>782.47</v>
      </c>
      <c r="O817" s="9">
        <v>74.98</v>
      </c>
      <c r="P817" s="7" t="s">
        <v>35</v>
      </c>
      <c r="Q817" s="7" t="s">
        <v>26</v>
      </c>
      <c r="R817" s="30">
        <f t="shared" si="12"/>
        <v>0.15327191774516125</v>
      </c>
    </row>
    <row r="818" spans="1:18" x14ac:dyDescent="0.35">
      <c r="A818" s="3" t="s">
        <v>1440</v>
      </c>
      <c r="B818" s="4">
        <v>45931</v>
      </c>
      <c r="C818" s="3" t="s">
        <v>902</v>
      </c>
      <c r="D818" s="3" t="s">
        <v>29</v>
      </c>
      <c r="E818" s="3" t="s">
        <v>60</v>
      </c>
      <c r="F818" s="3" t="s">
        <v>104</v>
      </c>
      <c r="G818" s="3" t="s">
        <v>49</v>
      </c>
      <c r="H818" s="3" t="s">
        <v>50</v>
      </c>
      <c r="I818" s="3" t="s">
        <v>95</v>
      </c>
      <c r="J818" s="3">
        <v>1</v>
      </c>
      <c r="K818" s="5">
        <v>3640.46</v>
      </c>
      <c r="L818" s="5">
        <v>2912.37</v>
      </c>
      <c r="M818" s="6">
        <v>20</v>
      </c>
      <c r="N818" s="5">
        <v>-172.5</v>
      </c>
      <c r="O818" s="5">
        <v>174.78</v>
      </c>
      <c r="P818" s="3" t="s">
        <v>83</v>
      </c>
      <c r="Q818" s="3" t="s">
        <v>65</v>
      </c>
      <c r="R818" s="30">
        <f t="shared" si="12"/>
        <v>-5.9230111558627514E-2</v>
      </c>
    </row>
    <row r="819" spans="1:18" x14ac:dyDescent="0.35">
      <c r="A819" s="7" t="s">
        <v>1441</v>
      </c>
      <c r="B819" s="8">
        <v>45933</v>
      </c>
      <c r="C819" s="7" t="s">
        <v>175</v>
      </c>
      <c r="D819" s="7" t="s">
        <v>29</v>
      </c>
      <c r="E819" s="7" t="s">
        <v>60</v>
      </c>
      <c r="F819" s="7" t="s">
        <v>72</v>
      </c>
      <c r="G819" s="7" t="s">
        <v>42</v>
      </c>
      <c r="H819" s="7" t="s">
        <v>43</v>
      </c>
      <c r="I819" s="7" t="s">
        <v>208</v>
      </c>
      <c r="J819" s="7">
        <v>1</v>
      </c>
      <c r="K819" s="9">
        <v>853.08</v>
      </c>
      <c r="L819" s="9">
        <v>853.08</v>
      </c>
      <c r="M819" s="10">
        <v>0</v>
      </c>
      <c r="N819" s="9">
        <v>61.78</v>
      </c>
      <c r="O819" s="9">
        <v>52.38</v>
      </c>
      <c r="P819" s="7" t="s">
        <v>64</v>
      </c>
      <c r="Q819" s="7" t="s">
        <v>26</v>
      </c>
      <c r="R819" s="30">
        <f t="shared" si="12"/>
        <v>7.2419937168846996E-2</v>
      </c>
    </row>
    <row r="820" spans="1:18" x14ac:dyDescent="0.35">
      <c r="A820" s="3" t="s">
        <v>1442</v>
      </c>
      <c r="B820" s="4">
        <v>45933</v>
      </c>
      <c r="C820" s="3" t="s">
        <v>1443</v>
      </c>
      <c r="D820" s="3" t="s">
        <v>39</v>
      </c>
      <c r="E820" s="3" t="s">
        <v>20</v>
      </c>
      <c r="F820" s="3" t="s">
        <v>129</v>
      </c>
      <c r="G820" s="3" t="s">
        <v>49</v>
      </c>
      <c r="H820" s="3" t="s">
        <v>91</v>
      </c>
      <c r="I820" s="3" t="s">
        <v>168</v>
      </c>
      <c r="J820" s="3">
        <v>2</v>
      </c>
      <c r="K820" s="5">
        <v>1256.6300000000001</v>
      </c>
      <c r="L820" s="5">
        <v>1759.28</v>
      </c>
      <c r="M820" s="6">
        <v>30</v>
      </c>
      <c r="N820" s="5">
        <v>248.86</v>
      </c>
      <c r="O820" s="5">
        <v>285.45999999999998</v>
      </c>
      <c r="P820" s="3" t="s">
        <v>35</v>
      </c>
      <c r="Q820" s="3" t="s">
        <v>57</v>
      </c>
      <c r="R820" s="30">
        <f t="shared" si="12"/>
        <v>0.14145559547087447</v>
      </c>
    </row>
    <row r="821" spans="1:18" x14ac:dyDescent="0.35">
      <c r="A821" s="7" t="s">
        <v>1444</v>
      </c>
      <c r="B821" s="8">
        <v>45934</v>
      </c>
      <c r="C821" s="7" t="s">
        <v>1118</v>
      </c>
      <c r="D821" s="7" t="s">
        <v>19</v>
      </c>
      <c r="E821" s="7" t="s">
        <v>40</v>
      </c>
      <c r="F821" s="7" t="s">
        <v>77</v>
      </c>
      <c r="G821" s="7" t="s">
        <v>42</v>
      </c>
      <c r="H821" s="7" t="s">
        <v>164</v>
      </c>
      <c r="I821" s="7" t="s">
        <v>329</v>
      </c>
      <c r="J821" s="7">
        <v>2</v>
      </c>
      <c r="K821" s="9">
        <v>541.97</v>
      </c>
      <c r="L821" s="9">
        <v>758.76</v>
      </c>
      <c r="M821" s="10">
        <v>30</v>
      </c>
      <c r="N821" s="9">
        <v>-36.85</v>
      </c>
      <c r="O821" s="9">
        <v>131.63999999999999</v>
      </c>
      <c r="P821" s="7" t="s">
        <v>64</v>
      </c>
      <c r="Q821" s="7" t="s">
        <v>65</v>
      </c>
      <c r="R821" s="30">
        <f t="shared" si="12"/>
        <v>-4.8566081501397018E-2</v>
      </c>
    </row>
    <row r="822" spans="1:18" x14ac:dyDescent="0.35">
      <c r="A822" s="3" t="s">
        <v>1445</v>
      </c>
      <c r="B822" s="4">
        <v>45934</v>
      </c>
      <c r="C822" s="3" t="s">
        <v>1446</v>
      </c>
      <c r="D822" s="3" t="s">
        <v>39</v>
      </c>
      <c r="E822" s="3" t="s">
        <v>40</v>
      </c>
      <c r="F822" s="3" t="s">
        <v>109</v>
      </c>
      <c r="G822" s="3" t="s">
        <v>134</v>
      </c>
      <c r="H822" s="3" t="s">
        <v>135</v>
      </c>
      <c r="I822" s="3" t="s">
        <v>185</v>
      </c>
      <c r="J822" s="3">
        <v>3</v>
      </c>
      <c r="K822" s="5">
        <v>2983.94</v>
      </c>
      <c r="L822" s="5">
        <v>6266.27</v>
      </c>
      <c r="M822" s="6">
        <v>30</v>
      </c>
      <c r="N822" s="5">
        <v>-391.75</v>
      </c>
      <c r="O822" s="5">
        <v>365.13</v>
      </c>
      <c r="P822" s="3" t="s">
        <v>35</v>
      </c>
      <c r="Q822" s="3" t="s">
        <v>65</v>
      </c>
      <c r="R822" s="30">
        <f t="shared" si="12"/>
        <v>-6.2517255081571646E-2</v>
      </c>
    </row>
    <row r="823" spans="1:18" x14ac:dyDescent="0.35">
      <c r="A823" s="7" t="s">
        <v>1447</v>
      </c>
      <c r="B823" s="8">
        <v>45934</v>
      </c>
      <c r="C823" s="7" t="s">
        <v>1179</v>
      </c>
      <c r="D823" s="7" t="s">
        <v>39</v>
      </c>
      <c r="E823" s="7" t="s">
        <v>30</v>
      </c>
      <c r="F823" s="7" t="s">
        <v>226</v>
      </c>
      <c r="G823" s="7" t="s">
        <v>49</v>
      </c>
      <c r="H823" s="7" t="s">
        <v>98</v>
      </c>
      <c r="I823" s="7" t="s">
        <v>299</v>
      </c>
      <c r="J823" s="7">
        <v>1</v>
      </c>
      <c r="K823" s="9">
        <v>3028.57</v>
      </c>
      <c r="L823" s="9">
        <v>2574.2800000000002</v>
      </c>
      <c r="M823" s="10">
        <v>15</v>
      </c>
      <c r="N823" s="9">
        <v>320.61</v>
      </c>
      <c r="O823" s="9">
        <v>294.23</v>
      </c>
      <c r="P823" s="7" t="s">
        <v>35</v>
      </c>
      <c r="Q823" s="7" t="s">
        <v>65</v>
      </c>
      <c r="R823" s="30">
        <f t="shared" si="12"/>
        <v>0.12454356169492052</v>
      </c>
    </row>
    <row r="824" spans="1:18" x14ac:dyDescent="0.35">
      <c r="A824" s="3" t="s">
        <v>1448</v>
      </c>
      <c r="B824" s="4">
        <v>45935</v>
      </c>
      <c r="C824" s="3" t="s">
        <v>1130</v>
      </c>
      <c r="D824" s="3" t="s">
        <v>19</v>
      </c>
      <c r="E824" s="3" t="s">
        <v>20</v>
      </c>
      <c r="F824" s="3" t="s">
        <v>54</v>
      </c>
      <c r="G824" s="3" t="s">
        <v>117</v>
      </c>
      <c r="H824" s="3" t="s">
        <v>153</v>
      </c>
      <c r="I824" s="3" t="s">
        <v>284</v>
      </c>
      <c r="J824" s="3">
        <v>2</v>
      </c>
      <c r="K824" s="5">
        <v>1735.46</v>
      </c>
      <c r="L824" s="5">
        <v>2950.28</v>
      </c>
      <c r="M824" s="6">
        <v>15</v>
      </c>
      <c r="N824" s="5">
        <v>648.67999999999995</v>
      </c>
      <c r="O824" s="5">
        <v>300.3</v>
      </c>
      <c r="P824" s="3" t="s">
        <v>64</v>
      </c>
      <c r="Q824" s="3" t="s">
        <v>36</v>
      </c>
      <c r="R824" s="30">
        <f t="shared" si="12"/>
        <v>0.21987065634448252</v>
      </c>
    </row>
    <row r="825" spans="1:18" x14ac:dyDescent="0.35">
      <c r="A825" s="7" t="s">
        <v>1449</v>
      </c>
      <c r="B825" s="8">
        <v>45935</v>
      </c>
      <c r="C825" s="7" t="s">
        <v>320</v>
      </c>
      <c r="D825" s="7" t="s">
        <v>39</v>
      </c>
      <c r="E825" s="7" t="s">
        <v>60</v>
      </c>
      <c r="F825" s="7" t="s">
        <v>61</v>
      </c>
      <c r="G825" s="7" t="s">
        <v>42</v>
      </c>
      <c r="H825" s="7" t="s">
        <v>172</v>
      </c>
      <c r="I825" s="7" t="s">
        <v>302</v>
      </c>
      <c r="J825" s="7">
        <v>3</v>
      </c>
      <c r="K825" s="9">
        <v>369.27</v>
      </c>
      <c r="L825" s="9">
        <v>886.25</v>
      </c>
      <c r="M825" s="10">
        <v>20</v>
      </c>
      <c r="N825" s="9">
        <v>10.56</v>
      </c>
      <c r="O825" s="9">
        <v>78.739999999999995</v>
      </c>
      <c r="P825" s="7" t="s">
        <v>35</v>
      </c>
      <c r="Q825" s="7" t="s">
        <v>65</v>
      </c>
      <c r="R825" s="30">
        <f t="shared" si="12"/>
        <v>1.191537376586742E-2</v>
      </c>
    </row>
    <row r="826" spans="1:18" x14ac:dyDescent="0.35">
      <c r="A826" s="3" t="s">
        <v>1450</v>
      </c>
      <c r="B826" s="4">
        <v>45935</v>
      </c>
      <c r="C826" s="3" t="s">
        <v>601</v>
      </c>
      <c r="D826" s="3" t="s">
        <v>19</v>
      </c>
      <c r="E826" s="3" t="s">
        <v>20</v>
      </c>
      <c r="F826" s="3" t="s">
        <v>21</v>
      </c>
      <c r="G826" s="3" t="s">
        <v>49</v>
      </c>
      <c r="H826" s="3" t="s">
        <v>98</v>
      </c>
      <c r="I826" s="3" t="s">
        <v>258</v>
      </c>
      <c r="J826" s="3">
        <v>2</v>
      </c>
      <c r="K826" s="5">
        <v>7151.09</v>
      </c>
      <c r="L826" s="5">
        <v>12871.96</v>
      </c>
      <c r="M826" s="6">
        <v>10</v>
      </c>
      <c r="N826" s="5">
        <v>855.4</v>
      </c>
      <c r="O826" s="5">
        <v>276.27999999999997</v>
      </c>
      <c r="P826" s="3" t="s">
        <v>35</v>
      </c>
      <c r="Q826" s="3" t="s">
        <v>57</v>
      </c>
      <c r="R826" s="30">
        <f t="shared" si="12"/>
        <v>6.6454525961858177E-2</v>
      </c>
    </row>
    <row r="827" spans="1:18" x14ac:dyDescent="0.35">
      <c r="A827" s="7" t="s">
        <v>1451</v>
      </c>
      <c r="B827" s="8">
        <v>45937</v>
      </c>
      <c r="C827" s="7" t="s">
        <v>379</v>
      </c>
      <c r="D827" s="7" t="s">
        <v>39</v>
      </c>
      <c r="E827" s="7" t="s">
        <v>60</v>
      </c>
      <c r="F827" s="7" t="s">
        <v>61</v>
      </c>
      <c r="G827" s="7" t="s">
        <v>32</v>
      </c>
      <c r="H827" s="7" t="s">
        <v>143</v>
      </c>
      <c r="I827" s="7" t="s">
        <v>516</v>
      </c>
      <c r="J827" s="7">
        <v>2</v>
      </c>
      <c r="K827" s="9">
        <v>8893.34</v>
      </c>
      <c r="L827" s="9">
        <v>17786.68</v>
      </c>
      <c r="M827" s="10">
        <v>0</v>
      </c>
      <c r="N827" s="9">
        <v>3834.47</v>
      </c>
      <c r="O827" s="9">
        <v>203.17</v>
      </c>
      <c r="P827" s="7" t="s">
        <v>64</v>
      </c>
      <c r="Q827" s="7" t="s">
        <v>36</v>
      </c>
      <c r="R827" s="30">
        <f t="shared" si="12"/>
        <v>0.21558098532160019</v>
      </c>
    </row>
    <row r="828" spans="1:18" x14ac:dyDescent="0.35">
      <c r="A828" s="3" t="s">
        <v>1452</v>
      </c>
      <c r="B828" s="4">
        <v>45937</v>
      </c>
      <c r="C828" s="3" t="s">
        <v>1453</v>
      </c>
      <c r="D828" s="3" t="s">
        <v>19</v>
      </c>
      <c r="E828" s="3" t="s">
        <v>60</v>
      </c>
      <c r="F828" s="3" t="s">
        <v>72</v>
      </c>
      <c r="G828" s="3" t="s">
        <v>117</v>
      </c>
      <c r="H828" s="3" t="s">
        <v>118</v>
      </c>
      <c r="I828" s="3" t="s">
        <v>119</v>
      </c>
      <c r="J828" s="3">
        <v>1</v>
      </c>
      <c r="K828" s="5">
        <v>1055.22</v>
      </c>
      <c r="L828" s="5">
        <v>896.94</v>
      </c>
      <c r="M828" s="6">
        <v>15</v>
      </c>
      <c r="N828" s="5">
        <v>144.96</v>
      </c>
      <c r="O828" s="5">
        <v>30.33</v>
      </c>
      <c r="P828" s="3" t="s">
        <v>25</v>
      </c>
      <c r="Q828" s="3" t="s">
        <v>26</v>
      </c>
      <c r="R828" s="30">
        <f t="shared" si="12"/>
        <v>0.1616161616161616</v>
      </c>
    </row>
    <row r="829" spans="1:18" x14ac:dyDescent="0.35">
      <c r="A829" s="7" t="s">
        <v>1454</v>
      </c>
      <c r="B829" s="8">
        <v>45937</v>
      </c>
      <c r="C829" s="7" t="s">
        <v>76</v>
      </c>
      <c r="D829" s="7" t="s">
        <v>29</v>
      </c>
      <c r="E829" s="7" t="s">
        <v>30</v>
      </c>
      <c r="F829" s="7" t="s">
        <v>31</v>
      </c>
      <c r="G829" s="7" t="s">
        <v>42</v>
      </c>
      <c r="H829" s="7" t="s">
        <v>81</v>
      </c>
      <c r="I829" s="7" t="s">
        <v>621</v>
      </c>
      <c r="J829" s="7">
        <v>2</v>
      </c>
      <c r="K829" s="9">
        <v>783.09</v>
      </c>
      <c r="L829" s="9">
        <v>1409.56</v>
      </c>
      <c r="M829" s="10">
        <v>10</v>
      </c>
      <c r="N829" s="9">
        <v>24.44</v>
      </c>
      <c r="O829" s="9">
        <v>309.55</v>
      </c>
      <c r="P829" s="7" t="s">
        <v>64</v>
      </c>
      <c r="Q829" s="7" t="s">
        <v>36</v>
      </c>
      <c r="R829" s="30">
        <f t="shared" si="12"/>
        <v>1.733874400522149E-2</v>
      </c>
    </row>
    <row r="830" spans="1:18" x14ac:dyDescent="0.35">
      <c r="A830" s="3" t="s">
        <v>1455</v>
      </c>
      <c r="B830" s="4">
        <v>45937</v>
      </c>
      <c r="C830" s="3" t="s">
        <v>1456</v>
      </c>
      <c r="D830" s="3" t="s">
        <v>19</v>
      </c>
      <c r="E830" s="3" t="s">
        <v>40</v>
      </c>
      <c r="F830" s="3" t="s">
        <v>77</v>
      </c>
      <c r="G830" s="3" t="s">
        <v>117</v>
      </c>
      <c r="H830" s="3" t="s">
        <v>130</v>
      </c>
      <c r="I830" s="3" t="s">
        <v>391</v>
      </c>
      <c r="J830" s="3">
        <v>1</v>
      </c>
      <c r="K830" s="5">
        <v>1556.2</v>
      </c>
      <c r="L830" s="5">
        <v>1089.3399999999999</v>
      </c>
      <c r="M830" s="6">
        <v>30</v>
      </c>
      <c r="N830" s="5">
        <v>61.99</v>
      </c>
      <c r="O830" s="5">
        <v>51.56</v>
      </c>
      <c r="P830" s="3" t="s">
        <v>45</v>
      </c>
      <c r="Q830" s="3" t="s">
        <v>57</v>
      </c>
      <c r="R830" s="30">
        <f t="shared" si="12"/>
        <v>5.6906016487047212E-2</v>
      </c>
    </row>
    <row r="831" spans="1:18" x14ac:dyDescent="0.35">
      <c r="A831" s="7" t="s">
        <v>1457</v>
      </c>
      <c r="B831" s="8">
        <v>45937</v>
      </c>
      <c r="C831" s="7" t="s">
        <v>430</v>
      </c>
      <c r="D831" s="7" t="s">
        <v>39</v>
      </c>
      <c r="E831" s="7" t="s">
        <v>30</v>
      </c>
      <c r="F831" s="7" t="s">
        <v>226</v>
      </c>
      <c r="G831" s="7" t="s">
        <v>49</v>
      </c>
      <c r="H831" s="7" t="s">
        <v>98</v>
      </c>
      <c r="I831" s="7" t="s">
        <v>258</v>
      </c>
      <c r="J831" s="7">
        <v>2</v>
      </c>
      <c r="K831" s="9">
        <v>10755.06</v>
      </c>
      <c r="L831" s="9">
        <v>20434.61</v>
      </c>
      <c r="M831" s="10">
        <v>5</v>
      </c>
      <c r="N831" s="9">
        <v>4083.29</v>
      </c>
      <c r="O831" s="9">
        <v>145.59</v>
      </c>
      <c r="P831" s="7" t="s">
        <v>25</v>
      </c>
      <c r="Q831" s="7" t="s">
        <v>57</v>
      </c>
      <c r="R831" s="30">
        <f t="shared" si="12"/>
        <v>0.19982226232847114</v>
      </c>
    </row>
    <row r="832" spans="1:18" x14ac:dyDescent="0.35">
      <c r="A832" s="3" t="s">
        <v>1458</v>
      </c>
      <c r="B832" s="4">
        <v>45938</v>
      </c>
      <c r="C832" s="3" t="s">
        <v>1363</v>
      </c>
      <c r="D832" s="3" t="s">
        <v>39</v>
      </c>
      <c r="E832" s="3" t="s">
        <v>20</v>
      </c>
      <c r="F832" s="3" t="s">
        <v>21</v>
      </c>
      <c r="G832" s="3" t="s">
        <v>42</v>
      </c>
      <c r="H832" s="3" t="s">
        <v>81</v>
      </c>
      <c r="I832" s="3" t="s">
        <v>621</v>
      </c>
      <c r="J832" s="3">
        <v>2</v>
      </c>
      <c r="K832" s="5">
        <v>196.37</v>
      </c>
      <c r="L832" s="5">
        <v>392.74</v>
      </c>
      <c r="M832" s="6">
        <v>0</v>
      </c>
      <c r="N832" s="5">
        <v>68.989999999999995</v>
      </c>
      <c r="O832" s="5">
        <v>154.37</v>
      </c>
      <c r="P832" s="3" t="s">
        <v>83</v>
      </c>
      <c r="Q832" s="3" t="s">
        <v>36</v>
      </c>
      <c r="R832" s="30">
        <f t="shared" si="12"/>
        <v>0.17566328868971837</v>
      </c>
    </row>
    <row r="833" spans="1:18" x14ac:dyDescent="0.35">
      <c r="A833" s="7" t="s">
        <v>1459</v>
      </c>
      <c r="B833" s="8">
        <v>45939</v>
      </c>
      <c r="C833" s="7" t="s">
        <v>1381</v>
      </c>
      <c r="D833" s="7" t="s">
        <v>19</v>
      </c>
      <c r="E833" s="7" t="s">
        <v>60</v>
      </c>
      <c r="F833" s="7" t="s">
        <v>68</v>
      </c>
      <c r="G833" s="7" t="s">
        <v>42</v>
      </c>
      <c r="H833" s="7" t="s">
        <v>81</v>
      </c>
      <c r="I833" s="7" t="s">
        <v>82</v>
      </c>
      <c r="J833" s="7">
        <v>1</v>
      </c>
      <c r="K833" s="9">
        <v>535.29999999999995</v>
      </c>
      <c r="L833" s="9">
        <v>508.53</v>
      </c>
      <c r="M833" s="10">
        <v>5</v>
      </c>
      <c r="N833" s="9">
        <v>90.57</v>
      </c>
      <c r="O833" s="9">
        <v>171.57</v>
      </c>
      <c r="P833" s="7" t="s">
        <v>64</v>
      </c>
      <c r="Q833" s="7" t="s">
        <v>26</v>
      </c>
      <c r="R833" s="30">
        <f t="shared" si="12"/>
        <v>0.17810158692702496</v>
      </c>
    </row>
    <row r="834" spans="1:18" x14ac:dyDescent="0.35">
      <c r="A834" s="3" t="s">
        <v>1460</v>
      </c>
      <c r="B834" s="4">
        <v>45939</v>
      </c>
      <c r="C834" s="3" t="s">
        <v>1461</v>
      </c>
      <c r="D834" s="3" t="s">
        <v>39</v>
      </c>
      <c r="E834" s="3" t="s">
        <v>20</v>
      </c>
      <c r="F834" s="3" t="s">
        <v>129</v>
      </c>
      <c r="G834" s="3" t="s">
        <v>49</v>
      </c>
      <c r="H834" s="3" t="s">
        <v>62</v>
      </c>
      <c r="I834" s="3" t="s">
        <v>122</v>
      </c>
      <c r="J834" s="3">
        <v>2</v>
      </c>
      <c r="K834" s="5">
        <v>3849.25</v>
      </c>
      <c r="L834" s="5">
        <v>6543.72</v>
      </c>
      <c r="M834" s="6">
        <v>15</v>
      </c>
      <c r="N834" s="5">
        <v>-98.75</v>
      </c>
      <c r="O834" s="5">
        <v>196.35</v>
      </c>
      <c r="P834" s="3" t="s">
        <v>64</v>
      </c>
      <c r="Q834" s="3" t="s">
        <v>57</v>
      </c>
      <c r="R834" s="30">
        <f t="shared" si="12"/>
        <v>-1.5090804618779532E-2</v>
      </c>
    </row>
    <row r="835" spans="1:18" x14ac:dyDescent="0.35">
      <c r="A835" s="7" t="s">
        <v>1462</v>
      </c>
      <c r="B835" s="8">
        <v>45939</v>
      </c>
      <c r="C835" s="7" t="s">
        <v>426</v>
      </c>
      <c r="D835" s="7" t="s">
        <v>19</v>
      </c>
      <c r="E835" s="7" t="s">
        <v>60</v>
      </c>
      <c r="F835" s="7" t="s">
        <v>68</v>
      </c>
      <c r="G835" s="7" t="s">
        <v>49</v>
      </c>
      <c r="H835" s="7" t="s">
        <v>50</v>
      </c>
      <c r="I835" s="7" t="s">
        <v>485</v>
      </c>
      <c r="J835" s="7">
        <v>1</v>
      </c>
      <c r="K835" s="9">
        <v>5526.61</v>
      </c>
      <c r="L835" s="9">
        <v>5250.28</v>
      </c>
      <c r="M835" s="10">
        <v>5</v>
      </c>
      <c r="N835" s="9">
        <v>1098.3599999999999</v>
      </c>
      <c r="O835" s="9">
        <v>216.77</v>
      </c>
      <c r="P835" s="7" t="s">
        <v>64</v>
      </c>
      <c r="Q835" s="7" t="s">
        <v>26</v>
      </c>
      <c r="R835" s="30">
        <f t="shared" ref="R835:R898" si="13">N835/L835</f>
        <v>0.20920027122362997</v>
      </c>
    </row>
    <row r="836" spans="1:18" x14ac:dyDescent="0.35">
      <c r="A836" s="3" t="s">
        <v>1463</v>
      </c>
      <c r="B836" s="4">
        <v>45939</v>
      </c>
      <c r="C836" s="3" t="s">
        <v>152</v>
      </c>
      <c r="D836" s="3" t="s">
        <v>19</v>
      </c>
      <c r="E836" s="3" t="s">
        <v>30</v>
      </c>
      <c r="F836" s="3" t="s">
        <v>48</v>
      </c>
      <c r="G836" s="3" t="s">
        <v>22</v>
      </c>
      <c r="H836" s="3" t="s">
        <v>110</v>
      </c>
      <c r="I836" s="3" t="s">
        <v>480</v>
      </c>
      <c r="J836" s="3">
        <v>2</v>
      </c>
      <c r="K836" s="5">
        <v>25078.48</v>
      </c>
      <c r="L836" s="5">
        <v>45141.26</v>
      </c>
      <c r="M836" s="6">
        <v>10</v>
      </c>
      <c r="N836" s="5">
        <v>4411.1000000000004</v>
      </c>
      <c r="O836" s="5">
        <v>348.12</v>
      </c>
      <c r="P836" s="3" t="s">
        <v>64</v>
      </c>
      <c r="Q836" s="3" t="s">
        <v>57</v>
      </c>
      <c r="R836" s="30">
        <f t="shared" si="13"/>
        <v>9.7717697733736286E-2</v>
      </c>
    </row>
    <row r="837" spans="1:18" x14ac:dyDescent="0.35">
      <c r="A837" s="7" t="s">
        <v>1464</v>
      </c>
      <c r="B837" s="8">
        <v>45940</v>
      </c>
      <c r="C837" s="7" t="s">
        <v>529</v>
      </c>
      <c r="D837" s="7" t="s">
        <v>19</v>
      </c>
      <c r="E837" s="7" t="s">
        <v>20</v>
      </c>
      <c r="F837" s="7" t="s">
        <v>54</v>
      </c>
      <c r="G837" s="7" t="s">
        <v>22</v>
      </c>
      <c r="H837" s="7" t="s">
        <v>55</v>
      </c>
      <c r="I837" s="7" t="s">
        <v>323</v>
      </c>
      <c r="J837" s="7">
        <v>1</v>
      </c>
      <c r="K837" s="9">
        <v>52469.91</v>
      </c>
      <c r="L837" s="9">
        <v>49846.41</v>
      </c>
      <c r="M837" s="10">
        <v>5</v>
      </c>
      <c r="N837" s="9">
        <v>4788.4799999999996</v>
      </c>
      <c r="O837" s="9">
        <v>163.68</v>
      </c>
      <c r="P837" s="7" t="s">
        <v>64</v>
      </c>
      <c r="Q837" s="7" t="s">
        <v>26</v>
      </c>
      <c r="R837" s="30">
        <f t="shared" si="13"/>
        <v>9.6064691519409301E-2</v>
      </c>
    </row>
    <row r="838" spans="1:18" x14ac:dyDescent="0.35">
      <c r="A838" s="3" t="s">
        <v>1465</v>
      </c>
      <c r="B838" s="4">
        <v>45940</v>
      </c>
      <c r="C838" s="3" t="s">
        <v>1466</v>
      </c>
      <c r="D838" s="3" t="s">
        <v>29</v>
      </c>
      <c r="E838" s="3" t="s">
        <v>20</v>
      </c>
      <c r="F838" s="3" t="s">
        <v>54</v>
      </c>
      <c r="G838" s="3" t="s">
        <v>22</v>
      </c>
      <c r="H838" s="3" t="s">
        <v>23</v>
      </c>
      <c r="I838" s="3" t="s">
        <v>78</v>
      </c>
      <c r="J838" s="3">
        <v>2</v>
      </c>
      <c r="K838" s="5">
        <v>43139.15</v>
      </c>
      <c r="L838" s="5">
        <v>86278.3</v>
      </c>
      <c r="M838" s="6">
        <v>0</v>
      </c>
      <c r="N838" s="5">
        <v>7246.98</v>
      </c>
      <c r="O838" s="5">
        <v>196.13</v>
      </c>
      <c r="P838" s="3" t="s">
        <v>35</v>
      </c>
      <c r="Q838" s="3" t="s">
        <v>65</v>
      </c>
      <c r="R838" s="30">
        <f t="shared" si="13"/>
        <v>8.3995396293158289E-2</v>
      </c>
    </row>
    <row r="839" spans="1:18" x14ac:dyDescent="0.35">
      <c r="A839" s="7" t="s">
        <v>1467</v>
      </c>
      <c r="B839" s="8">
        <v>45941</v>
      </c>
      <c r="C839" s="7" t="s">
        <v>880</v>
      </c>
      <c r="D839" s="7" t="s">
        <v>19</v>
      </c>
      <c r="E839" s="7" t="s">
        <v>30</v>
      </c>
      <c r="F839" s="7" t="s">
        <v>48</v>
      </c>
      <c r="G839" s="7" t="s">
        <v>134</v>
      </c>
      <c r="H839" s="7" t="s">
        <v>139</v>
      </c>
      <c r="I839" s="7" t="s">
        <v>220</v>
      </c>
      <c r="J839" s="7">
        <v>4</v>
      </c>
      <c r="K839" s="9">
        <v>1377.14</v>
      </c>
      <c r="L839" s="9">
        <v>4406.8500000000004</v>
      </c>
      <c r="M839" s="10">
        <v>20</v>
      </c>
      <c r="N839" s="9">
        <v>334.03</v>
      </c>
      <c r="O839" s="9">
        <v>188.7</v>
      </c>
      <c r="P839" s="7" t="s">
        <v>64</v>
      </c>
      <c r="Q839" s="7" t="s">
        <v>26</v>
      </c>
      <c r="R839" s="30">
        <f t="shared" si="13"/>
        <v>7.5797905533430895E-2</v>
      </c>
    </row>
    <row r="840" spans="1:18" x14ac:dyDescent="0.35">
      <c r="A840" s="3" t="s">
        <v>1468</v>
      </c>
      <c r="B840" s="4">
        <v>45941</v>
      </c>
      <c r="C840" s="3" t="s">
        <v>604</v>
      </c>
      <c r="D840" s="3" t="s">
        <v>39</v>
      </c>
      <c r="E840" s="3" t="s">
        <v>60</v>
      </c>
      <c r="F840" s="3" t="s">
        <v>68</v>
      </c>
      <c r="G840" s="3" t="s">
        <v>22</v>
      </c>
      <c r="H840" s="3" t="s">
        <v>110</v>
      </c>
      <c r="I840" s="3" t="s">
        <v>359</v>
      </c>
      <c r="J840" s="3">
        <v>1</v>
      </c>
      <c r="K840" s="5">
        <v>13995.74</v>
      </c>
      <c r="L840" s="5">
        <v>12596.17</v>
      </c>
      <c r="M840" s="6">
        <v>10</v>
      </c>
      <c r="N840" s="5">
        <v>-1107.44</v>
      </c>
      <c r="O840" s="5">
        <v>95.15</v>
      </c>
      <c r="P840" s="3" t="s">
        <v>64</v>
      </c>
      <c r="Q840" s="3" t="s">
        <v>65</v>
      </c>
      <c r="R840" s="30">
        <f t="shared" si="13"/>
        <v>-8.791878801254667E-2</v>
      </c>
    </row>
    <row r="841" spans="1:18" x14ac:dyDescent="0.35">
      <c r="A841" s="7" t="s">
        <v>1469</v>
      </c>
      <c r="B841" s="8">
        <v>45941</v>
      </c>
      <c r="C841" s="7" t="s">
        <v>286</v>
      </c>
      <c r="D841" s="7" t="s">
        <v>19</v>
      </c>
      <c r="E841" s="7" t="s">
        <v>30</v>
      </c>
      <c r="F841" s="7" t="s">
        <v>31</v>
      </c>
      <c r="G841" s="7" t="s">
        <v>49</v>
      </c>
      <c r="H841" s="7" t="s">
        <v>62</v>
      </c>
      <c r="I841" s="7" t="s">
        <v>341</v>
      </c>
      <c r="J841" s="7">
        <v>1</v>
      </c>
      <c r="K841" s="9">
        <v>8316.75</v>
      </c>
      <c r="L841" s="9">
        <v>7900.91</v>
      </c>
      <c r="M841" s="10">
        <v>5</v>
      </c>
      <c r="N841" s="9">
        <v>1461.03</v>
      </c>
      <c r="O841" s="9">
        <v>107.4</v>
      </c>
      <c r="P841" s="7" t="s">
        <v>25</v>
      </c>
      <c r="Q841" s="7" t="s">
        <v>65</v>
      </c>
      <c r="R841" s="30">
        <f t="shared" si="13"/>
        <v>0.18491920550923882</v>
      </c>
    </row>
    <row r="842" spans="1:18" x14ac:dyDescent="0.35">
      <c r="A842" s="3" t="s">
        <v>1470</v>
      </c>
      <c r="B842" s="4">
        <v>45941</v>
      </c>
      <c r="C842" s="3" t="s">
        <v>1471</v>
      </c>
      <c r="D842" s="3" t="s">
        <v>39</v>
      </c>
      <c r="E842" s="3" t="s">
        <v>30</v>
      </c>
      <c r="F842" s="3" t="s">
        <v>48</v>
      </c>
      <c r="G842" s="3" t="s">
        <v>22</v>
      </c>
      <c r="H842" s="3" t="s">
        <v>55</v>
      </c>
      <c r="I842" s="3" t="s">
        <v>416</v>
      </c>
      <c r="J842" s="3">
        <v>1</v>
      </c>
      <c r="K842" s="5">
        <v>26658.45</v>
      </c>
      <c r="L842" s="5">
        <v>22659.68</v>
      </c>
      <c r="M842" s="6">
        <v>15</v>
      </c>
      <c r="N842" s="5">
        <v>809.24</v>
      </c>
      <c r="O842" s="5">
        <v>298.74</v>
      </c>
      <c r="P842" s="3" t="s">
        <v>35</v>
      </c>
      <c r="Q842" s="3" t="s">
        <v>57</v>
      </c>
      <c r="R842" s="30">
        <f t="shared" si="13"/>
        <v>3.5712772642861684E-2</v>
      </c>
    </row>
    <row r="843" spans="1:18" x14ac:dyDescent="0.35">
      <c r="A843" s="7" t="s">
        <v>1472</v>
      </c>
      <c r="B843" s="8">
        <v>45941</v>
      </c>
      <c r="C843" s="7" t="s">
        <v>1473</v>
      </c>
      <c r="D843" s="7" t="s">
        <v>39</v>
      </c>
      <c r="E843" s="7" t="s">
        <v>40</v>
      </c>
      <c r="F843" s="7" t="s">
        <v>77</v>
      </c>
      <c r="G843" s="7" t="s">
        <v>49</v>
      </c>
      <c r="H843" s="7" t="s">
        <v>62</v>
      </c>
      <c r="I843" s="7" t="s">
        <v>122</v>
      </c>
      <c r="J843" s="7">
        <v>2</v>
      </c>
      <c r="K843" s="9">
        <v>7778.42</v>
      </c>
      <c r="L843" s="9">
        <v>15556.84</v>
      </c>
      <c r="M843" s="10">
        <v>0</v>
      </c>
      <c r="N843" s="9">
        <v>2500.9499999999998</v>
      </c>
      <c r="O843" s="9">
        <v>105.13</v>
      </c>
      <c r="P843" s="7" t="s">
        <v>83</v>
      </c>
      <c r="Q843" s="7" t="s">
        <v>57</v>
      </c>
      <c r="R843" s="30">
        <f t="shared" si="13"/>
        <v>0.1607620827880212</v>
      </c>
    </row>
    <row r="844" spans="1:18" x14ac:dyDescent="0.35">
      <c r="A844" s="3" t="s">
        <v>1474</v>
      </c>
      <c r="B844" s="4">
        <v>45942</v>
      </c>
      <c r="C844" s="3" t="s">
        <v>593</v>
      </c>
      <c r="D844" s="3" t="s">
        <v>39</v>
      </c>
      <c r="E844" s="3" t="s">
        <v>30</v>
      </c>
      <c r="F844" s="3" t="s">
        <v>48</v>
      </c>
      <c r="G844" s="3" t="s">
        <v>42</v>
      </c>
      <c r="H844" s="3" t="s">
        <v>81</v>
      </c>
      <c r="I844" s="3" t="s">
        <v>248</v>
      </c>
      <c r="J844" s="3">
        <v>1</v>
      </c>
      <c r="K844" s="5">
        <v>809.86</v>
      </c>
      <c r="L844" s="5">
        <v>688.38</v>
      </c>
      <c r="M844" s="6">
        <v>15</v>
      </c>
      <c r="N844" s="5">
        <v>-35.82</v>
      </c>
      <c r="O844" s="5">
        <v>333.75</v>
      </c>
      <c r="P844" s="3" t="s">
        <v>64</v>
      </c>
      <c r="Q844" s="3" t="s">
        <v>26</v>
      </c>
      <c r="R844" s="30">
        <f t="shared" si="13"/>
        <v>-5.2035213109038615E-2</v>
      </c>
    </row>
    <row r="845" spans="1:18" x14ac:dyDescent="0.35">
      <c r="A845" s="7" t="s">
        <v>1475</v>
      </c>
      <c r="B845" s="8">
        <v>45942</v>
      </c>
      <c r="C845" s="7" t="s">
        <v>1170</v>
      </c>
      <c r="D845" s="7" t="s">
        <v>39</v>
      </c>
      <c r="E845" s="7" t="s">
        <v>20</v>
      </c>
      <c r="F845" s="7" t="s">
        <v>129</v>
      </c>
      <c r="G845" s="7" t="s">
        <v>49</v>
      </c>
      <c r="H845" s="7" t="s">
        <v>91</v>
      </c>
      <c r="I845" s="7" t="s">
        <v>206</v>
      </c>
      <c r="J845" s="7">
        <v>1</v>
      </c>
      <c r="K845" s="9">
        <v>13961.89</v>
      </c>
      <c r="L845" s="9">
        <v>10471.42</v>
      </c>
      <c r="M845" s="10">
        <v>25</v>
      </c>
      <c r="N845" s="9">
        <v>716.06</v>
      </c>
      <c r="O845" s="9">
        <v>97.72</v>
      </c>
      <c r="P845" s="7" t="s">
        <v>25</v>
      </c>
      <c r="Q845" s="7" t="s">
        <v>65</v>
      </c>
      <c r="R845" s="30">
        <f t="shared" si="13"/>
        <v>6.8382320640371599E-2</v>
      </c>
    </row>
    <row r="846" spans="1:18" x14ac:dyDescent="0.35">
      <c r="A846" s="3" t="s">
        <v>1476</v>
      </c>
      <c r="B846" s="4">
        <v>45942</v>
      </c>
      <c r="C846" s="3" t="s">
        <v>1429</v>
      </c>
      <c r="D846" s="3" t="s">
        <v>19</v>
      </c>
      <c r="E846" s="3" t="s">
        <v>40</v>
      </c>
      <c r="F846" s="3" t="s">
        <v>109</v>
      </c>
      <c r="G846" s="3" t="s">
        <v>22</v>
      </c>
      <c r="H846" s="3" t="s">
        <v>110</v>
      </c>
      <c r="I846" s="3" t="s">
        <v>359</v>
      </c>
      <c r="J846" s="3">
        <v>3</v>
      </c>
      <c r="K846" s="5">
        <v>63133.85</v>
      </c>
      <c r="L846" s="5">
        <v>179931.47</v>
      </c>
      <c r="M846" s="6">
        <v>5</v>
      </c>
      <c r="N846" s="5">
        <v>24280.05</v>
      </c>
      <c r="O846" s="5">
        <v>361.54</v>
      </c>
      <c r="P846" s="3" t="s">
        <v>45</v>
      </c>
      <c r="Q846" s="3" t="s">
        <v>26</v>
      </c>
      <c r="R846" s="30">
        <f t="shared" si="13"/>
        <v>0.13494054152950566</v>
      </c>
    </row>
    <row r="847" spans="1:18" x14ac:dyDescent="0.35">
      <c r="A847" s="7" t="s">
        <v>1477</v>
      </c>
      <c r="B847" s="8">
        <v>45943</v>
      </c>
      <c r="C847" s="7" t="s">
        <v>599</v>
      </c>
      <c r="D847" s="7" t="s">
        <v>29</v>
      </c>
      <c r="E847" s="7" t="s">
        <v>20</v>
      </c>
      <c r="F847" s="7" t="s">
        <v>54</v>
      </c>
      <c r="G847" s="7" t="s">
        <v>134</v>
      </c>
      <c r="H847" s="7" t="s">
        <v>244</v>
      </c>
      <c r="I847" s="7" t="s">
        <v>334</v>
      </c>
      <c r="J847" s="7">
        <v>1</v>
      </c>
      <c r="K847" s="9">
        <v>1806.21</v>
      </c>
      <c r="L847" s="9">
        <v>1715.9</v>
      </c>
      <c r="M847" s="10">
        <v>5</v>
      </c>
      <c r="N847" s="9">
        <v>293.92</v>
      </c>
      <c r="O847" s="9">
        <v>275.29000000000002</v>
      </c>
      <c r="P847" s="7" t="s">
        <v>64</v>
      </c>
      <c r="Q847" s="7" t="s">
        <v>65</v>
      </c>
      <c r="R847" s="30">
        <f t="shared" si="13"/>
        <v>0.17129203333527596</v>
      </c>
    </row>
    <row r="848" spans="1:18" x14ac:dyDescent="0.35">
      <c r="A848" s="3" t="s">
        <v>1478</v>
      </c>
      <c r="B848" s="4">
        <v>45943</v>
      </c>
      <c r="C848" s="3" t="s">
        <v>809</v>
      </c>
      <c r="D848" s="3" t="s">
        <v>29</v>
      </c>
      <c r="E848" s="3" t="s">
        <v>60</v>
      </c>
      <c r="F848" s="3" t="s">
        <v>68</v>
      </c>
      <c r="G848" s="3" t="s">
        <v>32</v>
      </c>
      <c r="H848" s="3" t="s">
        <v>86</v>
      </c>
      <c r="I848" s="3" t="s">
        <v>227</v>
      </c>
      <c r="J848" s="3">
        <v>2</v>
      </c>
      <c r="K848" s="5">
        <v>11993.81</v>
      </c>
      <c r="L848" s="5">
        <v>21588.86</v>
      </c>
      <c r="M848" s="6">
        <v>10</v>
      </c>
      <c r="N848" s="5">
        <v>2249.48</v>
      </c>
      <c r="O848" s="5">
        <v>78.540000000000006</v>
      </c>
      <c r="P848" s="3" t="s">
        <v>35</v>
      </c>
      <c r="Q848" s="3" t="s">
        <v>65</v>
      </c>
      <c r="R848" s="30">
        <f t="shared" si="13"/>
        <v>0.10419633088546593</v>
      </c>
    </row>
    <row r="849" spans="1:18" x14ac:dyDescent="0.35">
      <c r="A849" s="7" t="s">
        <v>1479</v>
      </c>
      <c r="B849" s="8">
        <v>45944</v>
      </c>
      <c r="C849" s="7" t="s">
        <v>1034</v>
      </c>
      <c r="D849" s="7" t="s">
        <v>39</v>
      </c>
      <c r="E849" s="7" t="s">
        <v>20</v>
      </c>
      <c r="F849" s="7" t="s">
        <v>21</v>
      </c>
      <c r="G849" s="7" t="s">
        <v>117</v>
      </c>
      <c r="H849" s="7" t="s">
        <v>118</v>
      </c>
      <c r="I849" s="7" t="s">
        <v>438</v>
      </c>
      <c r="J849" s="7">
        <v>1</v>
      </c>
      <c r="K849" s="9">
        <v>1749.51</v>
      </c>
      <c r="L849" s="9">
        <v>1749.51</v>
      </c>
      <c r="M849" s="10">
        <v>0</v>
      </c>
      <c r="N849" s="9">
        <v>489.84</v>
      </c>
      <c r="O849" s="9">
        <v>275.60000000000002</v>
      </c>
      <c r="P849" s="7" t="s">
        <v>35</v>
      </c>
      <c r="Q849" s="7" t="s">
        <v>57</v>
      </c>
      <c r="R849" s="30">
        <f t="shared" si="13"/>
        <v>0.27998696777954968</v>
      </c>
    </row>
    <row r="850" spans="1:18" x14ac:dyDescent="0.35">
      <c r="A850" s="3" t="s">
        <v>1480</v>
      </c>
      <c r="B850" s="4">
        <v>45944</v>
      </c>
      <c r="C850" s="3" t="s">
        <v>1446</v>
      </c>
      <c r="D850" s="3" t="s">
        <v>29</v>
      </c>
      <c r="E850" s="3" t="s">
        <v>40</v>
      </c>
      <c r="F850" s="3" t="s">
        <v>90</v>
      </c>
      <c r="G850" s="3" t="s">
        <v>42</v>
      </c>
      <c r="H850" s="3" t="s">
        <v>43</v>
      </c>
      <c r="I850" s="3" t="s">
        <v>751</v>
      </c>
      <c r="J850" s="3">
        <v>1</v>
      </c>
      <c r="K850" s="5">
        <v>238.92</v>
      </c>
      <c r="L850" s="5">
        <v>203.08</v>
      </c>
      <c r="M850" s="6">
        <v>15</v>
      </c>
      <c r="N850" s="5">
        <v>-2</v>
      </c>
      <c r="O850" s="5">
        <v>179.34</v>
      </c>
      <c r="P850" s="3" t="s">
        <v>64</v>
      </c>
      <c r="Q850" s="3" t="s">
        <v>57</v>
      </c>
      <c r="R850" s="30">
        <f t="shared" si="13"/>
        <v>-9.8483356312783141E-3</v>
      </c>
    </row>
    <row r="851" spans="1:18" x14ac:dyDescent="0.35">
      <c r="A851" s="7" t="s">
        <v>1481</v>
      </c>
      <c r="B851" s="8">
        <v>45944</v>
      </c>
      <c r="C851" s="7" t="s">
        <v>819</v>
      </c>
      <c r="D851" s="7" t="s">
        <v>39</v>
      </c>
      <c r="E851" s="7" t="s">
        <v>40</v>
      </c>
      <c r="F851" s="7" t="s">
        <v>90</v>
      </c>
      <c r="G851" s="7" t="s">
        <v>32</v>
      </c>
      <c r="H851" s="7" t="s">
        <v>73</v>
      </c>
      <c r="I851" s="7" t="s">
        <v>74</v>
      </c>
      <c r="J851" s="7">
        <v>2</v>
      </c>
      <c r="K851" s="9">
        <v>4663.3999999999996</v>
      </c>
      <c r="L851" s="9">
        <v>8860.4599999999991</v>
      </c>
      <c r="M851" s="10">
        <v>5</v>
      </c>
      <c r="N851" s="9">
        <v>1554.02</v>
      </c>
      <c r="O851" s="9">
        <v>183.4</v>
      </c>
      <c r="P851" s="7" t="s">
        <v>25</v>
      </c>
      <c r="Q851" s="7" t="s">
        <v>26</v>
      </c>
      <c r="R851" s="30">
        <f t="shared" si="13"/>
        <v>0.17538818526351907</v>
      </c>
    </row>
    <row r="852" spans="1:18" x14ac:dyDescent="0.35">
      <c r="A852" s="3" t="s">
        <v>1482</v>
      </c>
      <c r="B852" s="4">
        <v>45944</v>
      </c>
      <c r="C852" s="3" t="s">
        <v>631</v>
      </c>
      <c r="D852" s="3" t="s">
        <v>39</v>
      </c>
      <c r="E852" s="3" t="s">
        <v>60</v>
      </c>
      <c r="F852" s="3" t="s">
        <v>72</v>
      </c>
      <c r="G852" s="3" t="s">
        <v>134</v>
      </c>
      <c r="H852" s="3" t="s">
        <v>244</v>
      </c>
      <c r="I852" s="3" t="s">
        <v>334</v>
      </c>
      <c r="J852" s="3">
        <v>4</v>
      </c>
      <c r="K852" s="5">
        <v>4233.09</v>
      </c>
      <c r="L852" s="5">
        <v>16932.36</v>
      </c>
      <c r="M852" s="6">
        <v>0</v>
      </c>
      <c r="N852" s="5">
        <v>3770.83</v>
      </c>
      <c r="O852" s="5">
        <v>355.35</v>
      </c>
      <c r="P852" s="3" t="s">
        <v>64</v>
      </c>
      <c r="Q852" s="3" t="s">
        <v>26</v>
      </c>
      <c r="R852" s="30">
        <f t="shared" si="13"/>
        <v>0.22269961186745379</v>
      </c>
    </row>
    <row r="853" spans="1:18" x14ac:dyDescent="0.35">
      <c r="A853" s="7" t="s">
        <v>1483</v>
      </c>
      <c r="B853" s="8">
        <v>45945</v>
      </c>
      <c r="C853" s="7" t="s">
        <v>1484</v>
      </c>
      <c r="D853" s="7" t="s">
        <v>19</v>
      </c>
      <c r="E853" s="7" t="s">
        <v>40</v>
      </c>
      <c r="F853" s="7" t="s">
        <v>77</v>
      </c>
      <c r="G853" s="7" t="s">
        <v>134</v>
      </c>
      <c r="H853" s="7" t="s">
        <v>139</v>
      </c>
      <c r="I853" s="7" t="s">
        <v>587</v>
      </c>
      <c r="J853" s="7">
        <v>2</v>
      </c>
      <c r="K853" s="9">
        <v>794.13</v>
      </c>
      <c r="L853" s="9">
        <v>1350.02</v>
      </c>
      <c r="M853" s="10">
        <v>15</v>
      </c>
      <c r="N853" s="9">
        <v>129.46</v>
      </c>
      <c r="O853" s="9">
        <v>166.89</v>
      </c>
      <c r="P853" s="7" t="s">
        <v>83</v>
      </c>
      <c r="Q853" s="7" t="s">
        <v>65</v>
      </c>
      <c r="R853" s="30">
        <f t="shared" si="13"/>
        <v>9.5894875631472129E-2</v>
      </c>
    </row>
    <row r="854" spans="1:18" x14ac:dyDescent="0.35">
      <c r="A854" s="3" t="s">
        <v>1485</v>
      </c>
      <c r="B854" s="4">
        <v>45946</v>
      </c>
      <c r="C854" s="3" t="s">
        <v>175</v>
      </c>
      <c r="D854" s="3" t="s">
        <v>29</v>
      </c>
      <c r="E854" s="3" t="s">
        <v>40</v>
      </c>
      <c r="F854" s="3" t="s">
        <v>77</v>
      </c>
      <c r="G854" s="3" t="s">
        <v>134</v>
      </c>
      <c r="H854" s="3" t="s">
        <v>135</v>
      </c>
      <c r="I854" s="3" t="s">
        <v>136</v>
      </c>
      <c r="J854" s="3">
        <v>1</v>
      </c>
      <c r="K854" s="5">
        <v>3473.31</v>
      </c>
      <c r="L854" s="5">
        <v>3473.31</v>
      </c>
      <c r="M854" s="6">
        <v>0</v>
      </c>
      <c r="N854" s="5">
        <v>623.72</v>
      </c>
      <c r="O854" s="5">
        <v>327.5</v>
      </c>
      <c r="P854" s="3" t="s">
        <v>35</v>
      </c>
      <c r="Q854" s="3" t="s">
        <v>57</v>
      </c>
      <c r="R854" s="30">
        <f t="shared" si="13"/>
        <v>0.17957510271182245</v>
      </c>
    </row>
    <row r="855" spans="1:18" x14ac:dyDescent="0.35">
      <c r="A855" s="7" t="s">
        <v>1486</v>
      </c>
      <c r="B855" s="8">
        <v>45946</v>
      </c>
      <c r="C855" s="7" t="s">
        <v>616</v>
      </c>
      <c r="D855" s="7" t="s">
        <v>39</v>
      </c>
      <c r="E855" s="7" t="s">
        <v>60</v>
      </c>
      <c r="F855" s="7" t="s">
        <v>104</v>
      </c>
      <c r="G855" s="7" t="s">
        <v>49</v>
      </c>
      <c r="H855" s="7" t="s">
        <v>98</v>
      </c>
      <c r="I855" s="7" t="s">
        <v>258</v>
      </c>
      <c r="J855" s="7">
        <v>3</v>
      </c>
      <c r="K855" s="9">
        <v>12416.09</v>
      </c>
      <c r="L855" s="9">
        <v>37248.269999999997</v>
      </c>
      <c r="M855" s="10">
        <v>0</v>
      </c>
      <c r="N855" s="9">
        <v>7946.89</v>
      </c>
      <c r="O855" s="9">
        <v>183.08</v>
      </c>
      <c r="P855" s="7" t="s">
        <v>25</v>
      </c>
      <c r="Q855" s="7" t="s">
        <v>36</v>
      </c>
      <c r="R855" s="30">
        <f t="shared" si="13"/>
        <v>0.21334923742767117</v>
      </c>
    </row>
    <row r="856" spans="1:18" x14ac:dyDescent="0.35">
      <c r="A856" s="3" t="s">
        <v>1487</v>
      </c>
      <c r="B856" s="4">
        <v>45946</v>
      </c>
      <c r="C856" s="3" t="s">
        <v>982</v>
      </c>
      <c r="D856" s="3" t="s">
        <v>29</v>
      </c>
      <c r="E856" s="3" t="s">
        <v>40</v>
      </c>
      <c r="F856" s="3" t="s">
        <v>90</v>
      </c>
      <c r="G856" s="3" t="s">
        <v>42</v>
      </c>
      <c r="H856" s="3" t="s">
        <v>172</v>
      </c>
      <c r="I856" s="3" t="s">
        <v>1014</v>
      </c>
      <c r="J856" s="3">
        <v>1</v>
      </c>
      <c r="K856" s="5">
        <v>365.13</v>
      </c>
      <c r="L856" s="5">
        <v>310.36</v>
      </c>
      <c r="M856" s="6">
        <v>15</v>
      </c>
      <c r="N856" s="5">
        <v>13.03</v>
      </c>
      <c r="O856" s="5">
        <v>174.4</v>
      </c>
      <c r="P856" s="3" t="s">
        <v>64</v>
      </c>
      <c r="Q856" s="3" t="s">
        <v>26</v>
      </c>
      <c r="R856" s="30">
        <f t="shared" si="13"/>
        <v>4.1983503028740814E-2</v>
      </c>
    </row>
    <row r="857" spans="1:18" x14ac:dyDescent="0.35">
      <c r="A857" s="7" t="s">
        <v>1488</v>
      </c>
      <c r="B857" s="8">
        <v>45946</v>
      </c>
      <c r="C857" s="7" t="s">
        <v>1305</v>
      </c>
      <c r="D857" s="7" t="s">
        <v>39</v>
      </c>
      <c r="E857" s="7" t="s">
        <v>20</v>
      </c>
      <c r="F857" s="7" t="s">
        <v>129</v>
      </c>
      <c r="G857" s="7" t="s">
        <v>42</v>
      </c>
      <c r="H857" s="7" t="s">
        <v>81</v>
      </c>
      <c r="I857" s="7" t="s">
        <v>248</v>
      </c>
      <c r="J857" s="7">
        <v>3</v>
      </c>
      <c r="K857" s="9">
        <v>391.76</v>
      </c>
      <c r="L857" s="9">
        <v>998.99</v>
      </c>
      <c r="M857" s="10">
        <v>15</v>
      </c>
      <c r="N857" s="9">
        <v>87.85</v>
      </c>
      <c r="O857" s="9">
        <v>142.19999999999999</v>
      </c>
      <c r="P857" s="7" t="s">
        <v>64</v>
      </c>
      <c r="Q857" s="7" t="s">
        <v>57</v>
      </c>
      <c r="R857" s="30">
        <f t="shared" si="13"/>
        <v>8.793881820638845E-2</v>
      </c>
    </row>
    <row r="858" spans="1:18" x14ac:dyDescent="0.35">
      <c r="A858" s="3" t="s">
        <v>1489</v>
      </c>
      <c r="B858" s="4">
        <v>45949</v>
      </c>
      <c r="C858" s="3" t="s">
        <v>1490</v>
      </c>
      <c r="D858" s="3" t="s">
        <v>19</v>
      </c>
      <c r="E858" s="3" t="s">
        <v>20</v>
      </c>
      <c r="F858" s="3" t="s">
        <v>129</v>
      </c>
      <c r="G858" s="3" t="s">
        <v>49</v>
      </c>
      <c r="H858" s="3" t="s">
        <v>91</v>
      </c>
      <c r="I858" s="3" t="s">
        <v>188</v>
      </c>
      <c r="J858" s="3">
        <v>2</v>
      </c>
      <c r="K858" s="5">
        <v>2217.67</v>
      </c>
      <c r="L858" s="5">
        <v>3991.81</v>
      </c>
      <c r="M858" s="6">
        <v>10</v>
      </c>
      <c r="N858" s="5">
        <v>558.95000000000005</v>
      </c>
      <c r="O858" s="5">
        <v>301.07</v>
      </c>
      <c r="P858" s="3" t="s">
        <v>83</v>
      </c>
      <c r="Q858" s="3" t="s">
        <v>26</v>
      </c>
      <c r="R858" s="30">
        <f t="shared" si="13"/>
        <v>0.14002419954857573</v>
      </c>
    </row>
    <row r="859" spans="1:18" x14ac:dyDescent="0.35">
      <c r="A859" s="7" t="s">
        <v>1491</v>
      </c>
      <c r="B859" s="8">
        <v>45949</v>
      </c>
      <c r="C859" s="7" t="s">
        <v>1492</v>
      </c>
      <c r="D859" s="7" t="s">
        <v>39</v>
      </c>
      <c r="E859" s="7" t="s">
        <v>60</v>
      </c>
      <c r="F859" s="7" t="s">
        <v>61</v>
      </c>
      <c r="G859" s="7" t="s">
        <v>49</v>
      </c>
      <c r="H859" s="7" t="s">
        <v>98</v>
      </c>
      <c r="I859" s="7" t="s">
        <v>99</v>
      </c>
      <c r="J859" s="7">
        <v>2</v>
      </c>
      <c r="K859" s="9">
        <v>2027.24</v>
      </c>
      <c r="L859" s="9">
        <v>3446.31</v>
      </c>
      <c r="M859" s="10">
        <v>15</v>
      </c>
      <c r="N859" s="9">
        <v>471.31</v>
      </c>
      <c r="O859" s="9">
        <v>167.83</v>
      </c>
      <c r="P859" s="7" t="s">
        <v>45</v>
      </c>
      <c r="Q859" s="7" t="s">
        <v>65</v>
      </c>
      <c r="R859" s="30">
        <f t="shared" si="13"/>
        <v>0.13675786565921233</v>
      </c>
    </row>
    <row r="860" spans="1:18" x14ac:dyDescent="0.35">
      <c r="A860" s="3" t="s">
        <v>1493</v>
      </c>
      <c r="B860" s="4">
        <v>45949</v>
      </c>
      <c r="C860" s="3" t="s">
        <v>473</v>
      </c>
      <c r="D860" s="3" t="s">
        <v>19</v>
      </c>
      <c r="E860" s="3" t="s">
        <v>20</v>
      </c>
      <c r="F860" s="3" t="s">
        <v>129</v>
      </c>
      <c r="G860" s="3" t="s">
        <v>134</v>
      </c>
      <c r="H860" s="3" t="s">
        <v>91</v>
      </c>
      <c r="I860" s="3" t="s">
        <v>206</v>
      </c>
      <c r="J860" s="3">
        <v>2</v>
      </c>
      <c r="K860" s="5">
        <v>1996.37</v>
      </c>
      <c r="L860" s="5">
        <v>3992.74</v>
      </c>
      <c r="M860" s="6">
        <v>0</v>
      </c>
      <c r="N860" s="5">
        <v>894.59</v>
      </c>
      <c r="O860" s="5">
        <v>320.76</v>
      </c>
      <c r="P860" s="3" t="s">
        <v>35</v>
      </c>
      <c r="Q860" s="3" t="s">
        <v>26</v>
      </c>
      <c r="R860" s="30">
        <f t="shared" si="13"/>
        <v>0.22405415829730962</v>
      </c>
    </row>
    <row r="861" spans="1:18" x14ac:dyDescent="0.35">
      <c r="A861" s="7" t="s">
        <v>1494</v>
      </c>
      <c r="B861" s="8">
        <v>45949</v>
      </c>
      <c r="C861" s="7" t="s">
        <v>947</v>
      </c>
      <c r="D861" s="7" t="s">
        <v>39</v>
      </c>
      <c r="E861" s="7" t="s">
        <v>40</v>
      </c>
      <c r="F861" s="7" t="s">
        <v>90</v>
      </c>
      <c r="G861" s="7" t="s">
        <v>32</v>
      </c>
      <c r="H861" s="7" t="s">
        <v>73</v>
      </c>
      <c r="I861" s="7" t="s">
        <v>214</v>
      </c>
      <c r="J861" s="7">
        <v>1</v>
      </c>
      <c r="K861" s="9">
        <v>7759.32</v>
      </c>
      <c r="L861" s="9">
        <v>6207.46</v>
      </c>
      <c r="M861" s="10">
        <v>20</v>
      </c>
      <c r="N861" s="9">
        <v>377.69</v>
      </c>
      <c r="O861" s="9">
        <v>276.64999999999998</v>
      </c>
      <c r="P861" s="7" t="s">
        <v>83</v>
      </c>
      <c r="Q861" s="7" t="s">
        <v>36</v>
      </c>
      <c r="R861" s="30">
        <f t="shared" si="13"/>
        <v>6.0844532224130318E-2</v>
      </c>
    </row>
    <row r="862" spans="1:18" x14ac:dyDescent="0.35">
      <c r="A862" s="3" t="s">
        <v>1495</v>
      </c>
      <c r="B862" s="4">
        <v>45950</v>
      </c>
      <c r="C862" s="3" t="s">
        <v>1471</v>
      </c>
      <c r="D862" s="3" t="s">
        <v>19</v>
      </c>
      <c r="E862" s="3" t="s">
        <v>40</v>
      </c>
      <c r="F862" s="3" t="s">
        <v>41</v>
      </c>
      <c r="G862" s="3" t="s">
        <v>22</v>
      </c>
      <c r="H862" s="3" t="s">
        <v>55</v>
      </c>
      <c r="I862" s="3" t="s">
        <v>323</v>
      </c>
      <c r="J862" s="3">
        <v>1</v>
      </c>
      <c r="K862" s="5">
        <v>63519.86</v>
      </c>
      <c r="L862" s="5">
        <v>63519.86</v>
      </c>
      <c r="M862" s="6">
        <v>0</v>
      </c>
      <c r="N862" s="5">
        <v>5756.38</v>
      </c>
      <c r="O862" s="5">
        <v>43.45</v>
      </c>
      <c r="P862" s="3" t="s">
        <v>45</v>
      </c>
      <c r="Q862" s="3" t="s">
        <v>65</v>
      </c>
      <c r="R862" s="30">
        <f t="shared" si="13"/>
        <v>9.0623310567749998E-2</v>
      </c>
    </row>
    <row r="863" spans="1:18" x14ac:dyDescent="0.35">
      <c r="A863" s="7" t="s">
        <v>1496</v>
      </c>
      <c r="B863" s="8">
        <v>45950</v>
      </c>
      <c r="C863" s="7" t="s">
        <v>865</v>
      </c>
      <c r="D863" s="7" t="s">
        <v>39</v>
      </c>
      <c r="E863" s="7" t="s">
        <v>30</v>
      </c>
      <c r="F863" s="7" t="s">
        <v>48</v>
      </c>
      <c r="G863" s="7" t="s">
        <v>22</v>
      </c>
      <c r="H863" s="7" t="s">
        <v>55</v>
      </c>
      <c r="I863" s="7" t="s">
        <v>323</v>
      </c>
      <c r="J863" s="7">
        <v>2</v>
      </c>
      <c r="K863" s="9">
        <v>26500.12</v>
      </c>
      <c r="L863" s="9">
        <v>53000.24</v>
      </c>
      <c r="M863" s="10">
        <v>0</v>
      </c>
      <c r="N863" s="9">
        <v>136.88</v>
      </c>
      <c r="O863" s="9">
        <v>87.15</v>
      </c>
      <c r="P863" s="7" t="s">
        <v>64</v>
      </c>
      <c r="Q863" s="7" t="s">
        <v>57</v>
      </c>
      <c r="R863" s="30">
        <f t="shared" si="13"/>
        <v>2.5826298145065004E-3</v>
      </c>
    </row>
    <row r="864" spans="1:18" x14ac:dyDescent="0.35">
      <c r="A864" s="3" t="s">
        <v>1497</v>
      </c>
      <c r="B864" s="4">
        <v>45950</v>
      </c>
      <c r="C864" s="3" t="s">
        <v>444</v>
      </c>
      <c r="D864" s="3" t="s">
        <v>19</v>
      </c>
      <c r="E864" s="3" t="s">
        <v>20</v>
      </c>
      <c r="F864" s="3" t="s">
        <v>54</v>
      </c>
      <c r="G864" s="3" t="s">
        <v>134</v>
      </c>
      <c r="H864" s="3" t="s">
        <v>135</v>
      </c>
      <c r="I864" s="3" t="s">
        <v>382</v>
      </c>
      <c r="J864" s="3">
        <v>1</v>
      </c>
      <c r="K864" s="5">
        <v>2702.42</v>
      </c>
      <c r="L864" s="5">
        <v>2432.1799999999998</v>
      </c>
      <c r="M864" s="6">
        <v>10</v>
      </c>
      <c r="N864" s="5">
        <v>387.74</v>
      </c>
      <c r="O864" s="5">
        <v>119.46</v>
      </c>
      <c r="P864" s="3" t="s">
        <v>64</v>
      </c>
      <c r="Q864" s="3" t="s">
        <v>65</v>
      </c>
      <c r="R864" s="30">
        <f t="shared" si="13"/>
        <v>0.15942076655510695</v>
      </c>
    </row>
    <row r="865" spans="1:18" x14ac:dyDescent="0.35">
      <c r="A865" s="7" t="s">
        <v>1498</v>
      </c>
      <c r="B865" s="8">
        <v>45950</v>
      </c>
      <c r="C865" s="7" t="s">
        <v>306</v>
      </c>
      <c r="D865" s="7" t="s">
        <v>39</v>
      </c>
      <c r="E865" s="7" t="s">
        <v>40</v>
      </c>
      <c r="F865" s="7" t="s">
        <v>90</v>
      </c>
      <c r="G865" s="7" t="s">
        <v>117</v>
      </c>
      <c r="H865" s="7" t="s">
        <v>153</v>
      </c>
      <c r="I865" s="7" t="s">
        <v>296</v>
      </c>
      <c r="J865" s="7">
        <v>1</v>
      </c>
      <c r="K865" s="9">
        <v>1236.3699999999999</v>
      </c>
      <c r="L865" s="9">
        <v>989.1</v>
      </c>
      <c r="M865" s="10">
        <v>20</v>
      </c>
      <c r="N865" s="9">
        <v>231.48</v>
      </c>
      <c r="O865" s="9">
        <v>312.32</v>
      </c>
      <c r="P865" s="7" t="s">
        <v>25</v>
      </c>
      <c r="Q865" s="7" t="s">
        <v>65</v>
      </c>
      <c r="R865" s="30">
        <f t="shared" si="13"/>
        <v>0.23403093721565058</v>
      </c>
    </row>
    <row r="866" spans="1:18" x14ac:dyDescent="0.35">
      <c r="A866" s="3" t="s">
        <v>1499</v>
      </c>
      <c r="B866" s="4">
        <v>45950</v>
      </c>
      <c r="C866" s="3" t="s">
        <v>1130</v>
      </c>
      <c r="D866" s="3" t="s">
        <v>19</v>
      </c>
      <c r="E866" s="3" t="s">
        <v>30</v>
      </c>
      <c r="F866" s="3" t="s">
        <v>48</v>
      </c>
      <c r="G866" s="3" t="s">
        <v>22</v>
      </c>
      <c r="H866" s="3" t="s">
        <v>624</v>
      </c>
      <c r="I866" s="3" t="s">
        <v>932</v>
      </c>
      <c r="J866" s="3">
        <v>1</v>
      </c>
      <c r="K866" s="5">
        <v>55747.34</v>
      </c>
      <c r="L866" s="5">
        <v>52959.97</v>
      </c>
      <c r="M866" s="6">
        <v>5</v>
      </c>
      <c r="N866" s="5">
        <v>1923.84</v>
      </c>
      <c r="O866" s="5">
        <v>312.42</v>
      </c>
      <c r="P866" s="3" t="s">
        <v>25</v>
      </c>
      <c r="Q866" s="3" t="s">
        <v>36</v>
      </c>
      <c r="R866" s="30">
        <f t="shared" si="13"/>
        <v>3.6326304565504848E-2</v>
      </c>
    </row>
    <row r="867" spans="1:18" x14ac:dyDescent="0.35">
      <c r="A867" s="7" t="s">
        <v>1500</v>
      </c>
      <c r="B867" s="8">
        <v>45951</v>
      </c>
      <c r="C867" s="7" t="s">
        <v>1183</v>
      </c>
      <c r="D867" s="7" t="s">
        <v>39</v>
      </c>
      <c r="E867" s="7" t="s">
        <v>30</v>
      </c>
      <c r="F867" s="7" t="s">
        <v>31</v>
      </c>
      <c r="G867" s="7" t="s">
        <v>134</v>
      </c>
      <c r="H867" s="7" t="s">
        <v>244</v>
      </c>
      <c r="I867" s="7" t="s">
        <v>245</v>
      </c>
      <c r="J867" s="7">
        <v>1</v>
      </c>
      <c r="K867" s="9">
        <v>433.32</v>
      </c>
      <c r="L867" s="9">
        <v>303.32</v>
      </c>
      <c r="M867" s="10">
        <v>30</v>
      </c>
      <c r="N867" s="9">
        <v>-0.11</v>
      </c>
      <c r="O867" s="9">
        <v>224.19</v>
      </c>
      <c r="P867" s="7" t="s">
        <v>25</v>
      </c>
      <c r="Q867" s="7" t="s">
        <v>26</v>
      </c>
      <c r="R867" s="30">
        <f t="shared" si="13"/>
        <v>-3.6265330344190956E-4</v>
      </c>
    </row>
    <row r="868" spans="1:18" x14ac:dyDescent="0.35">
      <c r="A868" s="3" t="s">
        <v>1501</v>
      </c>
      <c r="B868" s="4">
        <v>45951</v>
      </c>
      <c r="C868" s="3" t="s">
        <v>822</v>
      </c>
      <c r="D868" s="3" t="s">
        <v>39</v>
      </c>
      <c r="E868" s="3" t="s">
        <v>30</v>
      </c>
      <c r="F868" s="3" t="s">
        <v>31</v>
      </c>
      <c r="G868" s="3" t="s">
        <v>42</v>
      </c>
      <c r="H868" s="3" t="s">
        <v>43</v>
      </c>
      <c r="I868" s="3" t="s">
        <v>751</v>
      </c>
      <c r="J868" s="3">
        <v>1</v>
      </c>
      <c r="K868" s="5">
        <v>861.01</v>
      </c>
      <c r="L868" s="5">
        <v>774.91</v>
      </c>
      <c r="M868" s="6">
        <v>10</v>
      </c>
      <c r="N868" s="5">
        <v>12.04</v>
      </c>
      <c r="O868" s="5">
        <v>291.25</v>
      </c>
      <c r="P868" s="3" t="s">
        <v>64</v>
      </c>
      <c r="Q868" s="3" t="s">
        <v>65</v>
      </c>
      <c r="R868" s="30">
        <f t="shared" si="13"/>
        <v>1.5537288201210463E-2</v>
      </c>
    </row>
    <row r="869" spans="1:18" x14ac:dyDescent="0.35">
      <c r="A869" s="7" t="s">
        <v>1502</v>
      </c>
      <c r="B869" s="8">
        <v>45951</v>
      </c>
      <c r="C869" s="7" t="s">
        <v>1503</v>
      </c>
      <c r="D869" s="7" t="s">
        <v>39</v>
      </c>
      <c r="E869" s="7" t="s">
        <v>20</v>
      </c>
      <c r="F869" s="7" t="s">
        <v>21</v>
      </c>
      <c r="G869" s="7" t="s">
        <v>117</v>
      </c>
      <c r="H869" s="7" t="s">
        <v>130</v>
      </c>
      <c r="I869" s="7" t="s">
        <v>310</v>
      </c>
      <c r="J869" s="7">
        <v>3</v>
      </c>
      <c r="K869" s="9">
        <v>995.84</v>
      </c>
      <c r="L869" s="9">
        <v>2539.39</v>
      </c>
      <c r="M869" s="10">
        <v>15</v>
      </c>
      <c r="N869" s="9">
        <v>335.41</v>
      </c>
      <c r="O869" s="9">
        <v>308.26</v>
      </c>
      <c r="P869" s="7" t="s">
        <v>25</v>
      </c>
      <c r="Q869" s="7" t="s">
        <v>26</v>
      </c>
      <c r="R869" s="30">
        <f t="shared" si="13"/>
        <v>0.13208290179925103</v>
      </c>
    </row>
    <row r="870" spans="1:18" x14ac:dyDescent="0.35">
      <c r="A870" s="3" t="s">
        <v>1504</v>
      </c>
      <c r="B870" s="4">
        <v>45952</v>
      </c>
      <c r="C870" s="3" t="s">
        <v>563</v>
      </c>
      <c r="D870" s="3" t="s">
        <v>39</v>
      </c>
      <c r="E870" s="3" t="s">
        <v>20</v>
      </c>
      <c r="F870" s="3" t="s">
        <v>129</v>
      </c>
      <c r="G870" s="3" t="s">
        <v>42</v>
      </c>
      <c r="H870" s="3" t="s">
        <v>164</v>
      </c>
      <c r="I870" s="3" t="s">
        <v>165</v>
      </c>
      <c r="J870" s="3">
        <v>1</v>
      </c>
      <c r="K870" s="5">
        <v>250.5</v>
      </c>
      <c r="L870" s="5">
        <v>237.97</v>
      </c>
      <c r="M870" s="6">
        <v>5</v>
      </c>
      <c r="N870" s="5">
        <v>19.809999999999999</v>
      </c>
      <c r="O870" s="5">
        <v>37.56</v>
      </c>
      <c r="P870" s="3" t="s">
        <v>35</v>
      </c>
      <c r="Q870" s="3" t="s">
        <v>57</v>
      </c>
      <c r="R870" s="30">
        <f t="shared" si="13"/>
        <v>8.3245787284111444E-2</v>
      </c>
    </row>
    <row r="871" spans="1:18" x14ac:dyDescent="0.35">
      <c r="A871" s="7" t="s">
        <v>1505</v>
      </c>
      <c r="B871" s="8">
        <v>45952</v>
      </c>
      <c r="C871" s="7" t="s">
        <v>1506</v>
      </c>
      <c r="D871" s="7" t="s">
        <v>19</v>
      </c>
      <c r="E871" s="7" t="s">
        <v>20</v>
      </c>
      <c r="F871" s="7" t="s">
        <v>129</v>
      </c>
      <c r="G871" s="7" t="s">
        <v>22</v>
      </c>
      <c r="H871" s="7" t="s">
        <v>110</v>
      </c>
      <c r="I871" s="7" t="s">
        <v>480</v>
      </c>
      <c r="J871" s="7">
        <v>1</v>
      </c>
      <c r="K871" s="9">
        <v>25399.7</v>
      </c>
      <c r="L871" s="9">
        <v>25399.7</v>
      </c>
      <c r="M871" s="10">
        <v>0</v>
      </c>
      <c r="N871" s="9">
        <v>1528.42</v>
      </c>
      <c r="O871" s="9">
        <v>282.08999999999997</v>
      </c>
      <c r="P871" s="7" t="s">
        <v>25</v>
      </c>
      <c r="Q871" s="7" t="s">
        <v>36</v>
      </c>
      <c r="R871" s="30">
        <f t="shared" si="13"/>
        <v>6.0174726473147325E-2</v>
      </c>
    </row>
    <row r="872" spans="1:18" x14ac:dyDescent="0.35">
      <c r="A872" s="3" t="s">
        <v>1507</v>
      </c>
      <c r="B872" s="4">
        <v>45952</v>
      </c>
      <c r="C872" s="3" t="s">
        <v>595</v>
      </c>
      <c r="D872" s="3" t="s">
        <v>29</v>
      </c>
      <c r="E872" s="3" t="s">
        <v>30</v>
      </c>
      <c r="F872" s="3" t="s">
        <v>48</v>
      </c>
      <c r="G872" s="3" t="s">
        <v>22</v>
      </c>
      <c r="H872" s="3" t="s">
        <v>110</v>
      </c>
      <c r="I872" s="3" t="s">
        <v>111</v>
      </c>
      <c r="J872" s="3">
        <v>2</v>
      </c>
      <c r="K872" s="5">
        <v>63795.32</v>
      </c>
      <c r="L872" s="5">
        <v>127590.64</v>
      </c>
      <c r="M872" s="6">
        <v>0</v>
      </c>
      <c r="N872" s="5">
        <v>-638.12</v>
      </c>
      <c r="O872" s="5">
        <v>252.84</v>
      </c>
      <c r="P872" s="3" t="s">
        <v>64</v>
      </c>
      <c r="Q872" s="3" t="s">
        <v>26</v>
      </c>
      <c r="R872" s="30">
        <f t="shared" si="13"/>
        <v>-5.0013073059277701E-3</v>
      </c>
    </row>
    <row r="873" spans="1:18" x14ac:dyDescent="0.35">
      <c r="A873" s="7" t="s">
        <v>1508</v>
      </c>
      <c r="B873" s="8">
        <v>45953</v>
      </c>
      <c r="C873" s="7" t="s">
        <v>1509</v>
      </c>
      <c r="D873" s="7" t="s">
        <v>39</v>
      </c>
      <c r="E873" s="7" t="s">
        <v>60</v>
      </c>
      <c r="F873" s="7" t="s">
        <v>72</v>
      </c>
      <c r="G873" s="7" t="s">
        <v>42</v>
      </c>
      <c r="H873" s="7" t="s">
        <v>81</v>
      </c>
      <c r="I873" s="7" t="s">
        <v>621</v>
      </c>
      <c r="J873" s="7">
        <v>3</v>
      </c>
      <c r="K873" s="9">
        <v>1183.9000000000001</v>
      </c>
      <c r="L873" s="9">
        <v>3196.53</v>
      </c>
      <c r="M873" s="10">
        <v>10</v>
      </c>
      <c r="N873" s="9">
        <v>475.24</v>
      </c>
      <c r="O873" s="9">
        <v>359.96</v>
      </c>
      <c r="P873" s="7" t="s">
        <v>35</v>
      </c>
      <c r="Q873" s="7" t="s">
        <v>26</v>
      </c>
      <c r="R873" s="30">
        <f t="shared" si="13"/>
        <v>0.1486737180630246</v>
      </c>
    </row>
    <row r="874" spans="1:18" x14ac:dyDescent="0.35">
      <c r="A874" s="3" t="s">
        <v>1510</v>
      </c>
      <c r="B874" s="4">
        <v>45953</v>
      </c>
      <c r="C874" s="3" t="s">
        <v>225</v>
      </c>
      <c r="D874" s="3" t="s">
        <v>19</v>
      </c>
      <c r="E874" s="3" t="s">
        <v>30</v>
      </c>
      <c r="F874" s="3" t="s">
        <v>31</v>
      </c>
      <c r="G874" s="3" t="s">
        <v>117</v>
      </c>
      <c r="H874" s="3" t="s">
        <v>118</v>
      </c>
      <c r="I874" s="3" t="s">
        <v>279</v>
      </c>
      <c r="J874" s="3">
        <v>2</v>
      </c>
      <c r="K874" s="5">
        <v>1399.68</v>
      </c>
      <c r="L874" s="5">
        <v>2379.46</v>
      </c>
      <c r="M874" s="6">
        <v>15</v>
      </c>
      <c r="N874" s="5">
        <v>485.92</v>
      </c>
      <c r="O874" s="5">
        <v>155.33000000000001</v>
      </c>
      <c r="P874" s="3" t="s">
        <v>83</v>
      </c>
      <c r="Q874" s="3" t="s">
        <v>26</v>
      </c>
      <c r="R874" s="30">
        <f t="shared" si="13"/>
        <v>0.20421440158691467</v>
      </c>
    </row>
    <row r="875" spans="1:18" x14ac:dyDescent="0.35">
      <c r="A875" s="7" t="s">
        <v>1511</v>
      </c>
      <c r="B875" s="8">
        <v>45953</v>
      </c>
      <c r="C875" s="7" t="s">
        <v>1255</v>
      </c>
      <c r="D875" s="7" t="s">
        <v>19</v>
      </c>
      <c r="E875" s="7" t="s">
        <v>60</v>
      </c>
      <c r="F875" s="7" t="s">
        <v>61</v>
      </c>
      <c r="G875" s="7" t="s">
        <v>134</v>
      </c>
      <c r="H875" s="7" t="s">
        <v>244</v>
      </c>
      <c r="I875" s="7" t="s">
        <v>334</v>
      </c>
      <c r="J875" s="7">
        <v>1</v>
      </c>
      <c r="K875" s="9">
        <v>550.27</v>
      </c>
      <c r="L875" s="9">
        <v>495.24</v>
      </c>
      <c r="M875" s="10">
        <v>10</v>
      </c>
      <c r="N875" s="9">
        <v>50.1</v>
      </c>
      <c r="O875" s="9">
        <v>223.39</v>
      </c>
      <c r="P875" s="7" t="s">
        <v>25</v>
      </c>
      <c r="Q875" s="7" t="s">
        <v>65</v>
      </c>
      <c r="R875" s="30">
        <f t="shared" si="13"/>
        <v>0.10116307244972135</v>
      </c>
    </row>
    <row r="876" spans="1:18" x14ac:dyDescent="0.35">
      <c r="A876" s="3" t="s">
        <v>1512</v>
      </c>
      <c r="B876" s="4">
        <v>45954</v>
      </c>
      <c r="C876" s="3" t="s">
        <v>403</v>
      </c>
      <c r="D876" s="3" t="s">
        <v>19</v>
      </c>
      <c r="E876" s="3" t="s">
        <v>60</v>
      </c>
      <c r="F876" s="3" t="s">
        <v>72</v>
      </c>
      <c r="G876" s="3" t="s">
        <v>117</v>
      </c>
      <c r="H876" s="3" t="s">
        <v>153</v>
      </c>
      <c r="I876" s="3" t="s">
        <v>154</v>
      </c>
      <c r="J876" s="3">
        <v>4</v>
      </c>
      <c r="K876" s="5">
        <v>522.19000000000005</v>
      </c>
      <c r="L876" s="5">
        <v>2088.7600000000002</v>
      </c>
      <c r="M876" s="6">
        <v>0</v>
      </c>
      <c r="N876" s="5">
        <v>600.91</v>
      </c>
      <c r="O876" s="5">
        <v>240.87</v>
      </c>
      <c r="P876" s="3" t="s">
        <v>64</v>
      </c>
      <c r="Q876" s="3" t="s">
        <v>65</v>
      </c>
      <c r="R876" s="30">
        <f t="shared" si="13"/>
        <v>0.28768743177770539</v>
      </c>
    </row>
    <row r="877" spans="1:18" x14ac:dyDescent="0.35">
      <c r="A877" s="7" t="s">
        <v>1513</v>
      </c>
      <c r="B877" s="8">
        <v>45954</v>
      </c>
      <c r="C877" s="7" t="s">
        <v>1514</v>
      </c>
      <c r="D877" s="7" t="s">
        <v>39</v>
      </c>
      <c r="E877" s="7" t="s">
        <v>60</v>
      </c>
      <c r="F877" s="7" t="s">
        <v>72</v>
      </c>
      <c r="G877" s="7" t="s">
        <v>42</v>
      </c>
      <c r="H877" s="7" t="s">
        <v>43</v>
      </c>
      <c r="I877" s="7" t="s">
        <v>1220</v>
      </c>
      <c r="J877" s="7">
        <v>3</v>
      </c>
      <c r="K877" s="9">
        <v>371.68</v>
      </c>
      <c r="L877" s="9">
        <v>947.78</v>
      </c>
      <c r="M877" s="10">
        <v>15</v>
      </c>
      <c r="N877" s="9">
        <v>-80.89</v>
      </c>
      <c r="O877" s="9">
        <v>167.01</v>
      </c>
      <c r="P877" s="7" t="s">
        <v>83</v>
      </c>
      <c r="Q877" s="7" t="s">
        <v>36</v>
      </c>
      <c r="R877" s="30">
        <f t="shared" si="13"/>
        <v>-8.5346810441241636E-2</v>
      </c>
    </row>
    <row r="878" spans="1:18" x14ac:dyDescent="0.35">
      <c r="A878" s="3" t="s">
        <v>1515</v>
      </c>
      <c r="B878" s="4">
        <v>45955</v>
      </c>
      <c r="C878" s="3" t="s">
        <v>782</v>
      </c>
      <c r="D878" s="3" t="s">
        <v>39</v>
      </c>
      <c r="E878" s="3" t="s">
        <v>30</v>
      </c>
      <c r="F878" s="3" t="s">
        <v>226</v>
      </c>
      <c r="G878" s="3" t="s">
        <v>49</v>
      </c>
      <c r="H878" s="3" t="s">
        <v>91</v>
      </c>
      <c r="I878" s="3" t="s">
        <v>92</v>
      </c>
      <c r="J878" s="3">
        <v>1</v>
      </c>
      <c r="K878" s="5">
        <v>13053.26</v>
      </c>
      <c r="L878" s="5">
        <v>11747.93</v>
      </c>
      <c r="M878" s="6">
        <v>10</v>
      </c>
      <c r="N878" s="5">
        <v>743.61</v>
      </c>
      <c r="O878" s="5">
        <v>247.55</v>
      </c>
      <c r="P878" s="3" t="s">
        <v>35</v>
      </c>
      <c r="Q878" s="3" t="s">
        <v>65</v>
      </c>
      <c r="R878" s="30">
        <f t="shared" si="13"/>
        <v>6.3297108511882513E-2</v>
      </c>
    </row>
    <row r="879" spans="1:18" x14ac:dyDescent="0.35">
      <c r="A879" s="7" t="s">
        <v>1516</v>
      </c>
      <c r="B879" s="8">
        <v>45955</v>
      </c>
      <c r="C879" s="7" t="s">
        <v>947</v>
      </c>
      <c r="D879" s="7" t="s">
        <v>39</v>
      </c>
      <c r="E879" s="7" t="s">
        <v>40</v>
      </c>
      <c r="F879" s="7" t="s">
        <v>109</v>
      </c>
      <c r="G879" s="7" t="s">
        <v>32</v>
      </c>
      <c r="H879" s="7" t="s">
        <v>73</v>
      </c>
      <c r="I879" s="7" t="s">
        <v>230</v>
      </c>
      <c r="J879" s="7">
        <v>3</v>
      </c>
      <c r="K879" s="9">
        <v>7599.66</v>
      </c>
      <c r="L879" s="9">
        <v>21659.03</v>
      </c>
      <c r="M879" s="10">
        <v>5</v>
      </c>
      <c r="N879" s="9">
        <v>4174.8999999999996</v>
      </c>
      <c r="O879" s="9">
        <v>124.42</v>
      </c>
      <c r="P879" s="7" t="s">
        <v>25</v>
      </c>
      <c r="Q879" s="7" t="s">
        <v>65</v>
      </c>
      <c r="R879" s="30">
        <f t="shared" si="13"/>
        <v>0.19275563125403122</v>
      </c>
    </row>
    <row r="880" spans="1:18" x14ac:dyDescent="0.35">
      <c r="A880" s="3" t="s">
        <v>1517</v>
      </c>
      <c r="B880" s="4">
        <v>45955</v>
      </c>
      <c r="C880" s="3" t="s">
        <v>1057</v>
      </c>
      <c r="D880" s="3" t="s">
        <v>29</v>
      </c>
      <c r="E880" s="3" t="s">
        <v>60</v>
      </c>
      <c r="F880" s="3" t="s">
        <v>104</v>
      </c>
      <c r="G880" s="3" t="s">
        <v>117</v>
      </c>
      <c r="H880" s="3" t="s">
        <v>118</v>
      </c>
      <c r="I880" s="3" t="s">
        <v>119</v>
      </c>
      <c r="J880" s="3">
        <v>2</v>
      </c>
      <c r="K880" s="5">
        <v>968.75</v>
      </c>
      <c r="L880" s="5">
        <v>1840.62</v>
      </c>
      <c r="M880" s="6">
        <v>5</v>
      </c>
      <c r="N880" s="5">
        <v>409.43</v>
      </c>
      <c r="O880" s="5">
        <v>296.17</v>
      </c>
      <c r="P880" s="3" t="s">
        <v>35</v>
      </c>
      <c r="Q880" s="3" t="s">
        <v>65</v>
      </c>
      <c r="R880" s="30">
        <f t="shared" si="13"/>
        <v>0.22244135128380657</v>
      </c>
    </row>
    <row r="881" spans="1:18" x14ac:dyDescent="0.35">
      <c r="A881" s="7" t="s">
        <v>1518</v>
      </c>
      <c r="B881" s="8">
        <v>45956</v>
      </c>
      <c r="C881" s="7" t="s">
        <v>128</v>
      </c>
      <c r="D881" s="7" t="s">
        <v>39</v>
      </c>
      <c r="E881" s="7" t="s">
        <v>40</v>
      </c>
      <c r="F881" s="7" t="s">
        <v>109</v>
      </c>
      <c r="G881" s="7" t="s">
        <v>134</v>
      </c>
      <c r="H881" s="7" t="s">
        <v>139</v>
      </c>
      <c r="I881" s="7" t="s">
        <v>147</v>
      </c>
      <c r="J881" s="7">
        <v>1</v>
      </c>
      <c r="K881" s="9">
        <v>3547.2</v>
      </c>
      <c r="L881" s="9">
        <v>3192.48</v>
      </c>
      <c r="M881" s="10">
        <v>10</v>
      </c>
      <c r="N881" s="9">
        <v>294.74</v>
      </c>
      <c r="O881" s="9">
        <v>195.75</v>
      </c>
      <c r="P881" s="7" t="s">
        <v>45</v>
      </c>
      <c r="Q881" s="7" t="s">
        <v>57</v>
      </c>
      <c r="R881" s="30">
        <f t="shared" si="13"/>
        <v>9.2323209542424706E-2</v>
      </c>
    </row>
    <row r="882" spans="1:18" x14ac:dyDescent="0.35">
      <c r="A882" s="3" t="s">
        <v>1519</v>
      </c>
      <c r="B882" s="4">
        <v>45956</v>
      </c>
      <c r="C882" s="3" t="s">
        <v>631</v>
      </c>
      <c r="D882" s="3" t="s">
        <v>39</v>
      </c>
      <c r="E882" s="3" t="s">
        <v>20</v>
      </c>
      <c r="F882" s="3" t="s">
        <v>54</v>
      </c>
      <c r="G882" s="3" t="s">
        <v>32</v>
      </c>
      <c r="H882" s="3" t="s">
        <v>33</v>
      </c>
      <c r="I882" s="3" t="s">
        <v>69</v>
      </c>
      <c r="J882" s="3">
        <v>2</v>
      </c>
      <c r="K882" s="5">
        <v>4539.88</v>
      </c>
      <c r="L882" s="5">
        <v>8171.78</v>
      </c>
      <c r="M882" s="6">
        <v>10</v>
      </c>
      <c r="N882" s="5">
        <v>1409.21</v>
      </c>
      <c r="O882" s="5">
        <v>297.57</v>
      </c>
      <c r="P882" s="3" t="s">
        <v>64</v>
      </c>
      <c r="Q882" s="3" t="s">
        <v>26</v>
      </c>
      <c r="R882" s="30">
        <f t="shared" si="13"/>
        <v>0.17244835274566864</v>
      </c>
    </row>
    <row r="883" spans="1:18" x14ac:dyDescent="0.35">
      <c r="A883" s="7" t="s">
        <v>1520</v>
      </c>
      <c r="B883" s="8">
        <v>45956</v>
      </c>
      <c r="C883" s="7" t="s">
        <v>1012</v>
      </c>
      <c r="D883" s="7" t="s">
        <v>39</v>
      </c>
      <c r="E883" s="7" t="s">
        <v>60</v>
      </c>
      <c r="F883" s="7" t="s">
        <v>68</v>
      </c>
      <c r="G883" s="7" t="s">
        <v>117</v>
      </c>
      <c r="H883" s="7" t="s">
        <v>130</v>
      </c>
      <c r="I883" s="7" t="s">
        <v>391</v>
      </c>
      <c r="J883" s="7">
        <v>2</v>
      </c>
      <c r="K883" s="9">
        <v>837.71</v>
      </c>
      <c r="L883" s="9">
        <v>1591.65</v>
      </c>
      <c r="M883" s="10">
        <v>5</v>
      </c>
      <c r="N883" s="9">
        <v>314.27999999999997</v>
      </c>
      <c r="O883" s="9">
        <v>336.31</v>
      </c>
      <c r="P883" s="7" t="s">
        <v>35</v>
      </c>
      <c r="Q883" s="7" t="s">
        <v>26</v>
      </c>
      <c r="R883" s="30">
        <f t="shared" si="13"/>
        <v>0.19745547073791345</v>
      </c>
    </row>
    <row r="884" spans="1:18" x14ac:dyDescent="0.35">
      <c r="A884" s="3" t="s">
        <v>1521</v>
      </c>
      <c r="B884" s="4">
        <v>45956</v>
      </c>
      <c r="C884" s="3" t="s">
        <v>809</v>
      </c>
      <c r="D884" s="3" t="s">
        <v>19</v>
      </c>
      <c r="E884" s="3" t="s">
        <v>40</v>
      </c>
      <c r="F884" s="3" t="s">
        <v>90</v>
      </c>
      <c r="G884" s="3" t="s">
        <v>22</v>
      </c>
      <c r="H884" s="3" t="s">
        <v>23</v>
      </c>
      <c r="I884" s="3" t="s">
        <v>238</v>
      </c>
      <c r="J884" s="3">
        <v>2</v>
      </c>
      <c r="K884" s="5">
        <v>15802.25</v>
      </c>
      <c r="L884" s="5">
        <v>30024.27</v>
      </c>
      <c r="M884" s="6">
        <v>5</v>
      </c>
      <c r="N884" s="5">
        <v>3301.3</v>
      </c>
      <c r="O884" s="5">
        <v>235.99</v>
      </c>
      <c r="P884" s="3" t="s">
        <v>64</v>
      </c>
      <c r="Q884" s="3" t="s">
        <v>26</v>
      </c>
      <c r="R884" s="30">
        <f t="shared" si="13"/>
        <v>0.1099543802397194</v>
      </c>
    </row>
    <row r="885" spans="1:18" x14ac:dyDescent="0.35">
      <c r="A885" s="7" t="s">
        <v>1522</v>
      </c>
      <c r="B885" s="8">
        <v>45957</v>
      </c>
      <c r="C885" s="7" t="s">
        <v>1122</v>
      </c>
      <c r="D885" s="7" t="s">
        <v>29</v>
      </c>
      <c r="E885" s="7" t="s">
        <v>40</v>
      </c>
      <c r="F885" s="7" t="s">
        <v>77</v>
      </c>
      <c r="G885" s="7" t="s">
        <v>32</v>
      </c>
      <c r="H885" s="7" t="s">
        <v>86</v>
      </c>
      <c r="I885" s="7" t="s">
        <v>211</v>
      </c>
      <c r="J885" s="7">
        <v>1</v>
      </c>
      <c r="K885" s="9">
        <v>1321.12</v>
      </c>
      <c r="L885" s="9">
        <v>1122.95</v>
      </c>
      <c r="M885" s="10">
        <v>15</v>
      </c>
      <c r="N885" s="9">
        <v>55.85</v>
      </c>
      <c r="O885" s="9">
        <v>304.62</v>
      </c>
      <c r="P885" s="7" t="s">
        <v>64</v>
      </c>
      <c r="Q885" s="7" t="s">
        <v>26</v>
      </c>
      <c r="R885" s="30">
        <f t="shared" si="13"/>
        <v>4.973507279932321E-2</v>
      </c>
    </row>
    <row r="886" spans="1:18" x14ac:dyDescent="0.35">
      <c r="A886" s="3" t="s">
        <v>1523</v>
      </c>
      <c r="B886" s="4">
        <v>45957</v>
      </c>
      <c r="C886" s="3" t="s">
        <v>1310</v>
      </c>
      <c r="D886" s="3" t="s">
        <v>39</v>
      </c>
      <c r="E886" s="3" t="s">
        <v>30</v>
      </c>
      <c r="F886" s="3" t="s">
        <v>226</v>
      </c>
      <c r="G886" s="3" t="s">
        <v>42</v>
      </c>
      <c r="H886" s="3" t="s">
        <v>43</v>
      </c>
      <c r="I886" s="3" t="s">
        <v>751</v>
      </c>
      <c r="J886" s="3">
        <v>1</v>
      </c>
      <c r="K886" s="5">
        <v>500.17</v>
      </c>
      <c r="L886" s="5">
        <v>375.13</v>
      </c>
      <c r="M886" s="6">
        <v>25</v>
      </c>
      <c r="N886" s="5">
        <v>12.39</v>
      </c>
      <c r="O886" s="5">
        <v>157.41</v>
      </c>
      <c r="P886" s="3" t="s">
        <v>35</v>
      </c>
      <c r="Q886" s="3" t="s">
        <v>26</v>
      </c>
      <c r="R886" s="30">
        <f t="shared" si="13"/>
        <v>3.3028550102631088E-2</v>
      </c>
    </row>
    <row r="887" spans="1:18" x14ac:dyDescent="0.35">
      <c r="A887" s="7" t="s">
        <v>1524</v>
      </c>
      <c r="B887" s="8">
        <v>45957</v>
      </c>
      <c r="C887" s="7" t="s">
        <v>1525</v>
      </c>
      <c r="D887" s="7" t="s">
        <v>39</v>
      </c>
      <c r="E887" s="7" t="s">
        <v>30</v>
      </c>
      <c r="F887" s="7" t="s">
        <v>31</v>
      </c>
      <c r="G887" s="7" t="s">
        <v>42</v>
      </c>
      <c r="H887" s="7" t="s">
        <v>43</v>
      </c>
      <c r="I887" s="7" t="s">
        <v>208</v>
      </c>
      <c r="J887" s="7">
        <v>1</v>
      </c>
      <c r="K887" s="9">
        <v>188.52</v>
      </c>
      <c r="L887" s="9">
        <v>160.24</v>
      </c>
      <c r="M887" s="10">
        <v>15</v>
      </c>
      <c r="N887" s="9">
        <v>16.440000000000001</v>
      </c>
      <c r="O887" s="9">
        <v>316.47000000000003</v>
      </c>
      <c r="P887" s="7" t="s">
        <v>64</v>
      </c>
      <c r="Q887" s="7" t="s">
        <v>65</v>
      </c>
      <c r="R887" s="30">
        <f t="shared" si="13"/>
        <v>0.10259610584123814</v>
      </c>
    </row>
    <row r="888" spans="1:18" x14ac:dyDescent="0.35">
      <c r="A888" s="3" t="s">
        <v>1526</v>
      </c>
      <c r="B888" s="4">
        <v>45957</v>
      </c>
      <c r="C888" s="3" t="s">
        <v>433</v>
      </c>
      <c r="D888" s="3" t="s">
        <v>19</v>
      </c>
      <c r="E888" s="3" t="s">
        <v>40</v>
      </c>
      <c r="F888" s="3" t="s">
        <v>90</v>
      </c>
      <c r="G888" s="3" t="s">
        <v>49</v>
      </c>
      <c r="H888" s="3" t="s">
        <v>62</v>
      </c>
      <c r="I888" s="3" t="s">
        <v>341</v>
      </c>
      <c r="J888" s="3">
        <v>1</v>
      </c>
      <c r="K888" s="5">
        <v>4681.49</v>
      </c>
      <c r="L888" s="5">
        <v>4447.42</v>
      </c>
      <c r="M888" s="6">
        <v>5</v>
      </c>
      <c r="N888" s="5">
        <v>765.09</v>
      </c>
      <c r="O888" s="5">
        <v>116.97</v>
      </c>
      <c r="P888" s="3" t="s">
        <v>35</v>
      </c>
      <c r="Q888" s="3" t="s">
        <v>65</v>
      </c>
      <c r="R888" s="30">
        <f t="shared" si="13"/>
        <v>0.1720300758642089</v>
      </c>
    </row>
    <row r="889" spans="1:18" x14ac:dyDescent="0.35">
      <c r="A889" s="7" t="s">
        <v>1527</v>
      </c>
      <c r="B889" s="8">
        <v>45957</v>
      </c>
      <c r="C889" s="7" t="s">
        <v>469</v>
      </c>
      <c r="D889" s="7" t="s">
        <v>39</v>
      </c>
      <c r="E889" s="7" t="s">
        <v>60</v>
      </c>
      <c r="F889" s="7" t="s">
        <v>72</v>
      </c>
      <c r="G889" s="7" t="s">
        <v>32</v>
      </c>
      <c r="H889" s="7" t="s">
        <v>33</v>
      </c>
      <c r="I889" s="7" t="s">
        <v>69</v>
      </c>
      <c r="J889" s="7">
        <v>1</v>
      </c>
      <c r="K889" s="9">
        <v>852.35</v>
      </c>
      <c r="L889" s="9">
        <v>852.35</v>
      </c>
      <c r="M889" s="10">
        <v>0</v>
      </c>
      <c r="N889" s="9">
        <v>149.66</v>
      </c>
      <c r="O889" s="9">
        <v>81.209999999999994</v>
      </c>
      <c r="P889" s="7" t="s">
        <v>45</v>
      </c>
      <c r="Q889" s="7" t="s">
        <v>57</v>
      </c>
      <c r="R889" s="30">
        <f t="shared" si="13"/>
        <v>0.17558514694667682</v>
      </c>
    </row>
    <row r="890" spans="1:18" x14ac:dyDescent="0.35">
      <c r="A890" s="3" t="s">
        <v>1528</v>
      </c>
      <c r="B890" s="4">
        <v>45958</v>
      </c>
      <c r="C890" s="3" t="s">
        <v>175</v>
      </c>
      <c r="D890" s="3" t="s">
        <v>39</v>
      </c>
      <c r="E890" s="3" t="s">
        <v>30</v>
      </c>
      <c r="F890" s="3" t="s">
        <v>48</v>
      </c>
      <c r="G890" s="3" t="s">
        <v>32</v>
      </c>
      <c r="H890" s="3" t="s">
        <v>143</v>
      </c>
      <c r="I890" s="3" t="s">
        <v>144</v>
      </c>
      <c r="J890" s="3">
        <v>2</v>
      </c>
      <c r="K890" s="5">
        <v>8143.67</v>
      </c>
      <c r="L890" s="5">
        <v>16287.34</v>
      </c>
      <c r="M890" s="6">
        <v>0</v>
      </c>
      <c r="N890" s="5">
        <v>2567.96</v>
      </c>
      <c r="O890" s="5">
        <v>58.08</v>
      </c>
      <c r="P890" s="3" t="s">
        <v>64</v>
      </c>
      <c r="Q890" s="3" t="s">
        <v>26</v>
      </c>
      <c r="R890" s="30">
        <f t="shared" si="13"/>
        <v>0.15766601544512487</v>
      </c>
    </row>
    <row r="891" spans="1:18" x14ac:dyDescent="0.35">
      <c r="A891" s="7" t="s">
        <v>1529</v>
      </c>
      <c r="B891" s="8">
        <v>45959</v>
      </c>
      <c r="C891" s="7" t="s">
        <v>219</v>
      </c>
      <c r="D891" s="7" t="s">
        <v>19</v>
      </c>
      <c r="E891" s="7" t="s">
        <v>60</v>
      </c>
      <c r="F891" s="7" t="s">
        <v>68</v>
      </c>
      <c r="G891" s="7" t="s">
        <v>134</v>
      </c>
      <c r="H891" s="7" t="s">
        <v>244</v>
      </c>
      <c r="I891" s="7" t="s">
        <v>245</v>
      </c>
      <c r="J891" s="7">
        <v>2</v>
      </c>
      <c r="K891" s="9">
        <v>3068.28</v>
      </c>
      <c r="L891" s="9">
        <v>6136.56</v>
      </c>
      <c r="M891" s="10">
        <v>0</v>
      </c>
      <c r="N891" s="9">
        <v>1473.64</v>
      </c>
      <c r="O891" s="9">
        <v>79.849999999999994</v>
      </c>
      <c r="P891" s="7" t="s">
        <v>64</v>
      </c>
      <c r="Q891" s="7" t="s">
        <v>36</v>
      </c>
      <c r="R891" s="30">
        <f t="shared" si="13"/>
        <v>0.24014105622694149</v>
      </c>
    </row>
    <row r="892" spans="1:18" x14ac:dyDescent="0.35">
      <c r="A892" s="3" t="s">
        <v>1530</v>
      </c>
      <c r="B892" s="4">
        <v>45960</v>
      </c>
      <c r="C892" s="3" t="s">
        <v>222</v>
      </c>
      <c r="D892" s="3" t="s">
        <v>39</v>
      </c>
      <c r="E892" s="3" t="s">
        <v>30</v>
      </c>
      <c r="F892" s="3" t="s">
        <v>48</v>
      </c>
      <c r="G892" s="3" t="s">
        <v>134</v>
      </c>
      <c r="H892" s="3" t="s">
        <v>139</v>
      </c>
      <c r="I892" s="3" t="s">
        <v>140</v>
      </c>
      <c r="J892" s="3">
        <v>1</v>
      </c>
      <c r="K892" s="5">
        <v>2472.41</v>
      </c>
      <c r="L892" s="5">
        <v>2101.5500000000002</v>
      </c>
      <c r="M892" s="6">
        <v>15</v>
      </c>
      <c r="N892" s="5">
        <v>286.8</v>
      </c>
      <c r="O892" s="5">
        <v>151.25</v>
      </c>
      <c r="P892" s="3" t="s">
        <v>25</v>
      </c>
      <c r="Q892" s="3" t="s">
        <v>36</v>
      </c>
      <c r="R892" s="30">
        <f t="shared" si="13"/>
        <v>0.13647070019747329</v>
      </c>
    </row>
    <row r="893" spans="1:18" x14ac:dyDescent="0.35">
      <c r="A893" s="7" t="s">
        <v>1531</v>
      </c>
      <c r="B893" s="8">
        <v>45960</v>
      </c>
      <c r="C893" s="7" t="s">
        <v>1532</v>
      </c>
      <c r="D893" s="7" t="s">
        <v>39</v>
      </c>
      <c r="E893" s="7" t="s">
        <v>20</v>
      </c>
      <c r="F893" s="7" t="s">
        <v>54</v>
      </c>
      <c r="G893" s="7" t="s">
        <v>32</v>
      </c>
      <c r="H893" s="7" t="s">
        <v>86</v>
      </c>
      <c r="I893" s="7" t="s">
        <v>211</v>
      </c>
      <c r="J893" s="7">
        <v>2</v>
      </c>
      <c r="K893" s="9">
        <v>7819.42</v>
      </c>
      <c r="L893" s="9">
        <v>14856.9</v>
      </c>
      <c r="M893" s="10">
        <v>5</v>
      </c>
      <c r="N893" s="9">
        <v>1625.72</v>
      </c>
      <c r="O893" s="9">
        <v>119.94</v>
      </c>
      <c r="P893" s="7" t="s">
        <v>64</v>
      </c>
      <c r="Q893" s="7" t="s">
        <v>65</v>
      </c>
      <c r="R893" s="30">
        <f t="shared" si="13"/>
        <v>0.1094252502204363</v>
      </c>
    </row>
    <row r="894" spans="1:18" x14ac:dyDescent="0.35">
      <c r="A894" s="3" t="s">
        <v>1533</v>
      </c>
      <c r="B894" s="4">
        <v>45960</v>
      </c>
      <c r="C894" s="3" t="s">
        <v>1344</v>
      </c>
      <c r="D894" s="3" t="s">
        <v>39</v>
      </c>
      <c r="E894" s="3" t="s">
        <v>30</v>
      </c>
      <c r="F894" s="3" t="s">
        <v>31</v>
      </c>
      <c r="G894" s="3" t="s">
        <v>117</v>
      </c>
      <c r="H894" s="3" t="s">
        <v>153</v>
      </c>
      <c r="I894" s="3" t="s">
        <v>154</v>
      </c>
      <c r="J894" s="3">
        <v>1</v>
      </c>
      <c r="K894" s="5">
        <v>1220.6300000000001</v>
      </c>
      <c r="L894" s="5">
        <v>1098.57</v>
      </c>
      <c r="M894" s="6">
        <v>10</v>
      </c>
      <c r="N894" s="5">
        <v>183.82</v>
      </c>
      <c r="O894" s="5">
        <v>307.81</v>
      </c>
      <c r="P894" s="3" t="s">
        <v>45</v>
      </c>
      <c r="Q894" s="3" t="s">
        <v>65</v>
      </c>
      <c r="R894" s="30">
        <f t="shared" si="13"/>
        <v>0.16732661550925293</v>
      </c>
    </row>
    <row r="895" spans="1:18" x14ac:dyDescent="0.35">
      <c r="A895" s="7" t="s">
        <v>1534</v>
      </c>
      <c r="B895" s="8">
        <v>45961</v>
      </c>
      <c r="C895" s="7" t="s">
        <v>705</v>
      </c>
      <c r="D895" s="7" t="s">
        <v>39</v>
      </c>
      <c r="E895" s="7" t="s">
        <v>60</v>
      </c>
      <c r="F895" s="7" t="s">
        <v>61</v>
      </c>
      <c r="G895" s="7" t="s">
        <v>42</v>
      </c>
      <c r="H895" s="7" t="s">
        <v>164</v>
      </c>
      <c r="I895" s="7" t="s">
        <v>853</v>
      </c>
      <c r="J895" s="7">
        <v>3</v>
      </c>
      <c r="K895" s="9">
        <v>193.12</v>
      </c>
      <c r="L895" s="9">
        <v>550.39</v>
      </c>
      <c r="M895" s="10">
        <v>5</v>
      </c>
      <c r="N895" s="9">
        <v>88.85</v>
      </c>
      <c r="O895" s="9">
        <v>187.62</v>
      </c>
      <c r="P895" s="7" t="s">
        <v>25</v>
      </c>
      <c r="Q895" s="7" t="s">
        <v>26</v>
      </c>
      <c r="R895" s="30">
        <f t="shared" si="13"/>
        <v>0.16143098530133176</v>
      </c>
    </row>
    <row r="896" spans="1:18" x14ac:dyDescent="0.35">
      <c r="A896" s="3" t="s">
        <v>1535</v>
      </c>
      <c r="B896" s="4">
        <v>45961</v>
      </c>
      <c r="C896" s="3" t="s">
        <v>859</v>
      </c>
      <c r="D896" s="3" t="s">
        <v>39</v>
      </c>
      <c r="E896" s="3" t="s">
        <v>30</v>
      </c>
      <c r="F896" s="3" t="s">
        <v>226</v>
      </c>
      <c r="G896" s="3" t="s">
        <v>32</v>
      </c>
      <c r="H896" s="3" t="s">
        <v>86</v>
      </c>
      <c r="I896" s="3" t="s">
        <v>227</v>
      </c>
      <c r="J896" s="3">
        <v>1</v>
      </c>
      <c r="K896" s="5">
        <v>7762.19</v>
      </c>
      <c r="L896" s="5">
        <v>7374.08</v>
      </c>
      <c r="M896" s="6">
        <v>5</v>
      </c>
      <c r="N896" s="5">
        <v>1108.25</v>
      </c>
      <c r="O896" s="5">
        <v>83.11</v>
      </c>
      <c r="P896" s="3" t="s">
        <v>83</v>
      </c>
      <c r="Q896" s="3" t="s">
        <v>26</v>
      </c>
      <c r="R896" s="30">
        <f t="shared" si="13"/>
        <v>0.15028993447318173</v>
      </c>
    </row>
    <row r="897" spans="1:18" x14ac:dyDescent="0.35">
      <c r="A897" s="7" t="s">
        <v>1536</v>
      </c>
      <c r="B897" s="8">
        <v>45961</v>
      </c>
      <c r="C897" s="7" t="s">
        <v>593</v>
      </c>
      <c r="D897" s="7" t="s">
        <v>29</v>
      </c>
      <c r="E897" s="7" t="s">
        <v>20</v>
      </c>
      <c r="F897" s="7" t="s">
        <v>21</v>
      </c>
      <c r="G897" s="7" t="s">
        <v>134</v>
      </c>
      <c r="H897" s="7" t="s">
        <v>244</v>
      </c>
      <c r="I897" s="7" t="s">
        <v>270</v>
      </c>
      <c r="J897" s="7">
        <v>1</v>
      </c>
      <c r="K897" s="9">
        <v>2191.56</v>
      </c>
      <c r="L897" s="9">
        <v>1862.83</v>
      </c>
      <c r="M897" s="10">
        <v>15</v>
      </c>
      <c r="N897" s="9">
        <v>173.66</v>
      </c>
      <c r="O897" s="9">
        <v>242.77</v>
      </c>
      <c r="P897" s="7" t="s">
        <v>83</v>
      </c>
      <c r="Q897" s="7" t="s">
        <v>26</v>
      </c>
      <c r="R897" s="30">
        <f t="shared" si="13"/>
        <v>9.3223750959561535E-2</v>
      </c>
    </row>
    <row r="898" spans="1:18" x14ac:dyDescent="0.35">
      <c r="A898" s="3" t="s">
        <v>1537</v>
      </c>
      <c r="B898" s="4">
        <v>45961</v>
      </c>
      <c r="C898" s="3" t="s">
        <v>1538</v>
      </c>
      <c r="D898" s="3" t="s">
        <v>29</v>
      </c>
      <c r="E898" s="3" t="s">
        <v>60</v>
      </c>
      <c r="F898" s="3" t="s">
        <v>104</v>
      </c>
      <c r="G898" s="3" t="s">
        <v>42</v>
      </c>
      <c r="H898" s="3" t="s">
        <v>172</v>
      </c>
      <c r="I898" s="3" t="s">
        <v>223</v>
      </c>
      <c r="J898" s="3">
        <v>3</v>
      </c>
      <c r="K898" s="5">
        <v>995.24</v>
      </c>
      <c r="L898" s="5">
        <v>2836.43</v>
      </c>
      <c r="M898" s="6">
        <v>5</v>
      </c>
      <c r="N898" s="5">
        <v>450.76</v>
      </c>
      <c r="O898" s="5">
        <v>219.44</v>
      </c>
      <c r="P898" s="3" t="s">
        <v>35</v>
      </c>
      <c r="Q898" s="3" t="s">
        <v>36</v>
      </c>
      <c r="R898" s="30">
        <f t="shared" si="13"/>
        <v>0.15891807659628476</v>
      </c>
    </row>
    <row r="899" spans="1:18" x14ac:dyDescent="0.35">
      <c r="A899" s="7" t="s">
        <v>1539</v>
      </c>
      <c r="B899" s="8">
        <v>45961</v>
      </c>
      <c r="C899" s="7" t="s">
        <v>1540</v>
      </c>
      <c r="D899" s="7" t="s">
        <v>39</v>
      </c>
      <c r="E899" s="7" t="s">
        <v>30</v>
      </c>
      <c r="F899" s="7" t="s">
        <v>31</v>
      </c>
      <c r="G899" s="7" t="s">
        <v>42</v>
      </c>
      <c r="H899" s="7" t="s">
        <v>81</v>
      </c>
      <c r="I899" s="7" t="s">
        <v>431</v>
      </c>
      <c r="J899" s="7">
        <v>3</v>
      </c>
      <c r="K899" s="9">
        <v>480.76</v>
      </c>
      <c r="L899" s="9">
        <v>1370.17</v>
      </c>
      <c r="M899" s="10">
        <v>5</v>
      </c>
      <c r="N899" s="9">
        <v>266.44</v>
      </c>
      <c r="O899" s="9">
        <v>313.25</v>
      </c>
      <c r="P899" s="7" t="s">
        <v>35</v>
      </c>
      <c r="Q899" s="7" t="s">
        <v>65</v>
      </c>
      <c r="R899" s="30">
        <f t="shared" ref="R899:R962" si="14">N899/L899</f>
        <v>0.19445762204689929</v>
      </c>
    </row>
    <row r="900" spans="1:18" x14ac:dyDescent="0.35">
      <c r="A900" s="3" t="s">
        <v>1541</v>
      </c>
      <c r="B900" s="4">
        <v>45962</v>
      </c>
      <c r="C900" s="3" t="s">
        <v>1185</v>
      </c>
      <c r="D900" s="3" t="s">
        <v>19</v>
      </c>
      <c r="E900" s="3" t="s">
        <v>60</v>
      </c>
      <c r="F900" s="3" t="s">
        <v>72</v>
      </c>
      <c r="G900" s="3" t="s">
        <v>42</v>
      </c>
      <c r="H900" s="3" t="s">
        <v>81</v>
      </c>
      <c r="I900" s="3" t="s">
        <v>431</v>
      </c>
      <c r="J900" s="3">
        <v>1</v>
      </c>
      <c r="K900" s="5">
        <v>995.8</v>
      </c>
      <c r="L900" s="5">
        <v>846.43</v>
      </c>
      <c r="M900" s="6">
        <v>15</v>
      </c>
      <c r="N900" s="5">
        <v>131.68</v>
      </c>
      <c r="O900" s="5">
        <v>157.32</v>
      </c>
      <c r="P900" s="3" t="s">
        <v>35</v>
      </c>
      <c r="Q900" s="3" t="s">
        <v>57</v>
      </c>
      <c r="R900" s="30">
        <f t="shared" si="14"/>
        <v>0.15557104544971234</v>
      </c>
    </row>
    <row r="901" spans="1:18" x14ac:dyDescent="0.35">
      <c r="A901" s="7" t="s">
        <v>1542</v>
      </c>
      <c r="B901" s="8">
        <v>45963</v>
      </c>
      <c r="C901" s="7" t="s">
        <v>1253</v>
      </c>
      <c r="D901" s="7" t="s">
        <v>39</v>
      </c>
      <c r="E901" s="7" t="s">
        <v>40</v>
      </c>
      <c r="F901" s="7" t="s">
        <v>90</v>
      </c>
      <c r="G901" s="7" t="s">
        <v>22</v>
      </c>
      <c r="H901" s="7" t="s">
        <v>624</v>
      </c>
      <c r="I901" s="7" t="s">
        <v>1215</v>
      </c>
      <c r="J901" s="7">
        <v>4</v>
      </c>
      <c r="K901" s="9">
        <v>43549.78</v>
      </c>
      <c r="L901" s="9">
        <v>174199.12</v>
      </c>
      <c r="M901" s="10">
        <v>0</v>
      </c>
      <c r="N901" s="9">
        <v>18003.400000000001</v>
      </c>
      <c r="O901" s="9">
        <v>374.78</v>
      </c>
      <c r="P901" s="7" t="s">
        <v>64</v>
      </c>
      <c r="Q901" s="7" t="s">
        <v>26</v>
      </c>
      <c r="R901" s="30">
        <f t="shared" si="14"/>
        <v>0.10334954619747794</v>
      </c>
    </row>
    <row r="902" spans="1:18" x14ac:dyDescent="0.35">
      <c r="A902" s="3" t="s">
        <v>1543</v>
      </c>
      <c r="B902" s="4">
        <v>45964</v>
      </c>
      <c r="C902" s="3" t="s">
        <v>94</v>
      </c>
      <c r="D902" s="3" t="s">
        <v>19</v>
      </c>
      <c r="E902" s="3" t="s">
        <v>60</v>
      </c>
      <c r="F902" s="3" t="s">
        <v>68</v>
      </c>
      <c r="G902" s="3" t="s">
        <v>42</v>
      </c>
      <c r="H902" s="3" t="s">
        <v>81</v>
      </c>
      <c r="I902" s="3" t="s">
        <v>431</v>
      </c>
      <c r="J902" s="3">
        <v>1</v>
      </c>
      <c r="K902" s="5">
        <v>368.28</v>
      </c>
      <c r="L902" s="5">
        <v>368.28</v>
      </c>
      <c r="M902" s="6">
        <v>0</v>
      </c>
      <c r="N902" s="5">
        <v>49.54</v>
      </c>
      <c r="O902" s="5">
        <v>38.49</v>
      </c>
      <c r="P902" s="3" t="s">
        <v>25</v>
      </c>
      <c r="Q902" s="3" t="s">
        <v>26</v>
      </c>
      <c r="R902" s="30">
        <f t="shared" si="14"/>
        <v>0.13451721516237647</v>
      </c>
    </row>
    <row r="903" spans="1:18" x14ac:dyDescent="0.35">
      <c r="A903" s="7" t="s">
        <v>1544</v>
      </c>
      <c r="B903" s="8">
        <v>45964</v>
      </c>
      <c r="C903" s="7" t="s">
        <v>377</v>
      </c>
      <c r="D903" s="7" t="s">
        <v>19</v>
      </c>
      <c r="E903" s="7" t="s">
        <v>60</v>
      </c>
      <c r="F903" s="7" t="s">
        <v>104</v>
      </c>
      <c r="G903" s="7" t="s">
        <v>22</v>
      </c>
      <c r="H903" s="7" t="s">
        <v>110</v>
      </c>
      <c r="I903" s="7" t="s">
        <v>111</v>
      </c>
      <c r="J903" s="7">
        <v>5</v>
      </c>
      <c r="K903" s="9">
        <v>24756.9</v>
      </c>
      <c r="L903" s="9">
        <v>111406.05</v>
      </c>
      <c r="M903" s="10">
        <v>10</v>
      </c>
      <c r="N903" s="9">
        <v>-4798.93</v>
      </c>
      <c r="O903" s="9">
        <v>235.37</v>
      </c>
      <c r="P903" s="7" t="s">
        <v>25</v>
      </c>
      <c r="Q903" s="7" t="s">
        <v>36</v>
      </c>
      <c r="R903" s="30">
        <f t="shared" si="14"/>
        <v>-4.3076026840553096E-2</v>
      </c>
    </row>
    <row r="904" spans="1:18" x14ac:dyDescent="0.35">
      <c r="A904" s="3" t="s">
        <v>1545</v>
      </c>
      <c r="B904" s="4">
        <v>45965</v>
      </c>
      <c r="C904" s="3" t="s">
        <v>1237</v>
      </c>
      <c r="D904" s="3" t="s">
        <v>29</v>
      </c>
      <c r="E904" s="3" t="s">
        <v>20</v>
      </c>
      <c r="F904" s="3" t="s">
        <v>21</v>
      </c>
      <c r="G904" s="3" t="s">
        <v>32</v>
      </c>
      <c r="H904" s="3" t="s">
        <v>33</v>
      </c>
      <c r="I904" s="3" t="s">
        <v>34</v>
      </c>
      <c r="J904" s="3">
        <v>2</v>
      </c>
      <c r="K904" s="5">
        <v>5924.04</v>
      </c>
      <c r="L904" s="5">
        <v>8886.06</v>
      </c>
      <c r="M904" s="6">
        <v>25</v>
      </c>
      <c r="N904" s="5">
        <v>36.47</v>
      </c>
      <c r="O904" s="5">
        <v>306.24</v>
      </c>
      <c r="P904" s="3" t="s">
        <v>64</v>
      </c>
      <c r="Q904" s="3" t="s">
        <v>57</v>
      </c>
      <c r="R904" s="30">
        <f t="shared" si="14"/>
        <v>4.1041811556527868E-3</v>
      </c>
    </row>
    <row r="905" spans="1:18" x14ac:dyDescent="0.35">
      <c r="A905" s="7" t="s">
        <v>1546</v>
      </c>
      <c r="B905" s="8">
        <v>45965</v>
      </c>
      <c r="C905" s="7" t="s">
        <v>1547</v>
      </c>
      <c r="D905" s="7" t="s">
        <v>29</v>
      </c>
      <c r="E905" s="7" t="s">
        <v>40</v>
      </c>
      <c r="F905" s="7" t="s">
        <v>77</v>
      </c>
      <c r="G905" s="7" t="s">
        <v>117</v>
      </c>
      <c r="H905" s="7" t="s">
        <v>153</v>
      </c>
      <c r="I905" s="7" t="s">
        <v>154</v>
      </c>
      <c r="J905" s="7">
        <v>5</v>
      </c>
      <c r="K905" s="9">
        <v>1394.22</v>
      </c>
      <c r="L905" s="9">
        <v>6273.99</v>
      </c>
      <c r="M905" s="10">
        <v>10</v>
      </c>
      <c r="N905" s="9">
        <v>985.49</v>
      </c>
      <c r="O905" s="9">
        <v>284.48</v>
      </c>
      <c r="P905" s="7" t="s">
        <v>35</v>
      </c>
      <c r="Q905" s="7" t="s">
        <v>65</v>
      </c>
      <c r="R905" s="30">
        <f t="shared" si="14"/>
        <v>0.15707548147191819</v>
      </c>
    </row>
    <row r="906" spans="1:18" x14ac:dyDescent="0.35">
      <c r="A906" s="3" t="s">
        <v>1548</v>
      </c>
      <c r="B906" s="4">
        <v>45966</v>
      </c>
      <c r="C906" s="3" t="s">
        <v>599</v>
      </c>
      <c r="D906" s="3" t="s">
        <v>19</v>
      </c>
      <c r="E906" s="3" t="s">
        <v>20</v>
      </c>
      <c r="F906" s="3" t="s">
        <v>54</v>
      </c>
      <c r="G906" s="3" t="s">
        <v>32</v>
      </c>
      <c r="H906" s="3" t="s">
        <v>143</v>
      </c>
      <c r="I906" s="3" t="s">
        <v>385</v>
      </c>
      <c r="J906" s="3">
        <v>1</v>
      </c>
      <c r="K906" s="5">
        <v>1069.3499999999999</v>
      </c>
      <c r="L906" s="5">
        <v>1069.3499999999999</v>
      </c>
      <c r="M906" s="6">
        <v>0</v>
      </c>
      <c r="N906" s="5">
        <v>263.13</v>
      </c>
      <c r="O906" s="5">
        <v>172.2</v>
      </c>
      <c r="P906" s="3" t="s">
        <v>83</v>
      </c>
      <c r="Q906" s="3" t="s">
        <v>26</v>
      </c>
      <c r="R906" s="30">
        <f t="shared" si="14"/>
        <v>0.24606536681161456</v>
      </c>
    </row>
    <row r="907" spans="1:18" x14ac:dyDescent="0.35">
      <c r="A907" s="7" t="s">
        <v>1549</v>
      </c>
      <c r="B907" s="8">
        <v>45966</v>
      </c>
      <c r="C907" s="7" t="s">
        <v>656</v>
      </c>
      <c r="D907" s="7" t="s">
        <v>39</v>
      </c>
      <c r="E907" s="7" t="s">
        <v>20</v>
      </c>
      <c r="F907" s="7" t="s">
        <v>21</v>
      </c>
      <c r="G907" s="7" t="s">
        <v>117</v>
      </c>
      <c r="H907" s="7" t="s">
        <v>130</v>
      </c>
      <c r="I907" s="7" t="s">
        <v>326</v>
      </c>
      <c r="J907" s="7">
        <v>2</v>
      </c>
      <c r="K907" s="9">
        <v>1333.59</v>
      </c>
      <c r="L907" s="9">
        <v>2267.1</v>
      </c>
      <c r="M907" s="10">
        <v>15</v>
      </c>
      <c r="N907" s="9">
        <v>519.04999999999995</v>
      </c>
      <c r="O907" s="9">
        <v>235.44</v>
      </c>
      <c r="P907" s="7" t="s">
        <v>35</v>
      </c>
      <c r="Q907" s="7" t="s">
        <v>26</v>
      </c>
      <c r="R907" s="30">
        <f t="shared" si="14"/>
        <v>0.22894887742049314</v>
      </c>
    </row>
    <row r="908" spans="1:18" x14ac:dyDescent="0.35">
      <c r="A908" s="3" t="s">
        <v>1550</v>
      </c>
      <c r="B908" s="4">
        <v>45967</v>
      </c>
      <c r="C908" s="3" t="s">
        <v>1551</v>
      </c>
      <c r="D908" s="3" t="s">
        <v>29</v>
      </c>
      <c r="E908" s="3" t="s">
        <v>60</v>
      </c>
      <c r="F908" s="3" t="s">
        <v>61</v>
      </c>
      <c r="G908" s="3" t="s">
        <v>49</v>
      </c>
      <c r="H908" s="3" t="s">
        <v>50</v>
      </c>
      <c r="I908" s="3" t="s">
        <v>193</v>
      </c>
      <c r="J908" s="3">
        <v>2</v>
      </c>
      <c r="K908" s="5">
        <v>10884.02</v>
      </c>
      <c r="L908" s="5">
        <v>18502.830000000002</v>
      </c>
      <c r="M908" s="6">
        <v>15</v>
      </c>
      <c r="N908" s="5">
        <v>2566.31</v>
      </c>
      <c r="O908" s="5">
        <v>197.34</v>
      </c>
      <c r="P908" s="3" t="s">
        <v>64</v>
      </c>
      <c r="Q908" s="3" t="s">
        <v>26</v>
      </c>
      <c r="R908" s="30">
        <f t="shared" si="14"/>
        <v>0.13869824237697692</v>
      </c>
    </row>
    <row r="909" spans="1:18" x14ac:dyDescent="0.35">
      <c r="A909" s="7" t="s">
        <v>1552</v>
      </c>
      <c r="B909" s="8">
        <v>45968</v>
      </c>
      <c r="C909" s="7" t="s">
        <v>776</v>
      </c>
      <c r="D909" s="7" t="s">
        <v>39</v>
      </c>
      <c r="E909" s="7" t="s">
        <v>40</v>
      </c>
      <c r="F909" s="7" t="s">
        <v>90</v>
      </c>
      <c r="G909" s="7" t="s">
        <v>32</v>
      </c>
      <c r="H909" s="7" t="s">
        <v>73</v>
      </c>
      <c r="I909" s="7" t="s">
        <v>114</v>
      </c>
      <c r="J909" s="7">
        <v>2</v>
      </c>
      <c r="K909" s="9">
        <v>1351.47</v>
      </c>
      <c r="L909" s="9">
        <v>2702.94</v>
      </c>
      <c r="M909" s="10">
        <v>0</v>
      </c>
      <c r="N909" s="9">
        <v>534.51</v>
      </c>
      <c r="O909" s="9">
        <v>56.18</v>
      </c>
      <c r="P909" s="7" t="s">
        <v>64</v>
      </c>
      <c r="Q909" s="7" t="s">
        <v>26</v>
      </c>
      <c r="R909" s="30">
        <f t="shared" si="14"/>
        <v>0.19775133743257342</v>
      </c>
    </row>
    <row r="910" spans="1:18" x14ac:dyDescent="0.35">
      <c r="A910" s="3" t="s">
        <v>1553</v>
      </c>
      <c r="B910" s="4">
        <v>45969</v>
      </c>
      <c r="C910" s="3" t="s">
        <v>1554</v>
      </c>
      <c r="D910" s="3" t="s">
        <v>39</v>
      </c>
      <c r="E910" s="3" t="s">
        <v>40</v>
      </c>
      <c r="F910" s="3" t="s">
        <v>77</v>
      </c>
      <c r="G910" s="3" t="s">
        <v>42</v>
      </c>
      <c r="H910" s="3" t="s">
        <v>81</v>
      </c>
      <c r="I910" s="3" t="s">
        <v>248</v>
      </c>
      <c r="J910" s="3">
        <v>2</v>
      </c>
      <c r="K910" s="5">
        <v>386.82</v>
      </c>
      <c r="L910" s="5">
        <v>773.64</v>
      </c>
      <c r="M910" s="6">
        <v>0</v>
      </c>
      <c r="N910" s="5">
        <v>174.11</v>
      </c>
      <c r="O910" s="5">
        <v>96.46</v>
      </c>
      <c r="P910" s="3" t="s">
        <v>45</v>
      </c>
      <c r="Q910" s="3" t="s">
        <v>65</v>
      </c>
      <c r="R910" s="30">
        <f t="shared" si="14"/>
        <v>0.22505299622563468</v>
      </c>
    </row>
    <row r="911" spans="1:18" x14ac:dyDescent="0.35">
      <c r="A911" s="7" t="s">
        <v>1555</v>
      </c>
      <c r="B911" s="8">
        <v>45969</v>
      </c>
      <c r="C911" s="7" t="s">
        <v>645</v>
      </c>
      <c r="D911" s="7" t="s">
        <v>39</v>
      </c>
      <c r="E911" s="7" t="s">
        <v>20</v>
      </c>
      <c r="F911" s="7" t="s">
        <v>54</v>
      </c>
      <c r="G911" s="7" t="s">
        <v>134</v>
      </c>
      <c r="H911" s="7" t="s">
        <v>135</v>
      </c>
      <c r="I911" s="7" t="s">
        <v>185</v>
      </c>
      <c r="J911" s="7">
        <v>2</v>
      </c>
      <c r="K911" s="9">
        <v>3442.58</v>
      </c>
      <c r="L911" s="9">
        <v>6196.64</v>
      </c>
      <c r="M911" s="10">
        <v>10</v>
      </c>
      <c r="N911" s="9">
        <v>1041.02</v>
      </c>
      <c r="O911" s="9">
        <v>309.29000000000002</v>
      </c>
      <c r="P911" s="7" t="s">
        <v>35</v>
      </c>
      <c r="Q911" s="7" t="s">
        <v>57</v>
      </c>
      <c r="R911" s="30">
        <f t="shared" si="14"/>
        <v>0.16799749541687106</v>
      </c>
    </row>
    <row r="912" spans="1:18" x14ac:dyDescent="0.35">
      <c r="A912" s="3" t="s">
        <v>1556</v>
      </c>
      <c r="B912" s="4">
        <v>45969</v>
      </c>
      <c r="C912" s="3" t="s">
        <v>814</v>
      </c>
      <c r="D912" s="3" t="s">
        <v>39</v>
      </c>
      <c r="E912" s="3" t="s">
        <v>60</v>
      </c>
      <c r="F912" s="3" t="s">
        <v>72</v>
      </c>
      <c r="G912" s="3" t="s">
        <v>117</v>
      </c>
      <c r="H912" s="3" t="s">
        <v>118</v>
      </c>
      <c r="I912" s="3" t="s">
        <v>119</v>
      </c>
      <c r="J912" s="3">
        <v>1</v>
      </c>
      <c r="K912" s="5">
        <v>2080.13</v>
      </c>
      <c r="L912" s="5">
        <v>1976.12</v>
      </c>
      <c r="M912" s="6">
        <v>5</v>
      </c>
      <c r="N912" s="5">
        <v>584.84</v>
      </c>
      <c r="O912" s="5">
        <v>307.77999999999997</v>
      </c>
      <c r="P912" s="3" t="s">
        <v>64</v>
      </c>
      <c r="Q912" s="3" t="s">
        <v>26</v>
      </c>
      <c r="R912" s="30">
        <f t="shared" si="14"/>
        <v>0.2959536870230553</v>
      </c>
    </row>
    <row r="913" spans="1:18" x14ac:dyDescent="0.35">
      <c r="A913" s="7" t="s">
        <v>1557</v>
      </c>
      <c r="B913" s="8">
        <v>45970</v>
      </c>
      <c r="C913" s="7" t="s">
        <v>1436</v>
      </c>
      <c r="D913" s="7" t="s">
        <v>39</v>
      </c>
      <c r="E913" s="7" t="s">
        <v>30</v>
      </c>
      <c r="F913" s="7" t="s">
        <v>226</v>
      </c>
      <c r="G913" s="7" t="s">
        <v>134</v>
      </c>
      <c r="H913" s="7" t="s">
        <v>135</v>
      </c>
      <c r="I913" s="7" t="s">
        <v>136</v>
      </c>
      <c r="J913" s="7">
        <v>1</v>
      </c>
      <c r="K913" s="9">
        <v>542.48</v>
      </c>
      <c r="L913" s="9">
        <v>542.48</v>
      </c>
      <c r="M913" s="10">
        <v>0</v>
      </c>
      <c r="N913" s="9">
        <v>81.98</v>
      </c>
      <c r="O913" s="9">
        <v>100.26</v>
      </c>
      <c r="P913" s="7" t="s">
        <v>64</v>
      </c>
      <c r="Q913" s="7" t="s">
        <v>57</v>
      </c>
      <c r="R913" s="30">
        <f t="shared" si="14"/>
        <v>0.15112077864621737</v>
      </c>
    </row>
    <row r="914" spans="1:18" x14ac:dyDescent="0.35">
      <c r="A914" s="3" t="s">
        <v>1558</v>
      </c>
      <c r="B914" s="4">
        <v>45970</v>
      </c>
      <c r="C914" s="3" t="s">
        <v>776</v>
      </c>
      <c r="D914" s="3" t="s">
        <v>29</v>
      </c>
      <c r="E914" s="3" t="s">
        <v>40</v>
      </c>
      <c r="F914" s="3" t="s">
        <v>109</v>
      </c>
      <c r="G914" s="3" t="s">
        <v>22</v>
      </c>
      <c r="H914" s="3" t="s">
        <v>624</v>
      </c>
      <c r="I914" s="3" t="s">
        <v>1215</v>
      </c>
      <c r="J914" s="3">
        <v>1</v>
      </c>
      <c r="K914" s="5">
        <v>37091.019999999997</v>
      </c>
      <c r="L914" s="5">
        <v>35236.47</v>
      </c>
      <c r="M914" s="6">
        <v>5</v>
      </c>
      <c r="N914" s="5">
        <v>2495.71</v>
      </c>
      <c r="O914" s="5">
        <v>180.68</v>
      </c>
      <c r="P914" s="3" t="s">
        <v>35</v>
      </c>
      <c r="Q914" s="3" t="s">
        <v>57</v>
      </c>
      <c r="R914" s="30">
        <f t="shared" si="14"/>
        <v>7.0827469380445887E-2</v>
      </c>
    </row>
    <row r="915" spans="1:18" x14ac:dyDescent="0.35">
      <c r="A915" s="7" t="s">
        <v>1559</v>
      </c>
      <c r="B915" s="8">
        <v>45970</v>
      </c>
      <c r="C915" s="7" t="s">
        <v>38</v>
      </c>
      <c r="D915" s="7" t="s">
        <v>39</v>
      </c>
      <c r="E915" s="7" t="s">
        <v>40</v>
      </c>
      <c r="F915" s="7" t="s">
        <v>41</v>
      </c>
      <c r="G915" s="7" t="s">
        <v>134</v>
      </c>
      <c r="H915" s="7" t="s">
        <v>135</v>
      </c>
      <c r="I915" s="7" t="s">
        <v>136</v>
      </c>
      <c r="J915" s="7">
        <v>1</v>
      </c>
      <c r="K915" s="9">
        <v>2590.81</v>
      </c>
      <c r="L915" s="9">
        <v>2590.81</v>
      </c>
      <c r="M915" s="10">
        <v>0</v>
      </c>
      <c r="N915" s="9">
        <v>830.36</v>
      </c>
      <c r="O915" s="9">
        <v>49.93</v>
      </c>
      <c r="P915" s="7" t="s">
        <v>45</v>
      </c>
      <c r="Q915" s="7" t="s">
        <v>26</v>
      </c>
      <c r="R915" s="30">
        <f t="shared" si="14"/>
        <v>0.32050208236034294</v>
      </c>
    </row>
    <row r="916" spans="1:18" x14ac:dyDescent="0.35">
      <c r="A916" s="3" t="s">
        <v>1560</v>
      </c>
      <c r="B916" s="4">
        <v>45970</v>
      </c>
      <c r="C916" s="3" t="s">
        <v>1229</v>
      </c>
      <c r="D916" s="3" t="s">
        <v>39</v>
      </c>
      <c r="E916" s="3" t="s">
        <v>20</v>
      </c>
      <c r="F916" s="3" t="s">
        <v>21</v>
      </c>
      <c r="G916" s="3" t="s">
        <v>134</v>
      </c>
      <c r="H916" s="3" t="s">
        <v>91</v>
      </c>
      <c r="I916" s="3" t="s">
        <v>188</v>
      </c>
      <c r="J916" s="3">
        <v>2</v>
      </c>
      <c r="K916" s="5">
        <v>3966.01</v>
      </c>
      <c r="L916" s="5">
        <v>7535.42</v>
      </c>
      <c r="M916" s="6">
        <v>5</v>
      </c>
      <c r="N916" s="5">
        <v>2095.29</v>
      </c>
      <c r="O916" s="5">
        <v>243.14</v>
      </c>
      <c r="P916" s="3" t="s">
        <v>25</v>
      </c>
      <c r="Q916" s="3" t="s">
        <v>26</v>
      </c>
      <c r="R916" s="30">
        <f t="shared" si="14"/>
        <v>0.27805882087527967</v>
      </c>
    </row>
    <row r="917" spans="1:18" x14ac:dyDescent="0.35">
      <c r="A917" s="7" t="s">
        <v>1561</v>
      </c>
      <c r="B917" s="8">
        <v>45971</v>
      </c>
      <c r="C917" s="7" t="s">
        <v>1331</v>
      </c>
      <c r="D917" s="7" t="s">
        <v>39</v>
      </c>
      <c r="E917" s="7" t="s">
        <v>20</v>
      </c>
      <c r="F917" s="7" t="s">
        <v>54</v>
      </c>
      <c r="G917" s="7" t="s">
        <v>49</v>
      </c>
      <c r="H917" s="7" t="s">
        <v>62</v>
      </c>
      <c r="I917" s="7" t="s">
        <v>122</v>
      </c>
      <c r="J917" s="7">
        <v>5</v>
      </c>
      <c r="K917" s="9">
        <v>6833.29</v>
      </c>
      <c r="L917" s="9">
        <v>30749.8</v>
      </c>
      <c r="M917" s="10">
        <v>10</v>
      </c>
      <c r="N917" s="9">
        <v>3940.47</v>
      </c>
      <c r="O917" s="9">
        <v>297.77999999999997</v>
      </c>
      <c r="P917" s="7" t="s">
        <v>35</v>
      </c>
      <c r="Q917" s="7" t="s">
        <v>65</v>
      </c>
      <c r="R917" s="30">
        <f t="shared" si="14"/>
        <v>0.12814619932487364</v>
      </c>
    </row>
    <row r="918" spans="1:18" x14ac:dyDescent="0.35">
      <c r="A918" s="3" t="s">
        <v>1562</v>
      </c>
      <c r="B918" s="4">
        <v>45972</v>
      </c>
      <c r="C918" s="3" t="s">
        <v>597</v>
      </c>
      <c r="D918" s="3" t="s">
        <v>39</v>
      </c>
      <c r="E918" s="3" t="s">
        <v>30</v>
      </c>
      <c r="F918" s="3" t="s">
        <v>31</v>
      </c>
      <c r="G918" s="3" t="s">
        <v>134</v>
      </c>
      <c r="H918" s="3" t="s">
        <v>91</v>
      </c>
      <c r="I918" s="3" t="s">
        <v>168</v>
      </c>
      <c r="J918" s="3">
        <v>1</v>
      </c>
      <c r="K918" s="5">
        <v>1038.8900000000001</v>
      </c>
      <c r="L918" s="5">
        <v>883.06</v>
      </c>
      <c r="M918" s="6">
        <v>15</v>
      </c>
      <c r="N918" s="5">
        <v>29.38</v>
      </c>
      <c r="O918" s="5">
        <v>35.78</v>
      </c>
      <c r="P918" s="3" t="s">
        <v>25</v>
      </c>
      <c r="Q918" s="3" t="s">
        <v>65</v>
      </c>
      <c r="R918" s="30">
        <f t="shared" si="14"/>
        <v>3.3270672434489161E-2</v>
      </c>
    </row>
    <row r="919" spans="1:18" x14ac:dyDescent="0.35">
      <c r="A919" s="7" t="s">
        <v>1563</v>
      </c>
      <c r="B919" s="8">
        <v>45972</v>
      </c>
      <c r="C919" s="7" t="s">
        <v>1564</v>
      </c>
      <c r="D919" s="7" t="s">
        <v>29</v>
      </c>
      <c r="E919" s="7" t="s">
        <v>30</v>
      </c>
      <c r="F919" s="7" t="s">
        <v>48</v>
      </c>
      <c r="G919" s="7" t="s">
        <v>117</v>
      </c>
      <c r="H919" s="7" t="s">
        <v>153</v>
      </c>
      <c r="I919" s="7" t="s">
        <v>154</v>
      </c>
      <c r="J919" s="7">
        <v>1</v>
      </c>
      <c r="K919" s="9">
        <v>968.22</v>
      </c>
      <c r="L919" s="9">
        <v>871.4</v>
      </c>
      <c r="M919" s="10">
        <v>10</v>
      </c>
      <c r="N919" s="9">
        <v>215.53</v>
      </c>
      <c r="O919" s="9">
        <v>106.38</v>
      </c>
      <c r="P919" s="7" t="s">
        <v>45</v>
      </c>
      <c r="Q919" s="7" t="s">
        <v>57</v>
      </c>
      <c r="R919" s="30">
        <f t="shared" si="14"/>
        <v>0.24733761762680745</v>
      </c>
    </row>
    <row r="920" spans="1:18" x14ac:dyDescent="0.35">
      <c r="A920" s="3" t="s">
        <v>1565</v>
      </c>
      <c r="B920" s="4">
        <v>45972</v>
      </c>
      <c r="C920" s="3" t="s">
        <v>76</v>
      </c>
      <c r="D920" s="3" t="s">
        <v>19</v>
      </c>
      <c r="E920" s="3" t="s">
        <v>20</v>
      </c>
      <c r="F920" s="3" t="s">
        <v>54</v>
      </c>
      <c r="G920" s="3" t="s">
        <v>22</v>
      </c>
      <c r="H920" s="3" t="s">
        <v>105</v>
      </c>
      <c r="I920" s="3" t="s">
        <v>629</v>
      </c>
      <c r="J920" s="3">
        <v>1</v>
      </c>
      <c r="K920" s="5">
        <v>18984.88</v>
      </c>
      <c r="L920" s="5">
        <v>18984.88</v>
      </c>
      <c r="M920" s="6">
        <v>0</v>
      </c>
      <c r="N920" s="5">
        <v>2803.24</v>
      </c>
      <c r="O920" s="5">
        <v>124.28</v>
      </c>
      <c r="P920" s="3" t="s">
        <v>83</v>
      </c>
      <c r="Q920" s="3" t="s">
        <v>65</v>
      </c>
      <c r="R920" s="30">
        <f t="shared" si="14"/>
        <v>0.14765645081770334</v>
      </c>
    </row>
    <row r="921" spans="1:18" x14ac:dyDescent="0.35">
      <c r="A921" s="7" t="s">
        <v>1566</v>
      </c>
      <c r="B921" s="8">
        <v>45973</v>
      </c>
      <c r="C921" s="7" t="s">
        <v>149</v>
      </c>
      <c r="D921" s="7" t="s">
        <v>19</v>
      </c>
      <c r="E921" s="7" t="s">
        <v>30</v>
      </c>
      <c r="F921" s="7" t="s">
        <v>226</v>
      </c>
      <c r="G921" s="7" t="s">
        <v>134</v>
      </c>
      <c r="H921" s="7" t="s">
        <v>139</v>
      </c>
      <c r="I921" s="7" t="s">
        <v>140</v>
      </c>
      <c r="J921" s="7">
        <v>4</v>
      </c>
      <c r="K921" s="9">
        <v>4080.1</v>
      </c>
      <c r="L921" s="9">
        <v>13872.34</v>
      </c>
      <c r="M921" s="10">
        <v>15</v>
      </c>
      <c r="N921" s="9">
        <v>1831.56</v>
      </c>
      <c r="O921" s="9">
        <v>188.09</v>
      </c>
      <c r="P921" s="7" t="s">
        <v>35</v>
      </c>
      <c r="Q921" s="7" t="s">
        <v>26</v>
      </c>
      <c r="R921" s="30">
        <f t="shared" si="14"/>
        <v>0.13202963595182932</v>
      </c>
    </row>
    <row r="922" spans="1:18" x14ac:dyDescent="0.35">
      <c r="A922" s="3" t="s">
        <v>1567</v>
      </c>
      <c r="B922" s="4">
        <v>45974</v>
      </c>
      <c r="C922" s="3" t="s">
        <v>328</v>
      </c>
      <c r="D922" s="3" t="s">
        <v>39</v>
      </c>
      <c r="E922" s="3" t="s">
        <v>60</v>
      </c>
      <c r="F922" s="3" t="s">
        <v>72</v>
      </c>
      <c r="G922" s="3" t="s">
        <v>22</v>
      </c>
      <c r="H922" s="3" t="s">
        <v>55</v>
      </c>
      <c r="I922" s="3" t="s">
        <v>399</v>
      </c>
      <c r="J922" s="3">
        <v>3</v>
      </c>
      <c r="K922" s="5">
        <v>60669.15</v>
      </c>
      <c r="L922" s="5">
        <v>136505.59</v>
      </c>
      <c r="M922" s="6">
        <v>25</v>
      </c>
      <c r="N922" s="5">
        <v>-9827.48</v>
      </c>
      <c r="O922" s="5">
        <v>240.84</v>
      </c>
      <c r="P922" s="3" t="s">
        <v>25</v>
      </c>
      <c r="Q922" s="3" t="s">
        <v>57</v>
      </c>
      <c r="R922" s="30">
        <f t="shared" si="14"/>
        <v>-7.1993242181510667E-2</v>
      </c>
    </row>
    <row r="923" spans="1:18" x14ac:dyDescent="0.35">
      <c r="A923" s="7" t="s">
        <v>1568</v>
      </c>
      <c r="B923" s="8">
        <v>45975</v>
      </c>
      <c r="C923" s="7" t="s">
        <v>47</v>
      </c>
      <c r="D923" s="7" t="s">
        <v>19</v>
      </c>
      <c r="E923" s="7" t="s">
        <v>20</v>
      </c>
      <c r="F923" s="7" t="s">
        <v>21</v>
      </c>
      <c r="G923" s="7" t="s">
        <v>134</v>
      </c>
      <c r="H923" s="7" t="s">
        <v>139</v>
      </c>
      <c r="I923" s="7" t="s">
        <v>147</v>
      </c>
      <c r="J923" s="7">
        <v>4</v>
      </c>
      <c r="K923" s="9">
        <v>1325.33</v>
      </c>
      <c r="L923" s="9">
        <v>4771.1899999999996</v>
      </c>
      <c r="M923" s="10">
        <v>10</v>
      </c>
      <c r="N923" s="9">
        <v>648.14</v>
      </c>
      <c r="O923" s="9">
        <v>253.59</v>
      </c>
      <c r="P923" s="7" t="s">
        <v>25</v>
      </c>
      <c r="Q923" s="7" t="s">
        <v>65</v>
      </c>
      <c r="R923" s="30">
        <f t="shared" si="14"/>
        <v>0.13584451677673706</v>
      </c>
    </row>
    <row r="924" spans="1:18" x14ac:dyDescent="0.35">
      <c r="A924" s="3" t="s">
        <v>1569</v>
      </c>
      <c r="B924" s="4">
        <v>45976</v>
      </c>
      <c r="C924" s="3" t="s">
        <v>1570</v>
      </c>
      <c r="D924" s="3" t="s">
        <v>39</v>
      </c>
      <c r="E924" s="3" t="s">
        <v>40</v>
      </c>
      <c r="F924" s="3" t="s">
        <v>41</v>
      </c>
      <c r="G924" s="3" t="s">
        <v>22</v>
      </c>
      <c r="H924" s="3" t="s">
        <v>105</v>
      </c>
      <c r="I924" s="3" t="s">
        <v>106</v>
      </c>
      <c r="J924" s="3">
        <v>1</v>
      </c>
      <c r="K924" s="5">
        <v>45716.85</v>
      </c>
      <c r="L924" s="5">
        <v>41145.17</v>
      </c>
      <c r="M924" s="6">
        <v>10</v>
      </c>
      <c r="N924" s="5">
        <v>2449.4</v>
      </c>
      <c r="O924" s="5">
        <v>66.14</v>
      </c>
      <c r="P924" s="3" t="s">
        <v>35</v>
      </c>
      <c r="Q924" s="3" t="s">
        <v>26</v>
      </c>
      <c r="R924" s="30">
        <f t="shared" si="14"/>
        <v>5.9530681243995354E-2</v>
      </c>
    </row>
    <row r="925" spans="1:18" x14ac:dyDescent="0.35">
      <c r="A925" s="7" t="s">
        <v>1571</v>
      </c>
      <c r="B925" s="8">
        <v>45976</v>
      </c>
      <c r="C925" s="7" t="s">
        <v>1052</v>
      </c>
      <c r="D925" s="7" t="s">
        <v>29</v>
      </c>
      <c r="E925" s="7" t="s">
        <v>60</v>
      </c>
      <c r="F925" s="7" t="s">
        <v>61</v>
      </c>
      <c r="G925" s="7" t="s">
        <v>32</v>
      </c>
      <c r="H925" s="7" t="s">
        <v>86</v>
      </c>
      <c r="I925" s="7" t="s">
        <v>211</v>
      </c>
      <c r="J925" s="7">
        <v>1</v>
      </c>
      <c r="K925" s="9">
        <v>10122.040000000001</v>
      </c>
      <c r="L925" s="9">
        <v>9615.94</v>
      </c>
      <c r="M925" s="10">
        <v>5</v>
      </c>
      <c r="N925" s="9">
        <v>801.61</v>
      </c>
      <c r="O925" s="9">
        <v>159.4</v>
      </c>
      <c r="P925" s="7" t="s">
        <v>64</v>
      </c>
      <c r="Q925" s="7" t="s">
        <v>57</v>
      </c>
      <c r="R925" s="30">
        <f t="shared" si="14"/>
        <v>8.336262497478146E-2</v>
      </c>
    </row>
    <row r="926" spans="1:18" x14ac:dyDescent="0.35">
      <c r="A926" s="3" t="s">
        <v>1572</v>
      </c>
      <c r="B926" s="4">
        <v>45976</v>
      </c>
      <c r="C926" s="3" t="s">
        <v>1381</v>
      </c>
      <c r="D926" s="3" t="s">
        <v>39</v>
      </c>
      <c r="E926" s="3" t="s">
        <v>30</v>
      </c>
      <c r="F926" s="3" t="s">
        <v>48</v>
      </c>
      <c r="G926" s="3" t="s">
        <v>32</v>
      </c>
      <c r="H926" s="3" t="s">
        <v>143</v>
      </c>
      <c r="I926" s="3" t="s">
        <v>321</v>
      </c>
      <c r="J926" s="3">
        <v>5</v>
      </c>
      <c r="K926" s="5">
        <v>3933.39</v>
      </c>
      <c r="L926" s="5">
        <v>15733.56</v>
      </c>
      <c r="M926" s="6">
        <v>20</v>
      </c>
      <c r="N926" s="5">
        <v>2246.29</v>
      </c>
      <c r="O926" s="5">
        <v>174.65</v>
      </c>
      <c r="P926" s="3" t="s">
        <v>83</v>
      </c>
      <c r="Q926" s="3" t="s">
        <v>57</v>
      </c>
      <c r="R926" s="30">
        <f t="shared" si="14"/>
        <v>0.14277061262676724</v>
      </c>
    </row>
    <row r="927" spans="1:18" x14ac:dyDescent="0.35">
      <c r="A927" s="7" t="s">
        <v>1573</v>
      </c>
      <c r="B927" s="8">
        <v>45976</v>
      </c>
      <c r="C927" s="7" t="s">
        <v>742</v>
      </c>
      <c r="D927" s="7" t="s">
        <v>39</v>
      </c>
      <c r="E927" s="7" t="s">
        <v>40</v>
      </c>
      <c r="F927" s="7" t="s">
        <v>41</v>
      </c>
      <c r="G927" s="7" t="s">
        <v>49</v>
      </c>
      <c r="H927" s="7" t="s">
        <v>50</v>
      </c>
      <c r="I927" s="7" t="s">
        <v>95</v>
      </c>
      <c r="J927" s="7">
        <v>1</v>
      </c>
      <c r="K927" s="9">
        <v>7066.53</v>
      </c>
      <c r="L927" s="9">
        <v>5299.9</v>
      </c>
      <c r="M927" s="10">
        <v>25</v>
      </c>
      <c r="N927" s="9">
        <v>85.19</v>
      </c>
      <c r="O927" s="9">
        <v>247.84</v>
      </c>
      <c r="P927" s="7" t="s">
        <v>25</v>
      </c>
      <c r="Q927" s="7" t="s">
        <v>65</v>
      </c>
      <c r="R927" s="30">
        <f t="shared" si="14"/>
        <v>1.607388818656956E-2</v>
      </c>
    </row>
    <row r="928" spans="1:18" x14ac:dyDescent="0.35">
      <c r="A928" s="3" t="s">
        <v>1574</v>
      </c>
      <c r="B928" s="4">
        <v>45977</v>
      </c>
      <c r="C928" s="3" t="s">
        <v>133</v>
      </c>
      <c r="D928" s="3" t="s">
        <v>29</v>
      </c>
      <c r="E928" s="3" t="s">
        <v>20</v>
      </c>
      <c r="F928" s="3" t="s">
        <v>21</v>
      </c>
      <c r="G928" s="3" t="s">
        <v>22</v>
      </c>
      <c r="H928" s="3" t="s">
        <v>110</v>
      </c>
      <c r="I928" s="3" t="s">
        <v>111</v>
      </c>
      <c r="J928" s="3">
        <v>1</v>
      </c>
      <c r="K928" s="5">
        <v>2011.21</v>
      </c>
      <c r="L928" s="5">
        <v>1608.97</v>
      </c>
      <c r="M928" s="6">
        <v>20</v>
      </c>
      <c r="N928" s="5">
        <v>27.85</v>
      </c>
      <c r="O928" s="5">
        <v>112.7</v>
      </c>
      <c r="P928" s="3" t="s">
        <v>25</v>
      </c>
      <c r="Q928" s="3" t="s">
        <v>65</v>
      </c>
      <c r="R928" s="30">
        <f t="shared" si="14"/>
        <v>1.7309210240091487E-2</v>
      </c>
    </row>
    <row r="929" spans="1:18" x14ac:dyDescent="0.35">
      <c r="A929" s="7" t="s">
        <v>1575</v>
      </c>
      <c r="B929" s="8">
        <v>45977</v>
      </c>
      <c r="C929" s="7" t="s">
        <v>1576</v>
      </c>
      <c r="D929" s="7" t="s">
        <v>39</v>
      </c>
      <c r="E929" s="7" t="s">
        <v>30</v>
      </c>
      <c r="F929" s="7" t="s">
        <v>48</v>
      </c>
      <c r="G929" s="7" t="s">
        <v>42</v>
      </c>
      <c r="H929" s="7" t="s">
        <v>81</v>
      </c>
      <c r="I929" s="7" t="s">
        <v>248</v>
      </c>
      <c r="J929" s="7">
        <v>2</v>
      </c>
      <c r="K929" s="9">
        <v>215.31</v>
      </c>
      <c r="L929" s="9">
        <v>387.56</v>
      </c>
      <c r="M929" s="10">
        <v>10</v>
      </c>
      <c r="N929" s="9">
        <v>-0.69</v>
      </c>
      <c r="O929" s="9">
        <v>92.14</v>
      </c>
      <c r="P929" s="7" t="s">
        <v>45</v>
      </c>
      <c r="Q929" s="7" t="s">
        <v>26</v>
      </c>
      <c r="R929" s="30">
        <f t="shared" si="14"/>
        <v>-1.7803694911755598E-3</v>
      </c>
    </row>
    <row r="930" spans="1:18" x14ac:dyDescent="0.35">
      <c r="A930" s="3" t="s">
        <v>1577</v>
      </c>
      <c r="B930" s="4">
        <v>45977</v>
      </c>
      <c r="C930" s="3" t="s">
        <v>1578</v>
      </c>
      <c r="D930" s="3" t="s">
        <v>19</v>
      </c>
      <c r="E930" s="3" t="s">
        <v>20</v>
      </c>
      <c r="F930" s="3" t="s">
        <v>21</v>
      </c>
      <c r="G930" s="3" t="s">
        <v>134</v>
      </c>
      <c r="H930" s="3" t="s">
        <v>244</v>
      </c>
      <c r="I930" s="3" t="s">
        <v>270</v>
      </c>
      <c r="J930" s="3">
        <v>2</v>
      </c>
      <c r="K930" s="5">
        <v>1969.28</v>
      </c>
      <c r="L930" s="5">
        <v>3347.78</v>
      </c>
      <c r="M930" s="6">
        <v>15</v>
      </c>
      <c r="N930" s="5">
        <v>514.22</v>
      </c>
      <c r="O930" s="5">
        <v>209.36</v>
      </c>
      <c r="P930" s="3" t="s">
        <v>25</v>
      </c>
      <c r="Q930" s="3" t="s">
        <v>65</v>
      </c>
      <c r="R930" s="30">
        <f t="shared" si="14"/>
        <v>0.15360029631576747</v>
      </c>
    </row>
    <row r="931" spans="1:18" x14ac:dyDescent="0.35">
      <c r="A931" s="7" t="s">
        <v>1579</v>
      </c>
      <c r="B931" s="8">
        <v>45977</v>
      </c>
      <c r="C931" s="7" t="s">
        <v>1193</v>
      </c>
      <c r="D931" s="7" t="s">
        <v>39</v>
      </c>
      <c r="E931" s="7" t="s">
        <v>20</v>
      </c>
      <c r="F931" s="7" t="s">
        <v>21</v>
      </c>
      <c r="G931" s="7" t="s">
        <v>22</v>
      </c>
      <c r="H931" s="7" t="s">
        <v>110</v>
      </c>
      <c r="I931" s="7" t="s">
        <v>480</v>
      </c>
      <c r="J931" s="7">
        <v>5</v>
      </c>
      <c r="K931" s="9">
        <v>35036.61</v>
      </c>
      <c r="L931" s="9">
        <v>166423.9</v>
      </c>
      <c r="M931" s="10">
        <v>5</v>
      </c>
      <c r="N931" s="9">
        <v>15450.41</v>
      </c>
      <c r="O931" s="9">
        <v>95.72</v>
      </c>
      <c r="P931" s="7" t="s">
        <v>25</v>
      </c>
      <c r="Q931" s="7" t="s">
        <v>57</v>
      </c>
      <c r="R931" s="30">
        <f t="shared" si="14"/>
        <v>9.2837687375431049E-2</v>
      </c>
    </row>
    <row r="932" spans="1:18" x14ac:dyDescent="0.35">
      <c r="A932" s="3" t="s">
        <v>1580</v>
      </c>
      <c r="B932" s="4">
        <v>45977</v>
      </c>
      <c r="C932" s="3" t="s">
        <v>1331</v>
      </c>
      <c r="D932" s="3" t="s">
        <v>29</v>
      </c>
      <c r="E932" s="3" t="s">
        <v>30</v>
      </c>
      <c r="F932" s="3" t="s">
        <v>31</v>
      </c>
      <c r="G932" s="3" t="s">
        <v>117</v>
      </c>
      <c r="H932" s="3" t="s">
        <v>130</v>
      </c>
      <c r="I932" s="3" t="s">
        <v>131</v>
      </c>
      <c r="J932" s="3">
        <v>3</v>
      </c>
      <c r="K932" s="5">
        <v>1794.35</v>
      </c>
      <c r="L932" s="5">
        <v>5113.8999999999996</v>
      </c>
      <c r="M932" s="6">
        <v>5</v>
      </c>
      <c r="N932" s="5">
        <v>1368.45</v>
      </c>
      <c r="O932" s="5">
        <v>99.75</v>
      </c>
      <c r="P932" s="3" t="s">
        <v>45</v>
      </c>
      <c r="Q932" s="3" t="s">
        <v>36</v>
      </c>
      <c r="R932" s="30">
        <f t="shared" si="14"/>
        <v>0.26759420403214773</v>
      </c>
    </row>
    <row r="933" spans="1:18" x14ac:dyDescent="0.35">
      <c r="A933" s="7" t="s">
        <v>1581</v>
      </c>
      <c r="B933" s="8">
        <v>45978</v>
      </c>
      <c r="C933" s="7" t="s">
        <v>320</v>
      </c>
      <c r="D933" s="7" t="s">
        <v>39</v>
      </c>
      <c r="E933" s="7" t="s">
        <v>40</v>
      </c>
      <c r="F933" s="7" t="s">
        <v>109</v>
      </c>
      <c r="G933" s="7" t="s">
        <v>32</v>
      </c>
      <c r="H933" s="7" t="s">
        <v>86</v>
      </c>
      <c r="I933" s="7" t="s">
        <v>227</v>
      </c>
      <c r="J933" s="7">
        <v>1</v>
      </c>
      <c r="K933" s="9">
        <v>2949.74</v>
      </c>
      <c r="L933" s="9">
        <v>2949.74</v>
      </c>
      <c r="M933" s="10">
        <v>0</v>
      </c>
      <c r="N933" s="9">
        <v>695.3</v>
      </c>
      <c r="O933" s="9">
        <v>72.09</v>
      </c>
      <c r="P933" s="7" t="s">
        <v>35</v>
      </c>
      <c r="Q933" s="7" t="s">
        <v>26</v>
      </c>
      <c r="R933" s="30">
        <f t="shared" si="14"/>
        <v>0.2357156901964241</v>
      </c>
    </row>
    <row r="934" spans="1:18" x14ac:dyDescent="0.35">
      <c r="A934" s="3" t="s">
        <v>1582</v>
      </c>
      <c r="B934" s="4">
        <v>45978</v>
      </c>
      <c r="C934" s="3" t="s">
        <v>433</v>
      </c>
      <c r="D934" s="3" t="s">
        <v>39</v>
      </c>
      <c r="E934" s="3" t="s">
        <v>20</v>
      </c>
      <c r="F934" s="3" t="s">
        <v>54</v>
      </c>
      <c r="G934" s="3" t="s">
        <v>49</v>
      </c>
      <c r="H934" s="3" t="s">
        <v>91</v>
      </c>
      <c r="I934" s="3" t="s">
        <v>168</v>
      </c>
      <c r="J934" s="3">
        <v>1</v>
      </c>
      <c r="K934" s="5">
        <v>9409.36</v>
      </c>
      <c r="L934" s="5">
        <v>7997.96</v>
      </c>
      <c r="M934" s="6">
        <v>15</v>
      </c>
      <c r="N934" s="5">
        <v>936.75</v>
      </c>
      <c r="O934" s="5">
        <v>179.36</v>
      </c>
      <c r="P934" s="3" t="s">
        <v>64</v>
      </c>
      <c r="Q934" s="3" t="s">
        <v>57</v>
      </c>
      <c r="R934" s="30">
        <f t="shared" si="14"/>
        <v>0.11712361652221316</v>
      </c>
    </row>
    <row r="935" spans="1:18" x14ac:dyDescent="0.35">
      <c r="A935" s="7" t="s">
        <v>1583</v>
      </c>
      <c r="B935" s="8">
        <v>45978</v>
      </c>
      <c r="C935" s="7" t="s">
        <v>1071</v>
      </c>
      <c r="D935" s="7" t="s">
        <v>39</v>
      </c>
      <c r="E935" s="7" t="s">
        <v>30</v>
      </c>
      <c r="F935" s="7" t="s">
        <v>31</v>
      </c>
      <c r="G935" s="7" t="s">
        <v>22</v>
      </c>
      <c r="H935" s="7" t="s">
        <v>624</v>
      </c>
      <c r="I935" s="7" t="s">
        <v>640</v>
      </c>
      <c r="J935" s="7">
        <v>1</v>
      </c>
      <c r="K935" s="9">
        <v>49976.87</v>
      </c>
      <c r="L935" s="9">
        <v>34983.81</v>
      </c>
      <c r="M935" s="10">
        <v>30</v>
      </c>
      <c r="N935" s="9">
        <v>-1826.85</v>
      </c>
      <c r="O935" s="9">
        <v>94.15</v>
      </c>
      <c r="P935" s="7" t="s">
        <v>83</v>
      </c>
      <c r="Q935" s="7" t="s">
        <v>26</v>
      </c>
      <c r="R935" s="30">
        <f t="shared" si="14"/>
        <v>-5.2219869705443747E-2</v>
      </c>
    </row>
    <row r="936" spans="1:18" x14ac:dyDescent="0.35">
      <c r="A936" s="3" t="s">
        <v>1584</v>
      </c>
      <c r="B936" s="4">
        <v>45978</v>
      </c>
      <c r="C936" s="3" t="s">
        <v>1585</v>
      </c>
      <c r="D936" s="3" t="s">
        <v>39</v>
      </c>
      <c r="E936" s="3" t="s">
        <v>20</v>
      </c>
      <c r="F936" s="3" t="s">
        <v>129</v>
      </c>
      <c r="G936" s="3" t="s">
        <v>117</v>
      </c>
      <c r="H936" s="3" t="s">
        <v>153</v>
      </c>
      <c r="I936" s="3" t="s">
        <v>356</v>
      </c>
      <c r="J936" s="3">
        <v>4</v>
      </c>
      <c r="K936" s="5">
        <v>2310.2199999999998</v>
      </c>
      <c r="L936" s="5">
        <v>8778.84</v>
      </c>
      <c r="M936" s="6">
        <v>5</v>
      </c>
      <c r="N936" s="5">
        <v>2079.2800000000002</v>
      </c>
      <c r="O936" s="5">
        <v>359.85</v>
      </c>
      <c r="P936" s="3" t="s">
        <v>64</v>
      </c>
      <c r="Q936" s="3" t="s">
        <v>65</v>
      </c>
      <c r="R936" s="30">
        <f t="shared" si="14"/>
        <v>0.23685133798998503</v>
      </c>
    </row>
    <row r="937" spans="1:18" x14ac:dyDescent="0.35">
      <c r="A937" s="7" t="s">
        <v>1586</v>
      </c>
      <c r="B937" s="8">
        <v>45979</v>
      </c>
      <c r="C937" s="7" t="s">
        <v>958</v>
      </c>
      <c r="D937" s="7" t="s">
        <v>39</v>
      </c>
      <c r="E937" s="7" t="s">
        <v>20</v>
      </c>
      <c r="F937" s="7" t="s">
        <v>54</v>
      </c>
      <c r="G937" s="7" t="s">
        <v>22</v>
      </c>
      <c r="H937" s="7" t="s">
        <v>23</v>
      </c>
      <c r="I937" s="7" t="s">
        <v>238</v>
      </c>
      <c r="J937" s="7">
        <v>2</v>
      </c>
      <c r="K937" s="9">
        <v>8554.99</v>
      </c>
      <c r="L937" s="9">
        <v>15398.98</v>
      </c>
      <c r="M937" s="10">
        <v>10</v>
      </c>
      <c r="N937" s="9">
        <v>1660.67</v>
      </c>
      <c r="O937" s="9">
        <v>283.42</v>
      </c>
      <c r="P937" s="7" t="s">
        <v>25</v>
      </c>
      <c r="Q937" s="7" t="s">
        <v>65</v>
      </c>
      <c r="R937" s="30">
        <f t="shared" si="14"/>
        <v>0.10784285712430304</v>
      </c>
    </row>
    <row r="938" spans="1:18" x14ac:dyDescent="0.35">
      <c r="A938" s="3" t="s">
        <v>1587</v>
      </c>
      <c r="B938" s="4">
        <v>45980</v>
      </c>
      <c r="C938" s="3" t="s">
        <v>912</v>
      </c>
      <c r="D938" s="3" t="s">
        <v>19</v>
      </c>
      <c r="E938" s="3" t="s">
        <v>30</v>
      </c>
      <c r="F938" s="3" t="s">
        <v>48</v>
      </c>
      <c r="G938" s="3" t="s">
        <v>22</v>
      </c>
      <c r="H938" s="3" t="s">
        <v>55</v>
      </c>
      <c r="I938" s="3" t="s">
        <v>416</v>
      </c>
      <c r="J938" s="3">
        <v>1</v>
      </c>
      <c r="K938" s="5">
        <v>47879.13</v>
      </c>
      <c r="L938" s="5">
        <v>47879.13</v>
      </c>
      <c r="M938" s="6">
        <v>0</v>
      </c>
      <c r="N938" s="5">
        <v>8114.47</v>
      </c>
      <c r="O938" s="5">
        <v>70.86</v>
      </c>
      <c r="P938" s="3" t="s">
        <v>35</v>
      </c>
      <c r="Q938" s="3" t="s">
        <v>36</v>
      </c>
      <c r="R938" s="30">
        <f t="shared" si="14"/>
        <v>0.1694782256904</v>
      </c>
    </row>
    <row r="939" spans="1:18" x14ac:dyDescent="0.35">
      <c r="A939" s="7" t="s">
        <v>1588</v>
      </c>
      <c r="B939" s="8">
        <v>45980</v>
      </c>
      <c r="C939" s="7" t="s">
        <v>995</v>
      </c>
      <c r="D939" s="7" t="s">
        <v>29</v>
      </c>
      <c r="E939" s="7" t="s">
        <v>30</v>
      </c>
      <c r="F939" s="7" t="s">
        <v>31</v>
      </c>
      <c r="G939" s="7" t="s">
        <v>49</v>
      </c>
      <c r="H939" s="7" t="s">
        <v>50</v>
      </c>
      <c r="I939" s="7" t="s">
        <v>485</v>
      </c>
      <c r="J939" s="7">
        <v>1</v>
      </c>
      <c r="K939" s="9">
        <v>6175.02</v>
      </c>
      <c r="L939" s="9">
        <v>5866.27</v>
      </c>
      <c r="M939" s="10">
        <v>5</v>
      </c>
      <c r="N939" s="9">
        <v>619.62</v>
      </c>
      <c r="O939" s="9">
        <v>114.57</v>
      </c>
      <c r="P939" s="7" t="s">
        <v>35</v>
      </c>
      <c r="Q939" s="7" t="s">
        <v>26</v>
      </c>
      <c r="R939" s="30">
        <f t="shared" si="14"/>
        <v>0.10562418708992255</v>
      </c>
    </row>
    <row r="940" spans="1:18" x14ac:dyDescent="0.35">
      <c r="A940" s="3" t="s">
        <v>1589</v>
      </c>
      <c r="B940" s="4">
        <v>45980</v>
      </c>
      <c r="C940" s="3" t="s">
        <v>1456</v>
      </c>
      <c r="D940" s="3" t="s">
        <v>29</v>
      </c>
      <c r="E940" s="3" t="s">
        <v>40</v>
      </c>
      <c r="F940" s="3" t="s">
        <v>41</v>
      </c>
      <c r="G940" s="3" t="s">
        <v>42</v>
      </c>
      <c r="H940" s="3" t="s">
        <v>164</v>
      </c>
      <c r="I940" s="3" t="s">
        <v>199</v>
      </c>
      <c r="J940" s="3">
        <v>1</v>
      </c>
      <c r="K940" s="5">
        <v>692.4</v>
      </c>
      <c r="L940" s="5">
        <v>553.91999999999996</v>
      </c>
      <c r="M940" s="6">
        <v>20</v>
      </c>
      <c r="N940" s="5">
        <v>8.0500000000000007</v>
      </c>
      <c r="O940" s="5">
        <v>286.83</v>
      </c>
      <c r="P940" s="3" t="s">
        <v>45</v>
      </c>
      <c r="Q940" s="3" t="s">
        <v>65</v>
      </c>
      <c r="R940" s="30">
        <f t="shared" si="14"/>
        <v>1.4532784517619876E-2</v>
      </c>
    </row>
    <row r="941" spans="1:18" x14ac:dyDescent="0.35">
      <c r="A941" s="7" t="s">
        <v>1590</v>
      </c>
      <c r="B941" s="8">
        <v>45981</v>
      </c>
      <c r="C941" s="7" t="s">
        <v>1335</v>
      </c>
      <c r="D941" s="7" t="s">
        <v>29</v>
      </c>
      <c r="E941" s="7" t="s">
        <v>30</v>
      </c>
      <c r="F941" s="7" t="s">
        <v>226</v>
      </c>
      <c r="G941" s="7" t="s">
        <v>22</v>
      </c>
      <c r="H941" s="7" t="s">
        <v>110</v>
      </c>
      <c r="I941" s="7" t="s">
        <v>317</v>
      </c>
      <c r="J941" s="7">
        <v>3</v>
      </c>
      <c r="K941" s="9">
        <v>37780.82</v>
      </c>
      <c r="L941" s="9">
        <v>113342.46</v>
      </c>
      <c r="M941" s="10">
        <v>0</v>
      </c>
      <c r="N941" s="9">
        <v>12048.84</v>
      </c>
      <c r="O941" s="9">
        <v>101.12</v>
      </c>
      <c r="P941" s="7" t="s">
        <v>64</v>
      </c>
      <c r="Q941" s="7" t="s">
        <v>65</v>
      </c>
      <c r="R941" s="30">
        <f t="shared" si="14"/>
        <v>0.10630473345999372</v>
      </c>
    </row>
    <row r="942" spans="1:18" x14ac:dyDescent="0.35">
      <c r="A942" s="3" t="s">
        <v>1591</v>
      </c>
      <c r="B942" s="4">
        <v>45981</v>
      </c>
      <c r="C942" s="3" t="s">
        <v>59</v>
      </c>
      <c r="D942" s="3" t="s">
        <v>19</v>
      </c>
      <c r="E942" s="3" t="s">
        <v>40</v>
      </c>
      <c r="F942" s="3" t="s">
        <v>77</v>
      </c>
      <c r="G942" s="3" t="s">
        <v>134</v>
      </c>
      <c r="H942" s="3" t="s">
        <v>91</v>
      </c>
      <c r="I942" s="3" t="s">
        <v>92</v>
      </c>
      <c r="J942" s="3">
        <v>1</v>
      </c>
      <c r="K942" s="5">
        <v>689.03</v>
      </c>
      <c r="L942" s="5">
        <v>551.22</v>
      </c>
      <c r="M942" s="6">
        <v>20</v>
      </c>
      <c r="N942" s="5">
        <v>24.32</v>
      </c>
      <c r="O942" s="5">
        <v>269.48</v>
      </c>
      <c r="P942" s="3" t="s">
        <v>64</v>
      </c>
      <c r="Q942" s="3" t="s">
        <v>26</v>
      </c>
      <c r="R942" s="30">
        <f t="shared" si="14"/>
        <v>4.4120314937774387E-2</v>
      </c>
    </row>
    <row r="943" spans="1:18" x14ac:dyDescent="0.35">
      <c r="A943" s="7" t="s">
        <v>1592</v>
      </c>
      <c r="B943" s="8">
        <v>45981</v>
      </c>
      <c r="C943" s="7" t="s">
        <v>1466</v>
      </c>
      <c r="D943" s="7" t="s">
        <v>39</v>
      </c>
      <c r="E943" s="7" t="s">
        <v>30</v>
      </c>
      <c r="F943" s="7" t="s">
        <v>48</v>
      </c>
      <c r="G943" s="7" t="s">
        <v>22</v>
      </c>
      <c r="H943" s="7" t="s">
        <v>110</v>
      </c>
      <c r="I943" s="7" t="s">
        <v>359</v>
      </c>
      <c r="J943" s="7">
        <v>1</v>
      </c>
      <c r="K943" s="9">
        <v>27427.9</v>
      </c>
      <c r="L943" s="9">
        <v>23313.72</v>
      </c>
      <c r="M943" s="10">
        <v>15</v>
      </c>
      <c r="N943" s="9">
        <v>2603.33</v>
      </c>
      <c r="O943" s="9">
        <v>141.15</v>
      </c>
      <c r="P943" s="7" t="s">
        <v>64</v>
      </c>
      <c r="Q943" s="7" t="s">
        <v>36</v>
      </c>
      <c r="R943" s="30">
        <f t="shared" si="14"/>
        <v>0.11166514824746972</v>
      </c>
    </row>
    <row r="944" spans="1:18" x14ac:dyDescent="0.35">
      <c r="A944" s="3" t="s">
        <v>1593</v>
      </c>
      <c r="B944" s="4">
        <v>45981</v>
      </c>
      <c r="C944" s="3" t="s">
        <v>610</v>
      </c>
      <c r="D944" s="3" t="s">
        <v>39</v>
      </c>
      <c r="E944" s="3" t="s">
        <v>20</v>
      </c>
      <c r="F944" s="3" t="s">
        <v>129</v>
      </c>
      <c r="G944" s="3" t="s">
        <v>22</v>
      </c>
      <c r="H944" s="3" t="s">
        <v>55</v>
      </c>
      <c r="I944" s="3" t="s">
        <v>323</v>
      </c>
      <c r="J944" s="3">
        <v>1</v>
      </c>
      <c r="K944" s="5">
        <v>51204.68</v>
      </c>
      <c r="L944" s="5">
        <v>51204.68</v>
      </c>
      <c r="M944" s="6">
        <v>0</v>
      </c>
      <c r="N944" s="5">
        <v>6378.93</v>
      </c>
      <c r="O944" s="5">
        <v>167.28</v>
      </c>
      <c r="P944" s="3" t="s">
        <v>35</v>
      </c>
      <c r="Q944" s="3" t="s">
        <v>65</v>
      </c>
      <c r="R944" s="30">
        <f t="shared" si="14"/>
        <v>0.12457708943791856</v>
      </c>
    </row>
    <row r="945" spans="1:18" x14ac:dyDescent="0.35">
      <c r="A945" s="7" t="s">
        <v>1594</v>
      </c>
      <c r="B945" s="8">
        <v>45982</v>
      </c>
      <c r="C945" s="7" t="s">
        <v>1369</v>
      </c>
      <c r="D945" s="7" t="s">
        <v>39</v>
      </c>
      <c r="E945" s="7" t="s">
        <v>60</v>
      </c>
      <c r="F945" s="7" t="s">
        <v>61</v>
      </c>
      <c r="G945" s="7" t="s">
        <v>117</v>
      </c>
      <c r="H945" s="7" t="s">
        <v>153</v>
      </c>
      <c r="I945" s="7" t="s">
        <v>356</v>
      </c>
      <c r="J945" s="7">
        <v>1</v>
      </c>
      <c r="K945" s="9">
        <v>2257.2399999999998</v>
      </c>
      <c r="L945" s="9">
        <v>2257.2399999999998</v>
      </c>
      <c r="M945" s="10">
        <v>0</v>
      </c>
      <c r="N945" s="9">
        <v>653.17999999999995</v>
      </c>
      <c r="O945" s="9">
        <v>175.91</v>
      </c>
      <c r="P945" s="7" t="s">
        <v>25</v>
      </c>
      <c r="Q945" s="7" t="s">
        <v>57</v>
      </c>
      <c r="R945" s="30">
        <f t="shared" si="14"/>
        <v>0.28937109035813652</v>
      </c>
    </row>
    <row r="946" spans="1:18" x14ac:dyDescent="0.35">
      <c r="A946" s="3" t="s">
        <v>1595</v>
      </c>
      <c r="B946" s="4">
        <v>45982</v>
      </c>
      <c r="C946" s="3" t="s">
        <v>848</v>
      </c>
      <c r="D946" s="3" t="s">
        <v>39</v>
      </c>
      <c r="E946" s="3" t="s">
        <v>40</v>
      </c>
      <c r="F946" s="3" t="s">
        <v>77</v>
      </c>
      <c r="G946" s="3" t="s">
        <v>117</v>
      </c>
      <c r="H946" s="3" t="s">
        <v>125</v>
      </c>
      <c r="I946" s="3" t="s">
        <v>126</v>
      </c>
      <c r="J946" s="3">
        <v>1</v>
      </c>
      <c r="K946" s="5">
        <v>1972.71</v>
      </c>
      <c r="L946" s="5">
        <v>1972.71</v>
      </c>
      <c r="M946" s="6">
        <v>0</v>
      </c>
      <c r="N946" s="5">
        <v>416.63</v>
      </c>
      <c r="O946" s="5">
        <v>285.91000000000003</v>
      </c>
      <c r="P946" s="3" t="s">
        <v>35</v>
      </c>
      <c r="Q946" s="3" t="s">
        <v>65</v>
      </c>
      <c r="R946" s="30">
        <f t="shared" si="14"/>
        <v>0.21119678006397291</v>
      </c>
    </row>
    <row r="947" spans="1:18" x14ac:dyDescent="0.35">
      <c r="A947" s="7" t="s">
        <v>1596</v>
      </c>
      <c r="B947" s="8">
        <v>45982</v>
      </c>
      <c r="C947" s="7" t="s">
        <v>1597</v>
      </c>
      <c r="D947" s="7" t="s">
        <v>39</v>
      </c>
      <c r="E947" s="7" t="s">
        <v>20</v>
      </c>
      <c r="F947" s="7" t="s">
        <v>54</v>
      </c>
      <c r="G947" s="7" t="s">
        <v>42</v>
      </c>
      <c r="H947" s="7" t="s">
        <v>43</v>
      </c>
      <c r="I947" s="7" t="s">
        <v>208</v>
      </c>
      <c r="J947" s="7">
        <v>1</v>
      </c>
      <c r="K947" s="9">
        <v>1011.67</v>
      </c>
      <c r="L947" s="9">
        <v>910.5</v>
      </c>
      <c r="M947" s="10">
        <v>10</v>
      </c>
      <c r="N947" s="9">
        <v>133.71</v>
      </c>
      <c r="O947" s="9">
        <v>238.48</v>
      </c>
      <c r="P947" s="7" t="s">
        <v>45</v>
      </c>
      <c r="Q947" s="7" t="s">
        <v>26</v>
      </c>
      <c r="R947" s="30">
        <f t="shared" si="14"/>
        <v>0.14685337726523889</v>
      </c>
    </row>
    <row r="948" spans="1:18" x14ac:dyDescent="0.35">
      <c r="A948" s="3" t="s">
        <v>1598</v>
      </c>
      <c r="B948" s="4">
        <v>45982</v>
      </c>
      <c r="C948" s="3" t="s">
        <v>1352</v>
      </c>
      <c r="D948" s="3" t="s">
        <v>19</v>
      </c>
      <c r="E948" s="3" t="s">
        <v>30</v>
      </c>
      <c r="F948" s="3" t="s">
        <v>31</v>
      </c>
      <c r="G948" s="3" t="s">
        <v>22</v>
      </c>
      <c r="H948" s="3" t="s">
        <v>55</v>
      </c>
      <c r="I948" s="3" t="s">
        <v>150</v>
      </c>
      <c r="J948" s="3">
        <v>1</v>
      </c>
      <c r="K948" s="5">
        <v>6896.67</v>
      </c>
      <c r="L948" s="5">
        <v>5517.34</v>
      </c>
      <c r="M948" s="6">
        <v>20</v>
      </c>
      <c r="N948" s="5">
        <v>-438.37</v>
      </c>
      <c r="O948" s="5">
        <v>249.85</v>
      </c>
      <c r="P948" s="3" t="s">
        <v>83</v>
      </c>
      <c r="Q948" s="3" t="s">
        <v>65</v>
      </c>
      <c r="R948" s="30">
        <f t="shared" si="14"/>
        <v>-7.9453142275081837E-2</v>
      </c>
    </row>
    <row r="949" spans="1:18" x14ac:dyDescent="0.35">
      <c r="A949" s="7" t="s">
        <v>1599</v>
      </c>
      <c r="B949" s="8">
        <v>45983</v>
      </c>
      <c r="C949" s="7" t="s">
        <v>1079</v>
      </c>
      <c r="D949" s="7" t="s">
        <v>19</v>
      </c>
      <c r="E949" s="7" t="s">
        <v>60</v>
      </c>
      <c r="F949" s="7" t="s">
        <v>72</v>
      </c>
      <c r="G949" s="7" t="s">
        <v>32</v>
      </c>
      <c r="H949" s="7" t="s">
        <v>33</v>
      </c>
      <c r="I949" s="7" t="s">
        <v>34</v>
      </c>
      <c r="J949" s="7">
        <v>1</v>
      </c>
      <c r="K949" s="9">
        <v>10450.51</v>
      </c>
      <c r="L949" s="9">
        <v>10450.51</v>
      </c>
      <c r="M949" s="10">
        <v>0</v>
      </c>
      <c r="N949" s="9">
        <v>1964.55</v>
      </c>
      <c r="O949" s="9">
        <v>74.8</v>
      </c>
      <c r="P949" s="7" t="s">
        <v>35</v>
      </c>
      <c r="Q949" s="7" t="s">
        <v>26</v>
      </c>
      <c r="R949" s="30">
        <f t="shared" si="14"/>
        <v>0.18798604087264639</v>
      </c>
    </row>
    <row r="950" spans="1:18" x14ac:dyDescent="0.35">
      <c r="A950" s="3" t="s">
        <v>1600</v>
      </c>
      <c r="B950" s="4">
        <v>45983</v>
      </c>
      <c r="C950" s="3" t="s">
        <v>681</v>
      </c>
      <c r="D950" s="3" t="s">
        <v>29</v>
      </c>
      <c r="E950" s="3" t="s">
        <v>30</v>
      </c>
      <c r="F950" s="3" t="s">
        <v>31</v>
      </c>
      <c r="G950" s="3" t="s">
        <v>134</v>
      </c>
      <c r="H950" s="3" t="s">
        <v>139</v>
      </c>
      <c r="I950" s="3" t="s">
        <v>220</v>
      </c>
      <c r="J950" s="3">
        <v>1</v>
      </c>
      <c r="K950" s="5">
        <v>401.26</v>
      </c>
      <c r="L950" s="5">
        <v>321.01</v>
      </c>
      <c r="M950" s="6">
        <v>20</v>
      </c>
      <c r="N950" s="5">
        <v>25.63</v>
      </c>
      <c r="O950" s="5">
        <v>67.27</v>
      </c>
      <c r="P950" s="3" t="s">
        <v>35</v>
      </c>
      <c r="Q950" s="3" t="s">
        <v>57</v>
      </c>
      <c r="R950" s="30">
        <f t="shared" si="14"/>
        <v>7.9841749478209406E-2</v>
      </c>
    </row>
    <row r="951" spans="1:18" x14ac:dyDescent="0.35">
      <c r="A951" s="7" t="s">
        <v>1601</v>
      </c>
      <c r="B951" s="8">
        <v>45983</v>
      </c>
      <c r="C951" s="7" t="s">
        <v>1602</v>
      </c>
      <c r="D951" s="7" t="s">
        <v>19</v>
      </c>
      <c r="E951" s="7" t="s">
        <v>30</v>
      </c>
      <c r="F951" s="7" t="s">
        <v>48</v>
      </c>
      <c r="G951" s="7" t="s">
        <v>22</v>
      </c>
      <c r="H951" s="7" t="s">
        <v>110</v>
      </c>
      <c r="I951" s="7" t="s">
        <v>480</v>
      </c>
      <c r="J951" s="7">
        <v>2</v>
      </c>
      <c r="K951" s="9">
        <v>58345.02</v>
      </c>
      <c r="L951" s="9">
        <v>93352.03</v>
      </c>
      <c r="M951" s="10">
        <v>20</v>
      </c>
      <c r="N951" s="9">
        <v>1609.85</v>
      </c>
      <c r="O951" s="9">
        <v>140.13</v>
      </c>
      <c r="P951" s="7" t="s">
        <v>35</v>
      </c>
      <c r="Q951" s="7" t="s">
        <v>65</v>
      </c>
      <c r="R951" s="30">
        <f t="shared" si="14"/>
        <v>1.7244938326461675E-2</v>
      </c>
    </row>
    <row r="952" spans="1:18" x14ac:dyDescent="0.35">
      <c r="A952" s="3" t="s">
        <v>1603</v>
      </c>
      <c r="B952" s="4">
        <v>45983</v>
      </c>
      <c r="C952" s="3" t="s">
        <v>1335</v>
      </c>
      <c r="D952" s="3" t="s">
        <v>19</v>
      </c>
      <c r="E952" s="3" t="s">
        <v>20</v>
      </c>
      <c r="F952" s="3" t="s">
        <v>54</v>
      </c>
      <c r="G952" s="3" t="s">
        <v>42</v>
      </c>
      <c r="H952" s="3" t="s">
        <v>43</v>
      </c>
      <c r="I952" s="3" t="s">
        <v>751</v>
      </c>
      <c r="J952" s="3">
        <v>2</v>
      </c>
      <c r="K952" s="5">
        <v>531.80999999999995</v>
      </c>
      <c r="L952" s="5">
        <v>904.08</v>
      </c>
      <c r="M952" s="6">
        <v>15</v>
      </c>
      <c r="N952" s="5">
        <v>28.49</v>
      </c>
      <c r="O952" s="5">
        <v>355.97</v>
      </c>
      <c r="P952" s="3" t="s">
        <v>45</v>
      </c>
      <c r="Q952" s="3" t="s">
        <v>57</v>
      </c>
      <c r="R952" s="30">
        <f t="shared" si="14"/>
        <v>3.1512697991328199E-2</v>
      </c>
    </row>
    <row r="953" spans="1:18" x14ac:dyDescent="0.35">
      <c r="A953" s="7" t="s">
        <v>1604</v>
      </c>
      <c r="B953" s="8">
        <v>45984</v>
      </c>
      <c r="C953" s="7" t="s">
        <v>807</v>
      </c>
      <c r="D953" s="7" t="s">
        <v>29</v>
      </c>
      <c r="E953" s="7" t="s">
        <v>30</v>
      </c>
      <c r="F953" s="7" t="s">
        <v>48</v>
      </c>
      <c r="G953" s="7" t="s">
        <v>32</v>
      </c>
      <c r="H953" s="7" t="s">
        <v>73</v>
      </c>
      <c r="I953" s="7" t="s">
        <v>230</v>
      </c>
      <c r="J953" s="7">
        <v>1</v>
      </c>
      <c r="K953" s="9">
        <v>5152.9799999999996</v>
      </c>
      <c r="L953" s="9">
        <v>5152.9799999999996</v>
      </c>
      <c r="M953" s="10">
        <v>0</v>
      </c>
      <c r="N953" s="9">
        <v>696.41</v>
      </c>
      <c r="O953" s="9">
        <v>43.44</v>
      </c>
      <c r="P953" s="7" t="s">
        <v>64</v>
      </c>
      <c r="Q953" s="7" t="s">
        <v>36</v>
      </c>
      <c r="R953" s="30">
        <f t="shared" si="14"/>
        <v>0.1351470411295988</v>
      </c>
    </row>
    <row r="954" spans="1:18" x14ac:dyDescent="0.35">
      <c r="A954" s="3" t="s">
        <v>1605</v>
      </c>
      <c r="B954" s="4">
        <v>45984</v>
      </c>
      <c r="C954" s="3" t="s">
        <v>390</v>
      </c>
      <c r="D954" s="3" t="s">
        <v>39</v>
      </c>
      <c r="E954" s="3" t="s">
        <v>40</v>
      </c>
      <c r="F954" s="3" t="s">
        <v>77</v>
      </c>
      <c r="G954" s="3" t="s">
        <v>134</v>
      </c>
      <c r="H954" s="3" t="s">
        <v>139</v>
      </c>
      <c r="I954" s="3" t="s">
        <v>140</v>
      </c>
      <c r="J954" s="3">
        <v>1</v>
      </c>
      <c r="K954" s="5">
        <v>2315.5700000000002</v>
      </c>
      <c r="L954" s="5">
        <v>2199.79</v>
      </c>
      <c r="M954" s="6">
        <v>5</v>
      </c>
      <c r="N954" s="5">
        <v>418.98</v>
      </c>
      <c r="O954" s="5">
        <v>249.51</v>
      </c>
      <c r="P954" s="3" t="s">
        <v>64</v>
      </c>
      <c r="Q954" s="3" t="s">
        <v>26</v>
      </c>
      <c r="R954" s="30">
        <f t="shared" si="14"/>
        <v>0.19046363516517487</v>
      </c>
    </row>
    <row r="955" spans="1:18" x14ac:dyDescent="0.35">
      <c r="A955" s="7" t="s">
        <v>1606</v>
      </c>
      <c r="B955" s="8">
        <v>45984</v>
      </c>
      <c r="C955" s="7" t="s">
        <v>1017</v>
      </c>
      <c r="D955" s="7" t="s">
        <v>29</v>
      </c>
      <c r="E955" s="7" t="s">
        <v>40</v>
      </c>
      <c r="F955" s="7" t="s">
        <v>90</v>
      </c>
      <c r="G955" s="7" t="s">
        <v>134</v>
      </c>
      <c r="H955" s="7" t="s">
        <v>135</v>
      </c>
      <c r="I955" s="7" t="s">
        <v>287</v>
      </c>
      <c r="J955" s="7">
        <v>2</v>
      </c>
      <c r="K955" s="9">
        <v>4129.71</v>
      </c>
      <c r="L955" s="9">
        <v>7433.48</v>
      </c>
      <c r="M955" s="10">
        <v>10</v>
      </c>
      <c r="N955" s="9">
        <v>1798.2</v>
      </c>
      <c r="O955" s="9">
        <v>124.21</v>
      </c>
      <c r="P955" s="7" t="s">
        <v>25</v>
      </c>
      <c r="Q955" s="7" t="s">
        <v>65</v>
      </c>
      <c r="R955" s="30">
        <f t="shared" si="14"/>
        <v>0.24190554087722038</v>
      </c>
    </row>
    <row r="956" spans="1:18" x14ac:dyDescent="0.35">
      <c r="A956" s="3" t="s">
        <v>1607</v>
      </c>
      <c r="B956" s="4">
        <v>45984</v>
      </c>
      <c r="C956" s="3" t="s">
        <v>1608</v>
      </c>
      <c r="D956" s="3" t="s">
        <v>19</v>
      </c>
      <c r="E956" s="3" t="s">
        <v>30</v>
      </c>
      <c r="F956" s="3" t="s">
        <v>48</v>
      </c>
      <c r="G956" s="3" t="s">
        <v>32</v>
      </c>
      <c r="H956" s="3" t="s">
        <v>86</v>
      </c>
      <c r="I956" s="3" t="s">
        <v>227</v>
      </c>
      <c r="J956" s="3">
        <v>2</v>
      </c>
      <c r="K956" s="5">
        <v>3293.72</v>
      </c>
      <c r="L956" s="5">
        <v>5269.95</v>
      </c>
      <c r="M956" s="6">
        <v>20</v>
      </c>
      <c r="N956" s="5">
        <v>507.78</v>
      </c>
      <c r="O956" s="5">
        <v>159.16999999999999</v>
      </c>
      <c r="P956" s="3" t="s">
        <v>25</v>
      </c>
      <c r="Q956" s="3" t="s">
        <v>26</v>
      </c>
      <c r="R956" s="30">
        <f t="shared" si="14"/>
        <v>9.6353855349671252E-2</v>
      </c>
    </row>
    <row r="957" spans="1:18" x14ac:dyDescent="0.35">
      <c r="A957" s="7" t="s">
        <v>1609</v>
      </c>
      <c r="B957" s="8">
        <v>45984</v>
      </c>
      <c r="C957" s="7" t="s">
        <v>1610</v>
      </c>
      <c r="D957" s="7" t="s">
        <v>29</v>
      </c>
      <c r="E957" s="7" t="s">
        <v>60</v>
      </c>
      <c r="F957" s="7" t="s">
        <v>72</v>
      </c>
      <c r="G957" s="7" t="s">
        <v>134</v>
      </c>
      <c r="H957" s="7" t="s">
        <v>244</v>
      </c>
      <c r="I957" s="7" t="s">
        <v>334</v>
      </c>
      <c r="J957" s="7">
        <v>2</v>
      </c>
      <c r="K957" s="9">
        <v>620.82000000000005</v>
      </c>
      <c r="L957" s="9">
        <v>931.23</v>
      </c>
      <c r="M957" s="10">
        <v>25</v>
      </c>
      <c r="N957" s="9">
        <v>-5.81</v>
      </c>
      <c r="O957" s="9">
        <v>103.16</v>
      </c>
      <c r="P957" s="7" t="s">
        <v>45</v>
      </c>
      <c r="Q957" s="7" t="s">
        <v>36</v>
      </c>
      <c r="R957" s="30">
        <f t="shared" si="14"/>
        <v>-6.2390601677351455E-3</v>
      </c>
    </row>
    <row r="958" spans="1:18" x14ac:dyDescent="0.35">
      <c r="A958" s="3" t="s">
        <v>1611</v>
      </c>
      <c r="B958" s="4">
        <v>45984</v>
      </c>
      <c r="C958" s="3" t="s">
        <v>1610</v>
      </c>
      <c r="D958" s="3" t="s">
        <v>39</v>
      </c>
      <c r="E958" s="3" t="s">
        <v>30</v>
      </c>
      <c r="F958" s="3" t="s">
        <v>31</v>
      </c>
      <c r="G958" s="3" t="s">
        <v>42</v>
      </c>
      <c r="H958" s="3" t="s">
        <v>81</v>
      </c>
      <c r="I958" s="3" t="s">
        <v>621</v>
      </c>
      <c r="J958" s="3">
        <v>1</v>
      </c>
      <c r="K958" s="5">
        <v>864.15</v>
      </c>
      <c r="L958" s="5">
        <v>604.9</v>
      </c>
      <c r="M958" s="6">
        <v>30</v>
      </c>
      <c r="N958" s="5">
        <v>23.66</v>
      </c>
      <c r="O958" s="5">
        <v>80.75</v>
      </c>
      <c r="P958" s="3" t="s">
        <v>64</v>
      </c>
      <c r="Q958" s="3" t="s">
        <v>65</v>
      </c>
      <c r="R958" s="30">
        <f t="shared" si="14"/>
        <v>3.9113903124483387E-2</v>
      </c>
    </row>
    <row r="959" spans="1:18" x14ac:dyDescent="0.35">
      <c r="A959" s="7" t="s">
        <v>1612</v>
      </c>
      <c r="B959" s="8">
        <v>45985</v>
      </c>
      <c r="C959" s="7" t="s">
        <v>1613</v>
      </c>
      <c r="D959" s="7" t="s">
        <v>19</v>
      </c>
      <c r="E959" s="7" t="s">
        <v>30</v>
      </c>
      <c r="F959" s="7" t="s">
        <v>31</v>
      </c>
      <c r="G959" s="7" t="s">
        <v>42</v>
      </c>
      <c r="H959" s="7" t="s">
        <v>43</v>
      </c>
      <c r="I959" s="7" t="s">
        <v>1220</v>
      </c>
      <c r="J959" s="7">
        <v>1</v>
      </c>
      <c r="K959" s="9">
        <v>1092.6300000000001</v>
      </c>
      <c r="L959" s="9">
        <v>928.74</v>
      </c>
      <c r="M959" s="10">
        <v>15</v>
      </c>
      <c r="N959" s="9">
        <v>86.06</v>
      </c>
      <c r="O959" s="9">
        <v>268.45999999999998</v>
      </c>
      <c r="P959" s="7" t="s">
        <v>25</v>
      </c>
      <c r="Q959" s="7" t="s">
        <v>65</v>
      </c>
      <c r="R959" s="30">
        <f t="shared" si="14"/>
        <v>9.2663178069212052E-2</v>
      </c>
    </row>
    <row r="960" spans="1:18" x14ac:dyDescent="0.35">
      <c r="A960" s="3" t="s">
        <v>1614</v>
      </c>
      <c r="B960" s="4">
        <v>45985</v>
      </c>
      <c r="C960" s="3" t="s">
        <v>1290</v>
      </c>
      <c r="D960" s="3" t="s">
        <v>29</v>
      </c>
      <c r="E960" s="3" t="s">
        <v>40</v>
      </c>
      <c r="F960" s="3" t="s">
        <v>41</v>
      </c>
      <c r="G960" s="3" t="s">
        <v>134</v>
      </c>
      <c r="H960" s="3" t="s">
        <v>244</v>
      </c>
      <c r="I960" s="3" t="s">
        <v>270</v>
      </c>
      <c r="J960" s="3">
        <v>1</v>
      </c>
      <c r="K960" s="5">
        <v>3911.26</v>
      </c>
      <c r="L960" s="5">
        <v>3911.26</v>
      </c>
      <c r="M960" s="6">
        <v>0</v>
      </c>
      <c r="N960" s="5">
        <v>1055.9100000000001</v>
      </c>
      <c r="O960" s="5">
        <v>234.15</v>
      </c>
      <c r="P960" s="3" t="s">
        <v>64</v>
      </c>
      <c r="Q960" s="3" t="s">
        <v>65</v>
      </c>
      <c r="R960" s="30">
        <f t="shared" si="14"/>
        <v>0.26996671149450563</v>
      </c>
    </row>
    <row r="961" spans="1:18" x14ac:dyDescent="0.35">
      <c r="A961" s="7" t="s">
        <v>1615</v>
      </c>
      <c r="B961" s="8">
        <v>45986</v>
      </c>
      <c r="C961" s="7" t="s">
        <v>1206</v>
      </c>
      <c r="D961" s="7" t="s">
        <v>19</v>
      </c>
      <c r="E961" s="7" t="s">
        <v>30</v>
      </c>
      <c r="F961" s="7" t="s">
        <v>48</v>
      </c>
      <c r="G961" s="7" t="s">
        <v>42</v>
      </c>
      <c r="H961" s="7" t="s">
        <v>43</v>
      </c>
      <c r="I961" s="7" t="s">
        <v>44</v>
      </c>
      <c r="J961" s="7">
        <v>1</v>
      </c>
      <c r="K961" s="9">
        <v>195.84</v>
      </c>
      <c r="L961" s="9">
        <v>186.05</v>
      </c>
      <c r="M961" s="10">
        <v>5</v>
      </c>
      <c r="N961" s="9">
        <v>17.399999999999999</v>
      </c>
      <c r="O961" s="9">
        <v>81.739999999999995</v>
      </c>
      <c r="P961" s="7" t="s">
        <v>64</v>
      </c>
      <c r="Q961" s="7" t="s">
        <v>26</v>
      </c>
      <c r="R961" s="30">
        <f t="shared" si="14"/>
        <v>9.3523246439129251E-2</v>
      </c>
    </row>
    <row r="962" spans="1:18" x14ac:dyDescent="0.35">
      <c r="A962" s="3" t="s">
        <v>1616</v>
      </c>
      <c r="B962" s="4">
        <v>45987</v>
      </c>
      <c r="C962" s="3" t="s">
        <v>487</v>
      </c>
      <c r="D962" s="3" t="s">
        <v>39</v>
      </c>
      <c r="E962" s="3" t="s">
        <v>30</v>
      </c>
      <c r="F962" s="3" t="s">
        <v>48</v>
      </c>
      <c r="G962" s="3" t="s">
        <v>134</v>
      </c>
      <c r="H962" s="3" t="s">
        <v>244</v>
      </c>
      <c r="I962" s="3" t="s">
        <v>270</v>
      </c>
      <c r="J962" s="3">
        <v>4</v>
      </c>
      <c r="K962" s="5">
        <v>2028.98</v>
      </c>
      <c r="L962" s="5">
        <v>6898.53</v>
      </c>
      <c r="M962" s="6">
        <v>15</v>
      </c>
      <c r="N962" s="5">
        <v>572.62</v>
      </c>
      <c r="O962" s="5">
        <v>354.78</v>
      </c>
      <c r="P962" s="3" t="s">
        <v>64</v>
      </c>
      <c r="Q962" s="3" t="s">
        <v>65</v>
      </c>
      <c r="R962" s="30">
        <f t="shared" si="14"/>
        <v>8.3006089703168653E-2</v>
      </c>
    </row>
    <row r="963" spans="1:18" x14ac:dyDescent="0.35">
      <c r="A963" s="7" t="s">
        <v>1617</v>
      </c>
      <c r="B963" s="8">
        <v>45987</v>
      </c>
      <c r="C963" s="7" t="s">
        <v>809</v>
      </c>
      <c r="D963" s="7" t="s">
        <v>19</v>
      </c>
      <c r="E963" s="7" t="s">
        <v>30</v>
      </c>
      <c r="F963" s="7" t="s">
        <v>31</v>
      </c>
      <c r="G963" s="7" t="s">
        <v>134</v>
      </c>
      <c r="H963" s="7" t="s">
        <v>139</v>
      </c>
      <c r="I963" s="7" t="s">
        <v>140</v>
      </c>
      <c r="J963" s="7">
        <v>2</v>
      </c>
      <c r="K963" s="9">
        <v>495.3</v>
      </c>
      <c r="L963" s="9">
        <v>891.54</v>
      </c>
      <c r="M963" s="10">
        <v>10</v>
      </c>
      <c r="N963" s="9">
        <v>189.59</v>
      </c>
      <c r="O963" s="9">
        <v>155.69</v>
      </c>
      <c r="P963" s="7" t="s">
        <v>35</v>
      </c>
      <c r="Q963" s="7" t="s">
        <v>65</v>
      </c>
      <c r="R963" s="30">
        <f t="shared" ref="R963:R1001" si="15">N963/L963</f>
        <v>0.21265450793009849</v>
      </c>
    </row>
    <row r="964" spans="1:18" x14ac:dyDescent="0.35">
      <c r="A964" s="3" t="s">
        <v>1618</v>
      </c>
      <c r="B964" s="4">
        <v>45988</v>
      </c>
      <c r="C964" s="3" t="s">
        <v>89</v>
      </c>
      <c r="D964" s="3" t="s">
        <v>39</v>
      </c>
      <c r="E964" s="3" t="s">
        <v>40</v>
      </c>
      <c r="F964" s="3" t="s">
        <v>90</v>
      </c>
      <c r="G964" s="3" t="s">
        <v>32</v>
      </c>
      <c r="H964" s="3" t="s">
        <v>143</v>
      </c>
      <c r="I964" s="3" t="s">
        <v>144</v>
      </c>
      <c r="J964" s="3">
        <v>2</v>
      </c>
      <c r="K964" s="5">
        <v>4365.8</v>
      </c>
      <c r="L964" s="5">
        <v>6112.12</v>
      </c>
      <c r="M964" s="6">
        <v>30</v>
      </c>
      <c r="N964" s="5">
        <v>213.65</v>
      </c>
      <c r="O964" s="5">
        <v>155.82</v>
      </c>
      <c r="P964" s="3" t="s">
        <v>64</v>
      </c>
      <c r="Q964" s="3" t="s">
        <v>57</v>
      </c>
      <c r="R964" s="30">
        <f t="shared" si="15"/>
        <v>3.495513831534721E-2</v>
      </c>
    </row>
    <row r="965" spans="1:18" x14ac:dyDescent="0.35">
      <c r="A965" s="7" t="s">
        <v>1619</v>
      </c>
      <c r="B965" s="8">
        <v>45989</v>
      </c>
      <c r="C965" s="7" t="s">
        <v>1506</v>
      </c>
      <c r="D965" s="7" t="s">
        <v>19</v>
      </c>
      <c r="E965" s="7" t="s">
        <v>20</v>
      </c>
      <c r="F965" s="7" t="s">
        <v>129</v>
      </c>
      <c r="G965" s="7" t="s">
        <v>117</v>
      </c>
      <c r="H965" s="7" t="s">
        <v>153</v>
      </c>
      <c r="I965" s="7" t="s">
        <v>356</v>
      </c>
      <c r="J965" s="7">
        <v>2</v>
      </c>
      <c r="K965" s="9">
        <v>1491.41</v>
      </c>
      <c r="L965" s="9">
        <v>2535.4</v>
      </c>
      <c r="M965" s="10">
        <v>15</v>
      </c>
      <c r="N965" s="9">
        <v>618.04</v>
      </c>
      <c r="O965" s="9">
        <v>224.41</v>
      </c>
      <c r="P965" s="7" t="s">
        <v>64</v>
      </c>
      <c r="Q965" s="7" t="s">
        <v>65</v>
      </c>
      <c r="R965" s="30">
        <f t="shared" si="15"/>
        <v>0.24376429754673817</v>
      </c>
    </row>
    <row r="966" spans="1:18" x14ac:dyDescent="0.35">
      <c r="A966" s="3" t="s">
        <v>1620</v>
      </c>
      <c r="B966" s="4">
        <v>45990</v>
      </c>
      <c r="C966" s="3" t="s">
        <v>852</v>
      </c>
      <c r="D966" s="3" t="s">
        <v>39</v>
      </c>
      <c r="E966" s="3" t="s">
        <v>40</v>
      </c>
      <c r="F966" s="3" t="s">
        <v>41</v>
      </c>
      <c r="G966" s="3" t="s">
        <v>117</v>
      </c>
      <c r="H966" s="3" t="s">
        <v>118</v>
      </c>
      <c r="I966" s="3" t="s">
        <v>279</v>
      </c>
      <c r="J966" s="3">
        <v>3</v>
      </c>
      <c r="K966" s="5">
        <v>1055.8800000000001</v>
      </c>
      <c r="L966" s="5">
        <v>3009.26</v>
      </c>
      <c r="M966" s="6">
        <v>5</v>
      </c>
      <c r="N966" s="5">
        <v>914.5</v>
      </c>
      <c r="O966" s="5">
        <v>227</v>
      </c>
      <c r="P966" s="3" t="s">
        <v>64</v>
      </c>
      <c r="Q966" s="3" t="s">
        <v>36</v>
      </c>
      <c r="R966" s="30">
        <f t="shared" si="15"/>
        <v>0.30389530981038526</v>
      </c>
    </row>
    <row r="967" spans="1:18" x14ac:dyDescent="0.35">
      <c r="A967" s="7" t="s">
        <v>1621</v>
      </c>
      <c r="B967" s="8">
        <v>45990</v>
      </c>
      <c r="C967" s="7" t="s">
        <v>616</v>
      </c>
      <c r="D967" s="7" t="s">
        <v>29</v>
      </c>
      <c r="E967" s="7" t="s">
        <v>40</v>
      </c>
      <c r="F967" s="7" t="s">
        <v>77</v>
      </c>
      <c r="G967" s="7" t="s">
        <v>42</v>
      </c>
      <c r="H967" s="7" t="s">
        <v>172</v>
      </c>
      <c r="I967" s="7" t="s">
        <v>1014</v>
      </c>
      <c r="J967" s="7">
        <v>3</v>
      </c>
      <c r="K967" s="9">
        <v>790.04</v>
      </c>
      <c r="L967" s="9">
        <v>1896.1</v>
      </c>
      <c r="M967" s="10">
        <v>20</v>
      </c>
      <c r="N967" s="9">
        <v>54.37</v>
      </c>
      <c r="O967" s="9">
        <v>220.86</v>
      </c>
      <c r="P967" s="7" t="s">
        <v>83</v>
      </c>
      <c r="Q967" s="7" t="s">
        <v>26</v>
      </c>
      <c r="R967" s="30">
        <f t="shared" si="15"/>
        <v>2.86746479616054E-2</v>
      </c>
    </row>
    <row r="968" spans="1:18" x14ac:dyDescent="0.35">
      <c r="A968" s="3" t="s">
        <v>1622</v>
      </c>
      <c r="B968" s="4">
        <v>45991</v>
      </c>
      <c r="C968" s="3" t="s">
        <v>163</v>
      </c>
      <c r="D968" s="3" t="s">
        <v>19</v>
      </c>
      <c r="E968" s="3" t="s">
        <v>30</v>
      </c>
      <c r="F968" s="3" t="s">
        <v>31</v>
      </c>
      <c r="G968" s="3" t="s">
        <v>134</v>
      </c>
      <c r="H968" s="3" t="s">
        <v>91</v>
      </c>
      <c r="I968" s="3" t="s">
        <v>168</v>
      </c>
      <c r="J968" s="3">
        <v>3</v>
      </c>
      <c r="K968" s="5">
        <v>1970.27</v>
      </c>
      <c r="L968" s="5">
        <v>5910.81</v>
      </c>
      <c r="M968" s="6">
        <v>0</v>
      </c>
      <c r="N968" s="5">
        <v>1060.3699999999999</v>
      </c>
      <c r="O968" s="5">
        <v>371.62</v>
      </c>
      <c r="P968" s="3" t="s">
        <v>35</v>
      </c>
      <c r="Q968" s="3" t="s">
        <v>57</v>
      </c>
      <c r="R968" s="30">
        <f t="shared" si="15"/>
        <v>0.17939504061203115</v>
      </c>
    </row>
    <row r="969" spans="1:18" x14ac:dyDescent="0.35">
      <c r="A969" s="7" t="s">
        <v>1623</v>
      </c>
      <c r="B969" s="8">
        <v>45991</v>
      </c>
      <c r="C969" s="7" t="s">
        <v>1624</v>
      </c>
      <c r="D969" s="7" t="s">
        <v>39</v>
      </c>
      <c r="E969" s="7" t="s">
        <v>30</v>
      </c>
      <c r="F969" s="7" t="s">
        <v>226</v>
      </c>
      <c r="G969" s="7" t="s">
        <v>32</v>
      </c>
      <c r="H969" s="7" t="s">
        <v>86</v>
      </c>
      <c r="I969" s="7" t="s">
        <v>227</v>
      </c>
      <c r="J969" s="7">
        <v>1</v>
      </c>
      <c r="K969" s="9">
        <v>4649.8</v>
      </c>
      <c r="L969" s="9">
        <v>4417.3100000000004</v>
      </c>
      <c r="M969" s="10">
        <v>5</v>
      </c>
      <c r="N969" s="9">
        <v>795.88</v>
      </c>
      <c r="O969" s="9">
        <v>175.94</v>
      </c>
      <c r="P969" s="7" t="s">
        <v>35</v>
      </c>
      <c r="Q969" s="7" t="s">
        <v>26</v>
      </c>
      <c r="R969" s="30">
        <f t="shared" si="15"/>
        <v>0.18017300121567195</v>
      </c>
    </row>
    <row r="970" spans="1:18" x14ac:dyDescent="0.35">
      <c r="A970" s="3" t="s">
        <v>1625</v>
      </c>
      <c r="B970" s="4">
        <v>45991</v>
      </c>
      <c r="C970" s="3" t="s">
        <v>1626</v>
      </c>
      <c r="D970" s="3" t="s">
        <v>29</v>
      </c>
      <c r="E970" s="3" t="s">
        <v>60</v>
      </c>
      <c r="F970" s="3" t="s">
        <v>104</v>
      </c>
      <c r="G970" s="3" t="s">
        <v>22</v>
      </c>
      <c r="H970" s="3" t="s">
        <v>624</v>
      </c>
      <c r="I970" s="3" t="s">
        <v>932</v>
      </c>
      <c r="J970" s="3">
        <v>4</v>
      </c>
      <c r="K970" s="5">
        <v>64368.94</v>
      </c>
      <c r="L970" s="5">
        <v>193106.82</v>
      </c>
      <c r="M970" s="6">
        <v>25</v>
      </c>
      <c r="N970" s="5">
        <v>-20163.439999999999</v>
      </c>
      <c r="O970" s="5">
        <v>100.26</v>
      </c>
      <c r="P970" s="3" t="s">
        <v>25</v>
      </c>
      <c r="Q970" s="3" t="s">
        <v>65</v>
      </c>
      <c r="R970" s="30">
        <f t="shared" si="15"/>
        <v>-0.10441599110792668</v>
      </c>
    </row>
    <row r="971" spans="1:18" x14ac:dyDescent="0.35">
      <c r="A971" s="7" t="s">
        <v>1627</v>
      </c>
      <c r="B971" s="8">
        <v>45991</v>
      </c>
      <c r="C971" s="7" t="s">
        <v>1162</v>
      </c>
      <c r="D971" s="7" t="s">
        <v>29</v>
      </c>
      <c r="E971" s="7" t="s">
        <v>40</v>
      </c>
      <c r="F971" s="7" t="s">
        <v>41</v>
      </c>
      <c r="G971" s="7" t="s">
        <v>49</v>
      </c>
      <c r="H971" s="7" t="s">
        <v>98</v>
      </c>
      <c r="I971" s="7" t="s">
        <v>258</v>
      </c>
      <c r="J971" s="7">
        <v>5</v>
      </c>
      <c r="K971" s="9">
        <v>11067.79</v>
      </c>
      <c r="L971" s="9">
        <v>52572</v>
      </c>
      <c r="M971" s="10">
        <v>5</v>
      </c>
      <c r="N971" s="9">
        <v>12399.84</v>
      </c>
      <c r="O971" s="9">
        <v>116.12</v>
      </c>
      <c r="P971" s="7" t="s">
        <v>64</v>
      </c>
      <c r="Q971" s="7" t="s">
        <v>26</v>
      </c>
      <c r="R971" s="30">
        <f t="shared" si="15"/>
        <v>0.23586395800045651</v>
      </c>
    </row>
    <row r="972" spans="1:18" x14ac:dyDescent="0.35">
      <c r="A972" s="3" t="s">
        <v>1628</v>
      </c>
      <c r="B972" s="4">
        <v>45991</v>
      </c>
      <c r="C972" s="3" t="s">
        <v>1629</v>
      </c>
      <c r="D972" s="3" t="s">
        <v>39</v>
      </c>
      <c r="E972" s="3" t="s">
        <v>60</v>
      </c>
      <c r="F972" s="3" t="s">
        <v>68</v>
      </c>
      <c r="G972" s="3" t="s">
        <v>32</v>
      </c>
      <c r="H972" s="3" t="s">
        <v>86</v>
      </c>
      <c r="I972" s="3" t="s">
        <v>87</v>
      </c>
      <c r="J972" s="3">
        <v>2</v>
      </c>
      <c r="K972" s="5">
        <v>7556.55</v>
      </c>
      <c r="L972" s="5">
        <v>14357.44</v>
      </c>
      <c r="M972" s="6">
        <v>5</v>
      </c>
      <c r="N972" s="5">
        <v>1892.52</v>
      </c>
      <c r="O972" s="5">
        <v>324.39</v>
      </c>
      <c r="P972" s="3" t="s">
        <v>35</v>
      </c>
      <c r="Q972" s="3" t="s">
        <v>65</v>
      </c>
      <c r="R972" s="30">
        <f t="shared" si="15"/>
        <v>0.13181458532997525</v>
      </c>
    </row>
    <row r="973" spans="1:18" x14ac:dyDescent="0.35">
      <c r="A973" s="7" t="s">
        <v>1630</v>
      </c>
      <c r="B973" s="8">
        <v>45993</v>
      </c>
      <c r="C973" s="7" t="s">
        <v>1631</v>
      </c>
      <c r="D973" s="7" t="s">
        <v>39</v>
      </c>
      <c r="E973" s="7" t="s">
        <v>30</v>
      </c>
      <c r="F973" s="7" t="s">
        <v>48</v>
      </c>
      <c r="G973" s="7" t="s">
        <v>49</v>
      </c>
      <c r="H973" s="7" t="s">
        <v>50</v>
      </c>
      <c r="I973" s="7" t="s">
        <v>485</v>
      </c>
      <c r="J973" s="7">
        <v>4</v>
      </c>
      <c r="K973" s="9">
        <v>7952.14</v>
      </c>
      <c r="L973" s="9">
        <v>22265.99</v>
      </c>
      <c r="M973" s="10">
        <v>30</v>
      </c>
      <c r="N973" s="9">
        <v>57.88</v>
      </c>
      <c r="O973" s="9">
        <v>268.01</v>
      </c>
      <c r="P973" s="7" t="s">
        <v>35</v>
      </c>
      <c r="Q973" s="7" t="s">
        <v>26</v>
      </c>
      <c r="R973" s="30">
        <f t="shared" si="15"/>
        <v>2.5994801937843318E-3</v>
      </c>
    </row>
    <row r="974" spans="1:18" x14ac:dyDescent="0.35">
      <c r="A974" s="3" t="s">
        <v>1632</v>
      </c>
      <c r="B974" s="4">
        <v>45993</v>
      </c>
      <c r="C974" s="3" t="s">
        <v>1079</v>
      </c>
      <c r="D974" s="3" t="s">
        <v>39</v>
      </c>
      <c r="E974" s="3" t="s">
        <v>60</v>
      </c>
      <c r="F974" s="3" t="s">
        <v>68</v>
      </c>
      <c r="G974" s="3" t="s">
        <v>134</v>
      </c>
      <c r="H974" s="3" t="s">
        <v>91</v>
      </c>
      <c r="I974" s="3" t="s">
        <v>188</v>
      </c>
      <c r="J974" s="3">
        <v>2</v>
      </c>
      <c r="K974" s="5">
        <v>2178.25</v>
      </c>
      <c r="L974" s="5">
        <v>3267.38</v>
      </c>
      <c r="M974" s="6">
        <v>25</v>
      </c>
      <c r="N974" s="5">
        <v>36.840000000000003</v>
      </c>
      <c r="O974" s="5">
        <v>237.19</v>
      </c>
      <c r="P974" s="3" t="s">
        <v>45</v>
      </c>
      <c r="Q974" s="3" t="s">
        <v>65</v>
      </c>
      <c r="R974" s="30">
        <f t="shared" si="15"/>
        <v>1.1275088909156572E-2</v>
      </c>
    </row>
    <row r="975" spans="1:18" x14ac:dyDescent="0.35">
      <c r="A975" s="7" t="s">
        <v>1633</v>
      </c>
      <c r="B975" s="8">
        <v>45994</v>
      </c>
      <c r="C975" s="7" t="s">
        <v>444</v>
      </c>
      <c r="D975" s="7" t="s">
        <v>19</v>
      </c>
      <c r="E975" s="7" t="s">
        <v>40</v>
      </c>
      <c r="F975" s="7" t="s">
        <v>41</v>
      </c>
      <c r="G975" s="7" t="s">
        <v>32</v>
      </c>
      <c r="H975" s="7" t="s">
        <v>143</v>
      </c>
      <c r="I975" s="7" t="s">
        <v>385</v>
      </c>
      <c r="J975" s="7">
        <v>4</v>
      </c>
      <c r="K975" s="9">
        <v>4746.7700000000004</v>
      </c>
      <c r="L975" s="9">
        <v>17088.37</v>
      </c>
      <c r="M975" s="10">
        <v>10</v>
      </c>
      <c r="N975" s="9">
        <v>3161.62</v>
      </c>
      <c r="O975" s="9">
        <v>250.96</v>
      </c>
      <c r="P975" s="7" t="s">
        <v>35</v>
      </c>
      <c r="Q975" s="7" t="s">
        <v>26</v>
      </c>
      <c r="R975" s="30">
        <f t="shared" si="15"/>
        <v>0.1850158909246464</v>
      </c>
    </row>
    <row r="976" spans="1:18" x14ac:dyDescent="0.35">
      <c r="A976" s="3" t="s">
        <v>1634</v>
      </c>
      <c r="B976" s="4">
        <v>45995</v>
      </c>
      <c r="C976" s="3" t="s">
        <v>1635</v>
      </c>
      <c r="D976" s="3" t="s">
        <v>19</v>
      </c>
      <c r="E976" s="3" t="s">
        <v>40</v>
      </c>
      <c r="F976" s="3" t="s">
        <v>41</v>
      </c>
      <c r="G976" s="3" t="s">
        <v>32</v>
      </c>
      <c r="H976" s="3" t="s">
        <v>143</v>
      </c>
      <c r="I976" s="3" t="s">
        <v>385</v>
      </c>
      <c r="J976" s="3">
        <v>4</v>
      </c>
      <c r="K976" s="5">
        <v>6435.44</v>
      </c>
      <c r="L976" s="5">
        <v>21880.5</v>
      </c>
      <c r="M976" s="6">
        <v>15</v>
      </c>
      <c r="N976" s="5">
        <v>979.68</v>
      </c>
      <c r="O976" s="5">
        <v>310.36</v>
      </c>
      <c r="P976" s="3" t="s">
        <v>64</v>
      </c>
      <c r="Q976" s="3" t="s">
        <v>65</v>
      </c>
      <c r="R976" s="30">
        <f t="shared" si="15"/>
        <v>4.4774113937067248E-2</v>
      </c>
    </row>
    <row r="977" spans="1:18" x14ac:dyDescent="0.35">
      <c r="A977" s="7" t="s">
        <v>1636</v>
      </c>
      <c r="B977" s="8">
        <v>45995</v>
      </c>
      <c r="C977" s="7" t="s">
        <v>606</v>
      </c>
      <c r="D977" s="7" t="s">
        <v>19</v>
      </c>
      <c r="E977" s="7" t="s">
        <v>60</v>
      </c>
      <c r="F977" s="7" t="s">
        <v>104</v>
      </c>
      <c r="G977" s="7" t="s">
        <v>42</v>
      </c>
      <c r="H977" s="7" t="s">
        <v>81</v>
      </c>
      <c r="I977" s="7" t="s">
        <v>248</v>
      </c>
      <c r="J977" s="7">
        <v>1</v>
      </c>
      <c r="K977" s="9">
        <v>625.9</v>
      </c>
      <c r="L977" s="9">
        <v>625.9</v>
      </c>
      <c r="M977" s="10">
        <v>0</v>
      </c>
      <c r="N977" s="9">
        <v>147.94999999999999</v>
      </c>
      <c r="O977" s="9">
        <v>116.71</v>
      </c>
      <c r="P977" s="7" t="s">
        <v>35</v>
      </c>
      <c r="Q977" s="7" t="s">
        <v>65</v>
      </c>
      <c r="R977" s="30">
        <f t="shared" si="15"/>
        <v>0.23637961335676624</v>
      </c>
    </row>
    <row r="978" spans="1:18" x14ac:dyDescent="0.35">
      <c r="A978" s="3" t="s">
        <v>1637</v>
      </c>
      <c r="B978" s="4">
        <v>45995</v>
      </c>
      <c r="C978" s="3" t="s">
        <v>889</v>
      </c>
      <c r="D978" s="3" t="s">
        <v>39</v>
      </c>
      <c r="E978" s="3" t="s">
        <v>40</v>
      </c>
      <c r="F978" s="3" t="s">
        <v>109</v>
      </c>
      <c r="G978" s="3" t="s">
        <v>42</v>
      </c>
      <c r="H978" s="3" t="s">
        <v>81</v>
      </c>
      <c r="I978" s="3" t="s">
        <v>621</v>
      </c>
      <c r="J978" s="3">
        <v>1</v>
      </c>
      <c r="K978" s="5">
        <v>165.27</v>
      </c>
      <c r="L978" s="5">
        <v>123.95</v>
      </c>
      <c r="M978" s="6">
        <v>25</v>
      </c>
      <c r="N978" s="5">
        <v>5.44</v>
      </c>
      <c r="O978" s="5">
        <v>142.19</v>
      </c>
      <c r="P978" s="3" t="s">
        <v>35</v>
      </c>
      <c r="Q978" s="3" t="s">
        <v>36</v>
      </c>
      <c r="R978" s="30">
        <f t="shared" si="15"/>
        <v>4.3888664784187174E-2</v>
      </c>
    </row>
    <row r="979" spans="1:18" x14ac:dyDescent="0.35">
      <c r="A979" s="7" t="s">
        <v>1638</v>
      </c>
      <c r="B979" s="8">
        <v>46001</v>
      </c>
      <c r="C979" s="7" t="s">
        <v>798</v>
      </c>
      <c r="D979" s="7" t="s">
        <v>29</v>
      </c>
      <c r="E979" s="7" t="s">
        <v>20</v>
      </c>
      <c r="F979" s="7" t="s">
        <v>21</v>
      </c>
      <c r="G979" s="7" t="s">
        <v>49</v>
      </c>
      <c r="H979" s="7" t="s">
        <v>50</v>
      </c>
      <c r="I979" s="7" t="s">
        <v>51</v>
      </c>
      <c r="J979" s="7">
        <v>2</v>
      </c>
      <c r="K979" s="9">
        <v>5702.48</v>
      </c>
      <c r="L979" s="9">
        <v>11404.96</v>
      </c>
      <c r="M979" s="10">
        <v>0</v>
      </c>
      <c r="N979" s="9">
        <v>2958.9</v>
      </c>
      <c r="O979" s="9">
        <v>73.12</v>
      </c>
      <c r="P979" s="7" t="s">
        <v>64</v>
      </c>
      <c r="Q979" s="7" t="s">
        <v>26</v>
      </c>
      <c r="R979" s="30">
        <f t="shared" si="15"/>
        <v>0.25943975252872437</v>
      </c>
    </row>
    <row r="980" spans="1:18" x14ac:dyDescent="0.35">
      <c r="A980" s="3" t="s">
        <v>1639</v>
      </c>
      <c r="B980" s="4">
        <v>46001</v>
      </c>
      <c r="C980" s="3" t="s">
        <v>171</v>
      </c>
      <c r="D980" s="3" t="s">
        <v>39</v>
      </c>
      <c r="E980" s="3" t="s">
        <v>40</v>
      </c>
      <c r="F980" s="3" t="s">
        <v>41</v>
      </c>
      <c r="G980" s="3" t="s">
        <v>32</v>
      </c>
      <c r="H980" s="3" t="s">
        <v>86</v>
      </c>
      <c r="I980" s="3" t="s">
        <v>211</v>
      </c>
      <c r="J980" s="3">
        <v>4</v>
      </c>
      <c r="K980" s="5">
        <v>6409.71</v>
      </c>
      <c r="L980" s="5">
        <v>21793.01</v>
      </c>
      <c r="M980" s="6">
        <v>15</v>
      </c>
      <c r="N980" s="5">
        <v>2313.5100000000002</v>
      </c>
      <c r="O980" s="5">
        <v>157.97</v>
      </c>
      <c r="P980" s="3" t="s">
        <v>83</v>
      </c>
      <c r="Q980" s="3" t="s">
        <v>36</v>
      </c>
      <c r="R980" s="30">
        <f t="shared" si="15"/>
        <v>0.10615835077394084</v>
      </c>
    </row>
    <row r="981" spans="1:18" x14ac:dyDescent="0.35">
      <c r="A981" s="7" t="s">
        <v>1640</v>
      </c>
      <c r="B981" s="8">
        <v>46002</v>
      </c>
      <c r="C981" s="7" t="s">
        <v>1597</v>
      </c>
      <c r="D981" s="7" t="s">
        <v>39</v>
      </c>
      <c r="E981" s="7" t="s">
        <v>40</v>
      </c>
      <c r="F981" s="7" t="s">
        <v>90</v>
      </c>
      <c r="G981" s="7" t="s">
        <v>42</v>
      </c>
      <c r="H981" s="7" t="s">
        <v>172</v>
      </c>
      <c r="I981" s="7" t="s">
        <v>1014</v>
      </c>
      <c r="J981" s="7">
        <v>3</v>
      </c>
      <c r="K981" s="9">
        <v>1199.32</v>
      </c>
      <c r="L981" s="9">
        <v>3597.96</v>
      </c>
      <c r="M981" s="10">
        <v>0</v>
      </c>
      <c r="N981" s="9">
        <v>314.64</v>
      </c>
      <c r="O981" s="9">
        <v>160.11000000000001</v>
      </c>
      <c r="P981" s="7" t="s">
        <v>35</v>
      </c>
      <c r="Q981" s="7" t="s">
        <v>57</v>
      </c>
      <c r="R981" s="30">
        <f t="shared" si="15"/>
        <v>8.7449554747690353E-2</v>
      </c>
    </row>
    <row r="982" spans="1:18" x14ac:dyDescent="0.35">
      <c r="A982" s="3" t="s">
        <v>1641</v>
      </c>
      <c r="B982" s="4">
        <v>46005</v>
      </c>
      <c r="C982" s="3" t="s">
        <v>826</v>
      </c>
      <c r="D982" s="3" t="s">
        <v>39</v>
      </c>
      <c r="E982" s="3" t="s">
        <v>60</v>
      </c>
      <c r="F982" s="3" t="s">
        <v>61</v>
      </c>
      <c r="G982" s="3" t="s">
        <v>134</v>
      </c>
      <c r="H982" s="3" t="s">
        <v>244</v>
      </c>
      <c r="I982" s="3" t="s">
        <v>334</v>
      </c>
      <c r="J982" s="3">
        <v>2</v>
      </c>
      <c r="K982" s="5">
        <v>4141.87</v>
      </c>
      <c r="L982" s="5">
        <v>7869.55</v>
      </c>
      <c r="M982" s="6">
        <v>5</v>
      </c>
      <c r="N982" s="5">
        <v>1484.48</v>
      </c>
      <c r="O982" s="5">
        <v>357.67</v>
      </c>
      <c r="P982" s="3" t="s">
        <v>35</v>
      </c>
      <c r="Q982" s="3" t="s">
        <v>26</v>
      </c>
      <c r="R982" s="30">
        <f t="shared" si="15"/>
        <v>0.1886359448761365</v>
      </c>
    </row>
    <row r="983" spans="1:18" x14ac:dyDescent="0.35">
      <c r="A983" s="7" t="s">
        <v>1642</v>
      </c>
      <c r="B983" s="8">
        <v>46007</v>
      </c>
      <c r="C983" s="7" t="s">
        <v>809</v>
      </c>
      <c r="D983" s="7" t="s">
        <v>29</v>
      </c>
      <c r="E983" s="7" t="s">
        <v>20</v>
      </c>
      <c r="F983" s="7" t="s">
        <v>129</v>
      </c>
      <c r="G983" s="7" t="s">
        <v>42</v>
      </c>
      <c r="H983" s="7" t="s">
        <v>164</v>
      </c>
      <c r="I983" s="7" t="s">
        <v>165</v>
      </c>
      <c r="J983" s="7">
        <v>2</v>
      </c>
      <c r="K983" s="9">
        <v>340.81</v>
      </c>
      <c r="L983" s="9">
        <v>647.54</v>
      </c>
      <c r="M983" s="10">
        <v>5</v>
      </c>
      <c r="N983" s="9">
        <v>55.91</v>
      </c>
      <c r="O983" s="9">
        <v>282.79000000000002</v>
      </c>
      <c r="P983" s="7" t="s">
        <v>64</v>
      </c>
      <c r="Q983" s="7" t="s">
        <v>26</v>
      </c>
      <c r="R983" s="30">
        <f t="shared" si="15"/>
        <v>8.634215646909843E-2</v>
      </c>
    </row>
    <row r="984" spans="1:18" x14ac:dyDescent="0.35">
      <c r="A984" s="3" t="s">
        <v>1643</v>
      </c>
      <c r="B984" s="4">
        <v>46008</v>
      </c>
      <c r="C984" s="3" t="s">
        <v>826</v>
      </c>
      <c r="D984" s="3" t="s">
        <v>39</v>
      </c>
      <c r="E984" s="3" t="s">
        <v>40</v>
      </c>
      <c r="F984" s="3" t="s">
        <v>90</v>
      </c>
      <c r="G984" s="3" t="s">
        <v>22</v>
      </c>
      <c r="H984" s="3" t="s">
        <v>55</v>
      </c>
      <c r="I984" s="3" t="s">
        <v>150</v>
      </c>
      <c r="J984" s="3">
        <v>2</v>
      </c>
      <c r="K984" s="5">
        <v>37436.76</v>
      </c>
      <c r="L984" s="5">
        <v>74873.52</v>
      </c>
      <c r="M984" s="6">
        <v>0</v>
      </c>
      <c r="N984" s="5">
        <v>9274.4</v>
      </c>
      <c r="O984" s="5">
        <v>139.83000000000001</v>
      </c>
      <c r="P984" s="3" t="s">
        <v>25</v>
      </c>
      <c r="Q984" s="3" t="s">
        <v>26</v>
      </c>
      <c r="R984" s="30">
        <f t="shared" si="15"/>
        <v>0.12386755691464751</v>
      </c>
    </row>
    <row r="985" spans="1:18" x14ac:dyDescent="0.35">
      <c r="A985" s="7" t="s">
        <v>1644</v>
      </c>
      <c r="B985" s="8">
        <v>46009</v>
      </c>
      <c r="C985" s="7" t="s">
        <v>76</v>
      </c>
      <c r="D985" s="7" t="s">
        <v>39</v>
      </c>
      <c r="E985" s="7" t="s">
        <v>60</v>
      </c>
      <c r="F985" s="7" t="s">
        <v>68</v>
      </c>
      <c r="G985" s="7" t="s">
        <v>49</v>
      </c>
      <c r="H985" s="7" t="s">
        <v>50</v>
      </c>
      <c r="I985" s="7" t="s">
        <v>95</v>
      </c>
      <c r="J985" s="7">
        <v>2</v>
      </c>
      <c r="K985" s="9">
        <v>9462.8799999999992</v>
      </c>
      <c r="L985" s="9">
        <v>18925.759999999998</v>
      </c>
      <c r="M985" s="10">
        <v>0</v>
      </c>
      <c r="N985" s="9">
        <v>2043.67</v>
      </c>
      <c r="O985" s="9">
        <v>316.13</v>
      </c>
      <c r="P985" s="7" t="s">
        <v>64</v>
      </c>
      <c r="Q985" s="7" t="s">
        <v>36</v>
      </c>
      <c r="R985" s="30">
        <f t="shared" si="15"/>
        <v>0.10798351030553067</v>
      </c>
    </row>
    <row r="986" spans="1:18" x14ac:dyDescent="0.35">
      <c r="A986" s="3" t="s">
        <v>1645</v>
      </c>
      <c r="B986" s="4">
        <v>46011</v>
      </c>
      <c r="C986" s="3" t="s">
        <v>597</v>
      </c>
      <c r="D986" s="3" t="s">
        <v>39</v>
      </c>
      <c r="E986" s="3" t="s">
        <v>60</v>
      </c>
      <c r="F986" s="3" t="s">
        <v>72</v>
      </c>
      <c r="G986" s="3" t="s">
        <v>42</v>
      </c>
      <c r="H986" s="3" t="s">
        <v>43</v>
      </c>
      <c r="I986" s="3" t="s">
        <v>1220</v>
      </c>
      <c r="J986" s="3">
        <v>3</v>
      </c>
      <c r="K986" s="5">
        <v>269.85000000000002</v>
      </c>
      <c r="L986" s="5">
        <v>769.07</v>
      </c>
      <c r="M986" s="6">
        <v>5</v>
      </c>
      <c r="N986" s="5">
        <v>104.14</v>
      </c>
      <c r="O986" s="5">
        <v>60.06</v>
      </c>
      <c r="P986" s="3" t="s">
        <v>45</v>
      </c>
      <c r="Q986" s="3" t="s">
        <v>65</v>
      </c>
      <c r="R986" s="30">
        <f t="shared" si="15"/>
        <v>0.13541030075285734</v>
      </c>
    </row>
    <row r="987" spans="1:18" x14ac:dyDescent="0.35">
      <c r="A987" s="7" t="s">
        <v>1646</v>
      </c>
      <c r="B987" s="8">
        <v>46012</v>
      </c>
      <c r="C987" s="7" t="s">
        <v>1647</v>
      </c>
      <c r="D987" s="7" t="s">
        <v>19</v>
      </c>
      <c r="E987" s="7" t="s">
        <v>60</v>
      </c>
      <c r="F987" s="7" t="s">
        <v>72</v>
      </c>
      <c r="G987" s="7" t="s">
        <v>49</v>
      </c>
      <c r="H987" s="7" t="s">
        <v>50</v>
      </c>
      <c r="I987" s="7" t="s">
        <v>193</v>
      </c>
      <c r="J987" s="7">
        <v>3</v>
      </c>
      <c r="K987" s="9">
        <v>7452</v>
      </c>
      <c r="L987" s="9">
        <v>21238.2</v>
      </c>
      <c r="M987" s="10">
        <v>5</v>
      </c>
      <c r="N987" s="9">
        <v>5417.26</v>
      </c>
      <c r="O987" s="9">
        <v>283.63</v>
      </c>
      <c r="P987" s="7" t="s">
        <v>35</v>
      </c>
      <c r="Q987" s="7" t="s">
        <v>26</v>
      </c>
      <c r="R987" s="30">
        <f t="shared" si="15"/>
        <v>0.25507152206872524</v>
      </c>
    </row>
    <row r="988" spans="1:18" x14ac:dyDescent="0.35">
      <c r="A988" s="3" t="s">
        <v>1648</v>
      </c>
      <c r="B988" s="4">
        <v>46012</v>
      </c>
      <c r="C988" s="3" t="s">
        <v>384</v>
      </c>
      <c r="D988" s="3" t="s">
        <v>39</v>
      </c>
      <c r="E988" s="3" t="s">
        <v>20</v>
      </c>
      <c r="F988" s="3" t="s">
        <v>21</v>
      </c>
      <c r="G988" s="3" t="s">
        <v>22</v>
      </c>
      <c r="H988" s="3" t="s">
        <v>624</v>
      </c>
      <c r="I988" s="3" t="s">
        <v>1649</v>
      </c>
      <c r="J988" s="3">
        <v>1</v>
      </c>
      <c r="K988" s="5">
        <v>54624.02</v>
      </c>
      <c r="L988" s="5">
        <v>49161.62</v>
      </c>
      <c r="M988" s="6">
        <v>10</v>
      </c>
      <c r="N988" s="5">
        <v>1009.87</v>
      </c>
      <c r="O988" s="5">
        <v>84.31</v>
      </c>
      <c r="P988" s="3" t="s">
        <v>25</v>
      </c>
      <c r="Q988" s="3" t="s">
        <v>26</v>
      </c>
      <c r="R988" s="30">
        <f t="shared" si="15"/>
        <v>2.0541837311300968E-2</v>
      </c>
    </row>
    <row r="989" spans="1:18" x14ac:dyDescent="0.35">
      <c r="A989" s="7" t="s">
        <v>1650</v>
      </c>
      <c r="B989" s="8">
        <v>46013</v>
      </c>
      <c r="C989" s="7" t="s">
        <v>338</v>
      </c>
      <c r="D989" s="7" t="s">
        <v>39</v>
      </c>
      <c r="E989" s="7" t="s">
        <v>40</v>
      </c>
      <c r="F989" s="7" t="s">
        <v>41</v>
      </c>
      <c r="G989" s="7" t="s">
        <v>117</v>
      </c>
      <c r="H989" s="7" t="s">
        <v>153</v>
      </c>
      <c r="I989" s="7" t="s">
        <v>154</v>
      </c>
      <c r="J989" s="7">
        <v>3</v>
      </c>
      <c r="K989" s="9">
        <v>1396.39</v>
      </c>
      <c r="L989" s="9">
        <v>3351.34</v>
      </c>
      <c r="M989" s="10">
        <v>20</v>
      </c>
      <c r="N989" s="9">
        <v>705.48</v>
      </c>
      <c r="O989" s="9">
        <v>193.6</v>
      </c>
      <c r="P989" s="7" t="s">
        <v>35</v>
      </c>
      <c r="Q989" s="7" t="s">
        <v>65</v>
      </c>
      <c r="R989" s="30">
        <f t="shared" si="15"/>
        <v>0.21050684203930367</v>
      </c>
    </row>
    <row r="990" spans="1:18" x14ac:dyDescent="0.35">
      <c r="A990" s="3" t="s">
        <v>1651</v>
      </c>
      <c r="B990" s="4">
        <v>46013</v>
      </c>
      <c r="C990" s="3" t="s">
        <v>493</v>
      </c>
      <c r="D990" s="3" t="s">
        <v>19</v>
      </c>
      <c r="E990" s="3" t="s">
        <v>20</v>
      </c>
      <c r="F990" s="3" t="s">
        <v>21</v>
      </c>
      <c r="G990" s="3" t="s">
        <v>117</v>
      </c>
      <c r="H990" s="3" t="s">
        <v>125</v>
      </c>
      <c r="I990" s="3" t="s">
        <v>126</v>
      </c>
      <c r="J990" s="3">
        <v>4</v>
      </c>
      <c r="K990" s="5">
        <v>453.15</v>
      </c>
      <c r="L990" s="5">
        <v>1812.6</v>
      </c>
      <c r="M990" s="6">
        <v>0</v>
      </c>
      <c r="N990" s="5">
        <v>525.84</v>
      </c>
      <c r="O990" s="5">
        <v>92.41</v>
      </c>
      <c r="P990" s="3" t="s">
        <v>35</v>
      </c>
      <c r="Q990" s="3" t="s">
        <v>26</v>
      </c>
      <c r="R990" s="30">
        <f t="shared" si="15"/>
        <v>0.29010261502813639</v>
      </c>
    </row>
    <row r="991" spans="1:18" x14ac:dyDescent="0.35">
      <c r="A991" s="7" t="s">
        <v>1652</v>
      </c>
      <c r="B991" s="8">
        <v>46014</v>
      </c>
      <c r="C991" s="7" t="s">
        <v>156</v>
      </c>
      <c r="D991" s="7" t="s">
        <v>29</v>
      </c>
      <c r="E991" s="7" t="s">
        <v>40</v>
      </c>
      <c r="F991" s="7" t="s">
        <v>90</v>
      </c>
      <c r="G991" s="7" t="s">
        <v>117</v>
      </c>
      <c r="H991" s="7" t="s">
        <v>153</v>
      </c>
      <c r="I991" s="7" t="s">
        <v>356</v>
      </c>
      <c r="J991" s="7">
        <v>2</v>
      </c>
      <c r="K991" s="9">
        <v>1606.79</v>
      </c>
      <c r="L991" s="9">
        <v>3052.9</v>
      </c>
      <c r="M991" s="10">
        <v>5</v>
      </c>
      <c r="N991" s="9">
        <v>605.9</v>
      </c>
      <c r="O991" s="9">
        <v>149.77000000000001</v>
      </c>
      <c r="P991" s="7" t="s">
        <v>64</v>
      </c>
      <c r="Q991" s="7" t="s">
        <v>65</v>
      </c>
      <c r="R991" s="30">
        <f t="shared" si="15"/>
        <v>0.19846703134724358</v>
      </c>
    </row>
    <row r="992" spans="1:18" x14ac:dyDescent="0.35">
      <c r="A992" s="3" t="s">
        <v>1653</v>
      </c>
      <c r="B992" s="4">
        <v>46014</v>
      </c>
      <c r="C992" s="3" t="s">
        <v>898</v>
      </c>
      <c r="D992" s="3" t="s">
        <v>19</v>
      </c>
      <c r="E992" s="3" t="s">
        <v>20</v>
      </c>
      <c r="F992" s="3" t="s">
        <v>21</v>
      </c>
      <c r="G992" s="3" t="s">
        <v>22</v>
      </c>
      <c r="H992" s="3" t="s">
        <v>105</v>
      </c>
      <c r="I992" s="3" t="s">
        <v>629</v>
      </c>
      <c r="J992" s="3">
        <v>1</v>
      </c>
      <c r="K992" s="5">
        <v>15775.41</v>
      </c>
      <c r="L992" s="5">
        <v>13409.1</v>
      </c>
      <c r="M992" s="6">
        <v>15</v>
      </c>
      <c r="N992" s="5">
        <v>-622.07000000000005</v>
      </c>
      <c r="O992" s="5">
        <v>247.67</v>
      </c>
      <c r="P992" s="3" t="s">
        <v>64</v>
      </c>
      <c r="Q992" s="3" t="s">
        <v>36</v>
      </c>
      <c r="R992" s="30">
        <f t="shared" si="15"/>
        <v>-4.6391629564996907E-2</v>
      </c>
    </row>
    <row r="993" spans="1:18" x14ac:dyDescent="0.35">
      <c r="A993" s="7" t="s">
        <v>1654</v>
      </c>
      <c r="B993" s="8">
        <v>46015</v>
      </c>
      <c r="C993" s="7" t="s">
        <v>1007</v>
      </c>
      <c r="D993" s="7" t="s">
        <v>39</v>
      </c>
      <c r="E993" s="7" t="s">
        <v>30</v>
      </c>
      <c r="F993" s="7" t="s">
        <v>48</v>
      </c>
      <c r="G993" s="7" t="s">
        <v>49</v>
      </c>
      <c r="H993" s="7" t="s">
        <v>50</v>
      </c>
      <c r="I993" s="7" t="s">
        <v>95</v>
      </c>
      <c r="J993" s="7">
        <v>1</v>
      </c>
      <c r="K993" s="9">
        <v>7786.49</v>
      </c>
      <c r="L993" s="9">
        <v>7786.49</v>
      </c>
      <c r="M993" s="10">
        <v>0</v>
      </c>
      <c r="N993" s="9">
        <v>1749.84</v>
      </c>
      <c r="O993" s="9">
        <v>107.57</v>
      </c>
      <c r="P993" s="7" t="s">
        <v>25</v>
      </c>
      <c r="Q993" s="7" t="s">
        <v>65</v>
      </c>
      <c r="R993" s="30">
        <f t="shared" si="15"/>
        <v>0.22472770144185633</v>
      </c>
    </row>
    <row r="994" spans="1:18" x14ac:dyDescent="0.35">
      <c r="A994" s="3" t="s">
        <v>1655</v>
      </c>
      <c r="B994" s="4">
        <v>46016</v>
      </c>
      <c r="C994" s="3" t="s">
        <v>250</v>
      </c>
      <c r="D994" s="3" t="s">
        <v>39</v>
      </c>
      <c r="E994" s="3" t="s">
        <v>20</v>
      </c>
      <c r="F994" s="3" t="s">
        <v>129</v>
      </c>
      <c r="G994" s="3" t="s">
        <v>32</v>
      </c>
      <c r="H994" s="3" t="s">
        <v>73</v>
      </c>
      <c r="I994" s="3" t="s">
        <v>214</v>
      </c>
      <c r="J994" s="3">
        <v>3</v>
      </c>
      <c r="K994" s="5">
        <v>4165.2</v>
      </c>
      <c r="L994" s="5">
        <v>12495.6</v>
      </c>
      <c r="M994" s="6">
        <v>0</v>
      </c>
      <c r="N994" s="5">
        <v>1450.73</v>
      </c>
      <c r="O994" s="5">
        <v>282.55</v>
      </c>
      <c r="P994" s="3" t="s">
        <v>35</v>
      </c>
      <c r="Q994" s="3" t="s">
        <v>26</v>
      </c>
      <c r="R994" s="30">
        <f t="shared" si="15"/>
        <v>0.11609926694196357</v>
      </c>
    </row>
    <row r="995" spans="1:18" x14ac:dyDescent="0.35">
      <c r="A995" s="7" t="s">
        <v>1656</v>
      </c>
      <c r="B995" s="8">
        <v>46017</v>
      </c>
      <c r="C995" s="7" t="s">
        <v>89</v>
      </c>
      <c r="D995" s="7" t="s">
        <v>19</v>
      </c>
      <c r="E995" s="7" t="s">
        <v>20</v>
      </c>
      <c r="F995" s="7" t="s">
        <v>54</v>
      </c>
      <c r="G995" s="7" t="s">
        <v>117</v>
      </c>
      <c r="H995" s="7" t="s">
        <v>130</v>
      </c>
      <c r="I995" s="7" t="s">
        <v>310</v>
      </c>
      <c r="J995" s="7">
        <v>2</v>
      </c>
      <c r="K995" s="9">
        <v>616.04999999999995</v>
      </c>
      <c r="L995" s="9">
        <v>1108.8900000000001</v>
      </c>
      <c r="M995" s="10">
        <v>10</v>
      </c>
      <c r="N995" s="9">
        <v>210.83</v>
      </c>
      <c r="O995" s="9">
        <v>278.88</v>
      </c>
      <c r="P995" s="7" t="s">
        <v>45</v>
      </c>
      <c r="Q995" s="7" t="s">
        <v>26</v>
      </c>
      <c r="R995" s="30">
        <f t="shared" si="15"/>
        <v>0.19012706400093787</v>
      </c>
    </row>
    <row r="996" spans="1:18" x14ac:dyDescent="0.35">
      <c r="A996" s="3" t="s">
        <v>1657</v>
      </c>
      <c r="B996" s="4">
        <v>46017</v>
      </c>
      <c r="C996" s="3" t="s">
        <v>571</v>
      </c>
      <c r="D996" s="3" t="s">
        <v>39</v>
      </c>
      <c r="E996" s="3" t="s">
        <v>60</v>
      </c>
      <c r="F996" s="3" t="s">
        <v>68</v>
      </c>
      <c r="G996" s="3" t="s">
        <v>32</v>
      </c>
      <c r="H996" s="3" t="s">
        <v>33</v>
      </c>
      <c r="I996" s="3" t="s">
        <v>449</v>
      </c>
      <c r="J996" s="3">
        <v>1</v>
      </c>
      <c r="K996" s="5">
        <v>9916.9500000000007</v>
      </c>
      <c r="L996" s="5">
        <v>9916.9500000000007</v>
      </c>
      <c r="M996" s="6">
        <v>0</v>
      </c>
      <c r="N996" s="5">
        <v>1441.85</v>
      </c>
      <c r="O996" s="5">
        <v>170.98</v>
      </c>
      <c r="P996" s="3" t="s">
        <v>64</v>
      </c>
      <c r="Q996" s="3" t="s">
        <v>26</v>
      </c>
      <c r="R996" s="30">
        <f t="shared" si="15"/>
        <v>0.14539248458447404</v>
      </c>
    </row>
    <row r="997" spans="1:18" x14ac:dyDescent="0.35">
      <c r="A997" s="7" t="s">
        <v>1658</v>
      </c>
      <c r="B997" s="8">
        <v>46017</v>
      </c>
      <c r="C997" s="7" t="s">
        <v>113</v>
      </c>
      <c r="D997" s="7" t="s">
        <v>39</v>
      </c>
      <c r="E997" s="7" t="s">
        <v>60</v>
      </c>
      <c r="F997" s="7" t="s">
        <v>68</v>
      </c>
      <c r="G997" s="7" t="s">
        <v>22</v>
      </c>
      <c r="H997" s="7" t="s">
        <v>23</v>
      </c>
      <c r="I997" s="7" t="s">
        <v>24</v>
      </c>
      <c r="J997" s="7">
        <v>1</v>
      </c>
      <c r="K997" s="9">
        <v>16264.23</v>
      </c>
      <c r="L997" s="9">
        <v>14637.81</v>
      </c>
      <c r="M997" s="10">
        <v>10</v>
      </c>
      <c r="N997" s="9">
        <v>611.59</v>
      </c>
      <c r="O997" s="9">
        <v>273.19</v>
      </c>
      <c r="P997" s="7" t="s">
        <v>64</v>
      </c>
      <c r="Q997" s="7" t="s">
        <v>65</v>
      </c>
      <c r="R997" s="30">
        <f t="shared" si="15"/>
        <v>4.178152332896793E-2</v>
      </c>
    </row>
    <row r="998" spans="1:18" x14ac:dyDescent="0.35">
      <c r="A998" s="3" t="s">
        <v>1659</v>
      </c>
      <c r="B998" s="4">
        <v>46017</v>
      </c>
      <c r="C998" s="3" t="s">
        <v>413</v>
      </c>
      <c r="D998" s="3" t="s">
        <v>39</v>
      </c>
      <c r="E998" s="3" t="s">
        <v>30</v>
      </c>
      <c r="F998" s="3" t="s">
        <v>48</v>
      </c>
      <c r="G998" s="3" t="s">
        <v>22</v>
      </c>
      <c r="H998" s="3" t="s">
        <v>23</v>
      </c>
      <c r="I998" s="3" t="s">
        <v>24</v>
      </c>
      <c r="J998" s="3">
        <v>4</v>
      </c>
      <c r="K998" s="5">
        <v>46305.1</v>
      </c>
      <c r="L998" s="5">
        <v>166698.35999999999</v>
      </c>
      <c r="M998" s="6">
        <v>10</v>
      </c>
      <c r="N998" s="5">
        <v>6590.42</v>
      </c>
      <c r="O998" s="5">
        <v>95.06</v>
      </c>
      <c r="P998" s="3" t="s">
        <v>64</v>
      </c>
      <c r="Q998" s="3" t="s">
        <v>57</v>
      </c>
      <c r="R998" s="30">
        <f t="shared" si="15"/>
        <v>3.9535002024015116E-2</v>
      </c>
    </row>
    <row r="999" spans="1:18" x14ac:dyDescent="0.35">
      <c r="A999" s="7" t="s">
        <v>1660</v>
      </c>
      <c r="B999" s="8">
        <v>46017</v>
      </c>
      <c r="C999" s="7" t="s">
        <v>1318</v>
      </c>
      <c r="D999" s="7" t="s">
        <v>39</v>
      </c>
      <c r="E999" s="7" t="s">
        <v>60</v>
      </c>
      <c r="F999" s="7" t="s">
        <v>68</v>
      </c>
      <c r="G999" s="7" t="s">
        <v>134</v>
      </c>
      <c r="H999" s="7" t="s">
        <v>91</v>
      </c>
      <c r="I999" s="7" t="s">
        <v>206</v>
      </c>
      <c r="J999" s="7">
        <v>1</v>
      </c>
      <c r="K999" s="9">
        <v>1028.04</v>
      </c>
      <c r="L999" s="9">
        <v>822.43</v>
      </c>
      <c r="M999" s="10">
        <v>20</v>
      </c>
      <c r="N999" s="9">
        <v>85.41</v>
      </c>
      <c r="O999" s="9">
        <v>185.46</v>
      </c>
      <c r="P999" s="7" t="s">
        <v>64</v>
      </c>
      <c r="Q999" s="7" t="s">
        <v>26</v>
      </c>
      <c r="R999" s="30">
        <f t="shared" si="15"/>
        <v>0.10385078365332004</v>
      </c>
    </row>
    <row r="1000" spans="1:18" x14ac:dyDescent="0.35">
      <c r="A1000" s="3" t="s">
        <v>1661</v>
      </c>
      <c r="B1000" s="4">
        <v>46019</v>
      </c>
      <c r="C1000" s="3" t="s">
        <v>1662</v>
      </c>
      <c r="D1000" s="3" t="s">
        <v>39</v>
      </c>
      <c r="E1000" s="3" t="s">
        <v>60</v>
      </c>
      <c r="F1000" s="3" t="s">
        <v>104</v>
      </c>
      <c r="G1000" s="3" t="s">
        <v>49</v>
      </c>
      <c r="H1000" s="3" t="s">
        <v>62</v>
      </c>
      <c r="I1000" s="3" t="s">
        <v>341</v>
      </c>
      <c r="J1000" s="3">
        <v>1</v>
      </c>
      <c r="K1000" s="5">
        <v>10105.76</v>
      </c>
      <c r="L1000" s="5">
        <v>8589.9</v>
      </c>
      <c r="M1000" s="6">
        <v>15</v>
      </c>
      <c r="N1000" s="5">
        <v>1445.15</v>
      </c>
      <c r="O1000" s="5">
        <v>219.22</v>
      </c>
      <c r="P1000" s="3" t="s">
        <v>25</v>
      </c>
      <c r="Q1000" s="3" t="s">
        <v>26</v>
      </c>
      <c r="R1000" s="30">
        <f t="shared" si="15"/>
        <v>0.16823827984027756</v>
      </c>
    </row>
    <row r="1001" spans="1:18" x14ac:dyDescent="0.35">
      <c r="A1001" s="7" t="s">
        <v>1663</v>
      </c>
      <c r="B1001" s="8">
        <v>46020</v>
      </c>
      <c r="C1001" s="7" t="s">
        <v>746</v>
      </c>
      <c r="D1001" s="7" t="s">
        <v>39</v>
      </c>
      <c r="E1001" s="7" t="s">
        <v>30</v>
      </c>
      <c r="F1001" s="7" t="s">
        <v>31</v>
      </c>
      <c r="G1001" s="7" t="s">
        <v>117</v>
      </c>
      <c r="H1001" s="7" t="s">
        <v>153</v>
      </c>
      <c r="I1001" s="7" t="s">
        <v>154</v>
      </c>
      <c r="J1001" s="7">
        <v>1</v>
      </c>
      <c r="K1001" s="9">
        <v>869.63</v>
      </c>
      <c r="L1001" s="9">
        <v>869.63</v>
      </c>
      <c r="M1001" s="10">
        <v>0</v>
      </c>
      <c r="N1001" s="9">
        <v>222.98</v>
      </c>
      <c r="O1001" s="9">
        <v>317.83</v>
      </c>
      <c r="P1001" s="7" t="s">
        <v>25</v>
      </c>
      <c r="Q1001" s="7" t="s">
        <v>65</v>
      </c>
      <c r="R1001" s="30">
        <f t="shared" si="15"/>
        <v>0.25640789761162791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A99A45-BE2C-4BF0-8380-6B26AB6399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Practice Questions</vt:lpstr>
      <vt:lpstr>Pivots</vt:lpstr>
      <vt:lpstr>Sheet2</vt:lpstr>
      <vt:lpstr>Home</vt:lpstr>
      <vt:lpstr>Inspect</vt:lpstr>
      <vt:lpstr>Order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Mahboob alam</cp:lastModifiedBy>
  <dcterms:created xsi:type="dcterms:W3CDTF">2026-09-15T07:38:10Z</dcterms:created>
  <dcterms:modified xsi:type="dcterms:W3CDTF">2026-09-24T09:08:19Z</dcterms:modified>
</cp:coreProperties>
</file>